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7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8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9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2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3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14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theme/themeOverride15.xml" ContentType="application/vnd.openxmlformats-officedocument.themeOverrid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16.xml" ContentType="application/vnd.openxmlformats-officedocument.themeOverrid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/>
  <mc:AlternateContent xmlns:mc="http://schemas.openxmlformats.org/markup-compatibility/2006">
    <mc:Choice Requires="x15">
      <x15ac:absPath xmlns:x15ac="http://schemas.microsoft.com/office/spreadsheetml/2010/11/ac" url="/Users/keirenbrandt-sawdy/portfolio_projects/NSW Electrcity Market Presentation/"/>
    </mc:Choice>
  </mc:AlternateContent>
  <xr:revisionPtr revIDLastSave="0" documentId="13_ncr:1_{2DD9DE21-7F2C-9947-8F4D-76218C3659BD}" xr6:coauthVersionLast="47" xr6:coauthVersionMax="47" xr10:uidLastSave="{00000000-0000-0000-0000-000000000000}"/>
  <bookViews>
    <workbookView xWindow="-20" yWindow="760" windowWidth="29400" windowHeight="17500" firstSheet="1" activeTab="5" xr2:uid="{599CE089-353E-4E4D-A242-244E14FE443C}"/>
  </bookViews>
  <sheets>
    <sheet name="Contents" sheetId="4" r:id="rId1"/>
    <sheet name="Data exploration" sheetId="7" r:id="rId2"/>
    <sheet name="General Price Trends" sheetId="15" r:id="rId3"/>
    <sheet name="Generation Mix - Ren and FF" sheetId="16" r:id="rId4"/>
    <sheet name="Dispatchable Renewable" sheetId="17" r:id="rId5"/>
    <sheet name="Wind" sheetId="18" r:id="rId6"/>
    <sheet name="Aggregated Price" sheetId="19" r:id="rId7"/>
    <sheet name="Aggregated gen mix" sheetId="20" r:id="rId8"/>
    <sheet name="Aggregated Batteries" sheetId="21" r:id="rId9"/>
    <sheet name="Aggregated Hydro" sheetId="25" r:id="rId10"/>
    <sheet name="Sheet2" sheetId="24" r:id="rId11"/>
  </sheets>
  <externalReferences>
    <externalReference r:id="rId12"/>
  </externalReferences>
  <definedNames>
    <definedName name="Battery_Charging_MW" localSheetId="4">Table4_137[[#All],[Battery (Charging) -  MW]]</definedName>
    <definedName name="Battery_Charging_MW" localSheetId="2">general_price[[#All],[Battery (Charging) -  MW]]</definedName>
    <definedName name="Battery_Charging_MW" localSheetId="3">Table4_134[[#All],[Battery (Charging) -  MW]]</definedName>
    <definedName name="Battery_Charging_MW" localSheetId="5">#REF!</definedName>
    <definedName name="Battery_Charging_MW">Table4_1[[#All],[Battery (Charging) -  MW]]</definedName>
    <definedName name="BatteryChargingMW" localSheetId="4">Table4_1[[#All],[Battery (Charging) -  MW]]</definedName>
    <definedName name="BatteryChargingMW" localSheetId="5">Table4_1[[#All],[Battery (Charging) -  MW]]</definedName>
    <definedName name="BatteryChargingMW">Table4_1[[#All],[Battery (Charging) -  MW]]</definedName>
    <definedName name="bC" localSheetId="5">Table4_1[[#All],[Battery (Charging) -  MW]]</definedName>
    <definedName name="bC">Table4_1[[#All],[Battery (Charging) -  MW]]</definedName>
    <definedName name="date" localSheetId="4">Table4_137[[#All],[date]]</definedName>
    <definedName name="date" localSheetId="2">general_price[[#All],[date]]</definedName>
    <definedName name="date" localSheetId="3">Table4_134[[#All],[date]]</definedName>
    <definedName name="date" localSheetId="5">Table4_138[[#All],[date]]</definedName>
    <definedName name="date">Table4_1[[#All],[date]]</definedName>
    <definedName name="Table4" localSheetId="4">'Dispatchable Renewable'!$A$2:$F$338</definedName>
    <definedName name="Table4" localSheetId="2">'General Price Trends'!$A$2:$W$338</definedName>
    <definedName name="Table4" localSheetId="3">'Generation Mix - Ren and FF'!$A$2:$M$338</definedName>
    <definedName name="Table4" localSheetId="5">Wind!$A$2:$G$338</definedName>
    <definedName name="Table4">'Data exploration'!$A$2:$W$338</definedName>
  </definedNames>
  <calcPr calcId="191029"/>
  <pivotCaches>
    <pivotCache cacheId="0" r:id="rId13"/>
    <pivotCache cacheId="2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5" l="1"/>
  <c r="AB3" i="15"/>
  <c r="AB4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AB39" i="15"/>
  <c r="AB40" i="15"/>
  <c r="AB41" i="15"/>
  <c r="AB42" i="15"/>
  <c r="AB43" i="15"/>
  <c r="AB44" i="15"/>
  <c r="AB45" i="15"/>
  <c r="AB46" i="15"/>
  <c r="AB47" i="15"/>
  <c r="AB48" i="15"/>
  <c r="AB49" i="15"/>
  <c r="AB50" i="15"/>
  <c r="AB51" i="15"/>
  <c r="AB52" i="15"/>
  <c r="AB53" i="15"/>
  <c r="AB54" i="15"/>
  <c r="AB55" i="15"/>
  <c r="AB56" i="15"/>
  <c r="AB57" i="15"/>
  <c r="AB58" i="15"/>
  <c r="AB59" i="15"/>
  <c r="AB60" i="15"/>
  <c r="AB61" i="15"/>
  <c r="AB62" i="15"/>
  <c r="AB63" i="15"/>
  <c r="AB64" i="15"/>
  <c r="AB65" i="15"/>
  <c r="AB66" i="15"/>
  <c r="AB67" i="15"/>
  <c r="AB68" i="15"/>
  <c r="AB69" i="15"/>
  <c r="AB70" i="15"/>
  <c r="AB71" i="15"/>
  <c r="AB72" i="15"/>
  <c r="AB73" i="15"/>
  <c r="AB74" i="15"/>
  <c r="AB75" i="15"/>
  <c r="AB76" i="15"/>
  <c r="AB77" i="15"/>
  <c r="AB78" i="15"/>
  <c r="AB79" i="15"/>
  <c r="AB80" i="15"/>
  <c r="AB81" i="15"/>
  <c r="AB82" i="15"/>
  <c r="AB83" i="15"/>
  <c r="AB84" i="15"/>
  <c r="AB85" i="15"/>
  <c r="AB86" i="15"/>
  <c r="AB87" i="15"/>
  <c r="AB88" i="15"/>
  <c r="AB89" i="15"/>
  <c r="AB90" i="15"/>
  <c r="AB91" i="15"/>
  <c r="AB92" i="15"/>
  <c r="AB93" i="15"/>
  <c r="AB94" i="15"/>
  <c r="AB95" i="15"/>
  <c r="AB96" i="15"/>
  <c r="AB97" i="15"/>
  <c r="AB98" i="15"/>
  <c r="AB99" i="15"/>
  <c r="AB100" i="15"/>
  <c r="AB101" i="15"/>
  <c r="AB102" i="15"/>
  <c r="AB103" i="15"/>
  <c r="AB104" i="15"/>
  <c r="AB105" i="15"/>
  <c r="AB106" i="15"/>
  <c r="AB107" i="15"/>
  <c r="AB108" i="15"/>
  <c r="AB109" i="15"/>
  <c r="AB110" i="15"/>
  <c r="AB111" i="15"/>
  <c r="AB112" i="15"/>
  <c r="AB113" i="15"/>
  <c r="AB114" i="15"/>
  <c r="AB115" i="15"/>
  <c r="AB116" i="15"/>
  <c r="AB117" i="15"/>
  <c r="AB118" i="15"/>
  <c r="AB119" i="15"/>
  <c r="AB120" i="15"/>
  <c r="AB121" i="15"/>
  <c r="AB122" i="15"/>
  <c r="AB123" i="15"/>
  <c r="AB124" i="15"/>
  <c r="AB125" i="15"/>
  <c r="AB126" i="15"/>
  <c r="AB127" i="15"/>
  <c r="AB128" i="15"/>
  <c r="AB129" i="15"/>
  <c r="AB130" i="15"/>
  <c r="AB131" i="15"/>
  <c r="AB132" i="15"/>
  <c r="AB133" i="15"/>
  <c r="AB134" i="15"/>
  <c r="AB135" i="15"/>
  <c r="AB136" i="15"/>
  <c r="AB137" i="15"/>
  <c r="AB138" i="15"/>
  <c r="AB139" i="15"/>
  <c r="AB140" i="15"/>
  <c r="AB141" i="15"/>
  <c r="AB142" i="15"/>
  <c r="AB143" i="15"/>
  <c r="AB144" i="15"/>
  <c r="AB145" i="15"/>
  <c r="AB146" i="15"/>
  <c r="AB147" i="15"/>
  <c r="AB148" i="15"/>
  <c r="AB149" i="15"/>
  <c r="AB150" i="15"/>
  <c r="AB151" i="15"/>
  <c r="AB152" i="15"/>
  <c r="AB153" i="15"/>
  <c r="AB154" i="15"/>
  <c r="AB155" i="15"/>
  <c r="AB156" i="15"/>
  <c r="AB157" i="15"/>
  <c r="AB158" i="15"/>
  <c r="AB159" i="15"/>
  <c r="AB160" i="15"/>
  <c r="AB161" i="15"/>
  <c r="AB162" i="15"/>
  <c r="AB163" i="15"/>
  <c r="AB164" i="15"/>
  <c r="AB165" i="15"/>
  <c r="AB166" i="15"/>
  <c r="AB167" i="15"/>
  <c r="AB168" i="15"/>
  <c r="AB169" i="15"/>
  <c r="AB170" i="15"/>
  <c r="AB171" i="15"/>
  <c r="AB172" i="15"/>
  <c r="AB173" i="15"/>
  <c r="AB174" i="15"/>
  <c r="AB175" i="15"/>
  <c r="AB176" i="15"/>
  <c r="AB177" i="15"/>
  <c r="AB178" i="15"/>
  <c r="AB179" i="15"/>
  <c r="AB180" i="15"/>
  <c r="AB181" i="15"/>
  <c r="AB182" i="15"/>
  <c r="AB183" i="15"/>
  <c r="AB184" i="15"/>
  <c r="AB185" i="15"/>
  <c r="AB186" i="15"/>
  <c r="AB187" i="15"/>
  <c r="AB188" i="15"/>
  <c r="AB189" i="15"/>
  <c r="AB190" i="15"/>
  <c r="AB191" i="15"/>
  <c r="AB192" i="15"/>
  <c r="AB193" i="15"/>
  <c r="AB194" i="15"/>
  <c r="AB195" i="15"/>
  <c r="AB196" i="15"/>
  <c r="AB197" i="15"/>
  <c r="AB198" i="15"/>
  <c r="AB199" i="15"/>
  <c r="AB200" i="15"/>
  <c r="AB201" i="15"/>
  <c r="AB202" i="15"/>
  <c r="AB203" i="15"/>
  <c r="AB204" i="15"/>
  <c r="AB205" i="15"/>
  <c r="AB206" i="15"/>
  <c r="AB207" i="15"/>
  <c r="AB208" i="15"/>
  <c r="AB209" i="15"/>
  <c r="AB210" i="15"/>
  <c r="AB211" i="15"/>
  <c r="AB212" i="15"/>
  <c r="AB213" i="15"/>
  <c r="AB214" i="15"/>
  <c r="AB215" i="15"/>
  <c r="AB216" i="15"/>
  <c r="AB217" i="15"/>
  <c r="AB218" i="15"/>
  <c r="AB219" i="15"/>
  <c r="AB220" i="15"/>
  <c r="AB221" i="15"/>
  <c r="AB222" i="15"/>
  <c r="AB223" i="15"/>
  <c r="AB224" i="15"/>
  <c r="AB225" i="15"/>
  <c r="AB226" i="15"/>
  <c r="AB227" i="15"/>
  <c r="AB228" i="15"/>
  <c r="AB229" i="15"/>
  <c r="AB230" i="15"/>
  <c r="AB231" i="15"/>
  <c r="AB232" i="15"/>
  <c r="AB233" i="15"/>
  <c r="AB234" i="15"/>
  <c r="AB235" i="15"/>
  <c r="AB236" i="15"/>
  <c r="AB237" i="15"/>
  <c r="AB238" i="15"/>
  <c r="AB239" i="15"/>
  <c r="AB240" i="15"/>
  <c r="AB241" i="15"/>
  <c r="AB242" i="15"/>
  <c r="AB243" i="15"/>
  <c r="AB244" i="15"/>
  <c r="AB245" i="15"/>
  <c r="AB246" i="15"/>
  <c r="AB247" i="15"/>
  <c r="AB248" i="15"/>
  <c r="AB249" i="15"/>
  <c r="AB250" i="15"/>
  <c r="AB251" i="15"/>
  <c r="AB252" i="15"/>
  <c r="AB253" i="15"/>
  <c r="AB254" i="15"/>
  <c r="AB255" i="15"/>
  <c r="AB256" i="15"/>
  <c r="AB257" i="15"/>
  <c r="AB258" i="15"/>
  <c r="AB259" i="15"/>
  <c r="AB260" i="15"/>
  <c r="AB261" i="15"/>
  <c r="AB262" i="15"/>
  <c r="AB263" i="15"/>
  <c r="AB264" i="15"/>
  <c r="AB265" i="15"/>
  <c r="AB266" i="15"/>
  <c r="AB267" i="15"/>
  <c r="AB268" i="15"/>
  <c r="AB269" i="15"/>
  <c r="AB270" i="15"/>
  <c r="AB271" i="15"/>
  <c r="AB272" i="15"/>
  <c r="AB273" i="15"/>
  <c r="AB274" i="15"/>
  <c r="AB275" i="15"/>
  <c r="AB276" i="15"/>
  <c r="AB277" i="15"/>
  <c r="AB278" i="15"/>
  <c r="AB279" i="15"/>
  <c r="AB280" i="15"/>
  <c r="AB281" i="15"/>
  <c r="AB282" i="15"/>
  <c r="AB283" i="15"/>
  <c r="AB284" i="15"/>
  <c r="AB285" i="15"/>
  <c r="AB286" i="15"/>
  <c r="AB287" i="15"/>
  <c r="AB288" i="15"/>
  <c r="AB289" i="15"/>
  <c r="AB290" i="15"/>
  <c r="AB291" i="15"/>
  <c r="AB292" i="15"/>
  <c r="AB293" i="15"/>
  <c r="AB294" i="15"/>
  <c r="AB295" i="15"/>
  <c r="AB296" i="15"/>
  <c r="AB297" i="15"/>
  <c r="AB298" i="15"/>
  <c r="AB299" i="15"/>
  <c r="AB300" i="15"/>
  <c r="AB301" i="15"/>
  <c r="AB302" i="15"/>
  <c r="AB303" i="15"/>
  <c r="AB304" i="15"/>
  <c r="AB305" i="15"/>
  <c r="AB306" i="15"/>
  <c r="AB307" i="15"/>
  <c r="AB308" i="15"/>
  <c r="AB309" i="15"/>
  <c r="AB310" i="15"/>
  <c r="AB311" i="15"/>
  <c r="AB312" i="15"/>
  <c r="AB313" i="15"/>
  <c r="AB314" i="15"/>
  <c r="AB315" i="15"/>
  <c r="AB316" i="15"/>
  <c r="AB317" i="15"/>
  <c r="AB318" i="15"/>
  <c r="AB319" i="15"/>
  <c r="AB320" i="15"/>
  <c r="AB321" i="15"/>
  <c r="AB322" i="15"/>
  <c r="AB323" i="15"/>
  <c r="AB324" i="15"/>
  <c r="AB325" i="15"/>
  <c r="AB326" i="15"/>
  <c r="AB327" i="15"/>
  <c r="AB328" i="15"/>
  <c r="AB329" i="15"/>
  <c r="AB330" i="15"/>
  <c r="AB331" i="15"/>
  <c r="AB332" i="15"/>
  <c r="AB333" i="15"/>
  <c r="AB334" i="15"/>
  <c r="AB335" i="15"/>
  <c r="AB336" i="15"/>
  <c r="AB337" i="15"/>
  <c r="AB338" i="15"/>
  <c r="AA2" i="15"/>
  <c r="AA3" i="15"/>
  <c r="AA4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31" i="15"/>
  <c r="AA32" i="15"/>
  <c r="AA33" i="15"/>
  <c r="AA34" i="15"/>
  <c r="AA35" i="15"/>
  <c r="AA36" i="15"/>
  <c r="AA37" i="15"/>
  <c r="AA38" i="15"/>
  <c r="AA39" i="15"/>
  <c r="AA40" i="15"/>
  <c r="AA41" i="15"/>
  <c r="AA42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AA56" i="15"/>
  <c r="AA57" i="15"/>
  <c r="AA58" i="15"/>
  <c r="AA59" i="15"/>
  <c r="AA60" i="15"/>
  <c r="AA61" i="15"/>
  <c r="AA62" i="15"/>
  <c r="AA63" i="15"/>
  <c r="AA64" i="15"/>
  <c r="AA65" i="15"/>
  <c r="AA66" i="15"/>
  <c r="AA67" i="15"/>
  <c r="AA68" i="15"/>
  <c r="AA69" i="15"/>
  <c r="AA70" i="15"/>
  <c r="AA71" i="15"/>
  <c r="AA72" i="15"/>
  <c r="AA73" i="15"/>
  <c r="AA74" i="15"/>
  <c r="AA75" i="15"/>
  <c r="AA76" i="15"/>
  <c r="AA77" i="15"/>
  <c r="AA78" i="15"/>
  <c r="AA79" i="15"/>
  <c r="AA80" i="15"/>
  <c r="AA81" i="15"/>
  <c r="AA82" i="15"/>
  <c r="AA83" i="15"/>
  <c r="AA84" i="15"/>
  <c r="AA85" i="15"/>
  <c r="AA86" i="15"/>
  <c r="AA87" i="15"/>
  <c r="AA88" i="15"/>
  <c r="AA89" i="15"/>
  <c r="AA90" i="15"/>
  <c r="AA91" i="15"/>
  <c r="AA92" i="15"/>
  <c r="AA93" i="15"/>
  <c r="AA94" i="15"/>
  <c r="AA95" i="15"/>
  <c r="AA96" i="15"/>
  <c r="AA97" i="15"/>
  <c r="AA98" i="15"/>
  <c r="AA99" i="15"/>
  <c r="AA100" i="15"/>
  <c r="AA101" i="15"/>
  <c r="AA102" i="15"/>
  <c r="AA103" i="15"/>
  <c r="AA104" i="15"/>
  <c r="AA105" i="15"/>
  <c r="AA106" i="15"/>
  <c r="AA107" i="15"/>
  <c r="AA108" i="15"/>
  <c r="AA109" i="15"/>
  <c r="AA110" i="15"/>
  <c r="AA111" i="15"/>
  <c r="AA112" i="15"/>
  <c r="AA113" i="15"/>
  <c r="AA114" i="15"/>
  <c r="AA115" i="15"/>
  <c r="AA116" i="15"/>
  <c r="AA117" i="15"/>
  <c r="AA118" i="15"/>
  <c r="AA119" i="15"/>
  <c r="AA120" i="15"/>
  <c r="AA121" i="15"/>
  <c r="AA122" i="15"/>
  <c r="AA123" i="15"/>
  <c r="AA124" i="15"/>
  <c r="AA125" i="15"/>
  <c r="AA126" i="15"/>
  <c r="AA127" i="15"/>
  <c r="AA128" i="15"/>
  <c r="AA129" i="15"/>
  <c r="AA130" i="15"/>
  <c r="AA131" i="15"/>
  <c r="AA132" i="15"/>
  <c r="AA133" i="15"/>
  <c r="AA134" i="15"/>
  <c r="AA135" i="15"/>
  <c r="AA136" i="15"/>
  <c r="AA137" i="15"/>
  <c r="AA138" i="15"/>
  <c r="AA139" i="15"/>
  <c r="AA140" i="15"/>
  <c r="AA141" i="15"/>
  <c r="AA142" i="15"/>
  <c r="AA143" i="15"/>
  <c r="AA144" i="15"/>
  <c r="AA145" i="15"/>
  <c r="AA146" i="15"/>
  <c r="AA147" i="15"/>
  <c r="AA148" i="15"/>
  <c r="AA149" i="15"/>
  <c r="AA150" i="15"/>
  <c r="AA151" i="15"/>
  <c r="AA152" i="15"/>
  <c r="AA153" i="15"/>
  <c r="AA154" i="15"/>
  <c r="AA155" i="15"/>
  <c r="AA156" i="15"/>
  <c r="AA157" i="15"/>
  <c r="AA158" i="15"/>
  <c r="AA159" i="15"/>
  <c r="AA160" i="15"/>
  <c r="AA161" i="15"/>
  <c r="AA162" i="15"/>
  <c r="AA163" i="15"/>
  <c r="AA164" i="15"/>
  <c r="AA165" i="15"/>
  <c r="AA166" i="15"/>
  <c r="AA167" i="15"/>
  <c r="AA168" i="15"/>
  <c r="AA169" i="15"/>
  <c r="AA170" i="15"/>
  <c r="AA171" i="15"/>
  <c r="AA172" i="15"/>
  <c r="AA173" i="15"/>
  <c r="AA174" i="15"/>
  <c r="AA175" i="15"/>
  <c r="AA176" i="15"/>
  <c r="AA177" i="15"/>
  <c r="AA178" i="15"/>
  <c r="AA179" i="15"/>
  <c r="AA180" i="15"/>
  <c r="AA181" i="15"/>
  <c r="AA182" i="15"/>
  <c r="AA183" i="15"/>
  <c r="AA184" i="15"/>
  <c r="AA185" i="15"/>
  <c r="AA186" i="15"/>
  <c r="AA187" i="15"/>
  <c r="AA188" i="15"/>
  <c r="AA189" i="15"/>
  <c r="AA190" i="15"/>
  <c r="AA191" i="15"/>
  <c r="AA192" i="15"/>
  <c r="AA193" i="15"/>
  <c r="AA194" i="15"/>
  <c r="AA195" i="15"/>
  <c r="AA196" i="15"/>
  <c r="AA197" i="15"/>
  <c r="AA198" i="15"/>
  <c r="AA199" i="15"/>
  <c r="AA200" i="15"/>
  <c r="AA201" i="15"/>
  <c r="AA202" i="15"/>
  <c r="AA203" i="15"/>
  <c r="AA204" i="15"/>
  <c r="AA205" i="15"/>
  <c r="AA206" i="15"/>
  <c r="AA207" i="15"/>
  <c r="AA208" i="15"/>
  <c r="AA209" i="15"/>
  <c r="AA210" i="15"/>
  <c r="AA211" i="15"/>
  <c r="AA212" i="15"/>
  <c r="AA213" i="15"/>
  <c r="AA214" i="15"/>
  <c r="AA215" i="15"/>
  <c r="AA216" i="15"/>
  <c r="AA217" i="15"/>
  <c r="AA218" i="15"/>
  <c r="AA219" i="15"/>
  <c r="AA220" i="15"/>
  <c r="AA221" i="15"/>
  <c r="AA222" i="15"/>
  <c r="AA223" i="15"/>
  <c r="AA224" i="15"/>
  <c r="AA225" i="15"/>
  <c r="AA226" i="15"/>
  <c r="AA227" i="15"/>
  <c r="AA228" i="15"/>
  <c r="AA229" i="15"/>
  <c r="AA230" i="15"/>
  <c r="AA231" i="15"/>
  <c r="AA232" i="15"/>
  <c r="AA233" i="15"/>
  <c r="AA234" i="15"/>
  <c r="AA235" i="15"/>
  <c r="AA236" i="15"/>
  <c r="AA237" i="15"/>
  <c r="AA238" i="15"/>
  <c r="AA239" i="15"/>
  <c r="AA240" i="15"/>
  <c r="AA241" i="15"/>
  <c r="AA242" i="15"/>
  <c r="AA243" i="15"/>
  <c r="AA244" i="15"/>
  <c r="AA245" i="15"/>
  <c r="AA246" i="15"/>
  <c r="AA247" i="15"/>
  <c r="AA248" i="15"/>
  <c r="AA249" i="15"/>
  <c r="AA250" i="15"/>
  <c r="AA251" i="15"/>
  <c r="AA252" i="15"/>
  <c r="AA253" i="15"/>
  <c r="AA254" i="15"/>
  <c r="AA255" i="15"/>
  <c r="AA256" i="15"/>
  <c r="AA257" i="15"/>
  <c r="AA258" i="15"/>
  <c r="AA259" i="15"/>
  <c r="AA260" i="15"/>
  <c r="AA261" i="15"/>
  <c r="AA262" i="15"/>
  <c r="AA263" i="15"/>
  <c r="AA264" i="15"/>
  <c r="AA265" i="15"/>
  <c r="AA266" i="15"/>
  <c r="AA267" i="15"/>
  <c r="AA268" i="15"/>
  <c r="AA269" i="15"/>
  <c r="AA270" i="15"/>
  <c r="AA271" i="15"/>
  <c r="AA272" i="15"/>
  <c r="AA273" i="15"/>
  <c r="AA274" i="15"/>
  <c r="AA275" i="15"/>
  <c r="AA276" i="15"/>
  <c r="AA277" i="15"/>
  <c r="AA278" i="15"/>
  <c r="AA279" i="15"/>
  <c r="AA280" i="15"/>
  <c r="AA281" i="15"/>
  <c r="AA282" i="15"/>
  <c r="AA283" i="15"/>
  <c r="AA284" i="15"/>
  <c r="AA285" i="15"/>
  <c r="AA286" i="15"/>
  <c r="AA287" i="15"/>
  <c r="AA288" i="15"/>
  <c r="AA289" i="15"/>
  <c r="AA290" i="15"/>
  <c r="AA291" i="15"/>
  <c r="AA292" i="15"/>
  <c r="AA293" i="15"/>
  <c r="AA294" i="15"/>
  <c r="AA295" i="15"/>
  <c r="AA296" i="15"/>
  <c r="AA297" i="15"/>
  <c r="AA298" i="15"/>
  <c r="AA299" i="15"/>
  <c r="AA300" i="15"/>
  <c r="AA301" i="15"/>
  <c r="AA302" i="15"/>
  <c r="AA303" i="15"/>
  <c r="AA304" i="15"/>
  <c r="AA305" i="15"/>
  <c r="AA306" i="15"/>
  <c r="AA307" i="15"/>
  <c r="AA308" i="15"/>
  <c r="AA309" i="15"/>
  <c r="AA310" i="15"/>
  <c r="AA311" i="15"/>
  <c r="AA312" i="15"/>
  <c r="AA313" i="15"/>
  <c r="AA314" i="15"/>
  <c r="AA315" i="15"/>
  <c r="AA316" i="15"/>
  <c r="AA317" i="15"/>
  <c r="AA318" i="15"/>
  <c r="AA319" i="15"/>
  <c r="AA320" i="15"/>
  <c r="AA321" i="15"/>
  <c r="AA322" i="15"/>
  <c r="AA323" i="15"/>
  <c r="AA324" i="15"/>
  <c r="AA325" i="15"/>
  <c r="AA326" i="15"/>
  <c r="AA327" i="15"/>
  <c r="AA328" i="15"/>
  <c r="AA329" i="15"/>
  <c r="AA330" i="15"/>
  <c r="AA331" i="15"/>
  <c r="AA332" i="15"/>
  <c r="AA333" i="15"/>
  <c r="AA334" i="15"/>
  <c r="AA335" i="15"/>
  <c r="AA336" i="15"/>
  <c r="AA337" i="15"/>
  <c r="AA338" i="15"/>
  <c r="K3" i="20" a="1"/>
  <c r="M3" i="20" s="1"/>
  <c r="K4" i="20" a="1"/>
  <c r="K5" i="20" a="1"/>
  <c r="K6" i="20" a="1"/>
  <c r="K7" i="20" a="1"/>
  <c r="K8" i="20" a="1"/>
  <c r="K9" i="20" a="1"/>
  <c r="K10" i="20" a="1"/>
  <c r="K11" i="20" a="1"/>
  <c r="K12" i="20" a="1"/>
  <c r="K13" i="20" a="1"/>
  <c r="K14" i="20" a="1"/>
  <c r="K15" i="20" a="1"/>
  <c r="K16" i="20" a="1"/>
  <c r="K17" i="20" a="1"/>
  <c r="K18" i="20" a="1"/>
  <c r="K19" i="20" a="1"/>
  <c r="K20" i="20" a="1"/>
  <c r="K21" i="20" a="1"/>
  <c r="K22" i="20" a="1"/>
  <c r="K23" i="20" a="1"/>
  <c r="K24" i="20" a="1"/>
  <c r="K25" i="20" a="1"/>
  <c r="K26" i="20" a="1"/>
  <c r="K27" i="20" a="1"/>
  <c r="K28" i="20" a="1"/>
  <c r="K29" i="20" a="1"/>
  <c r="K30" i="20" a="1"/>
  <c r="K31" i="20" a="1"/>
  <c r="K32" i="20" a="1"/>
  <c r="K33" i="20" a="1"/>
  <c r="K34" i="20" a="1"/>
  <c r="K35" i="20" a="1"/>
  <c r="K36" i="20" a="1"/>
  <c r="K37" i="20" a="1"/>
  <c r="K38" i="20" a="1"/>
  <c r="K39" i="20" a="1"/>
  <c r="K40" i="20" a="1"/>
  <c r="K41" i="20" a="1"/>
  <c r="K42" i="20" a="1"/>
  <c r="K43" i="20" a="1"/>
  <c r="K44" i="20" a="1"/>
  <c r="K45" i="20" a="1"/>
  <c r="K46" i="20" a="1"/>
  <c r="K47" i="20" a="1"/>
  <c r="K48" i="20" a="1"/>
  <c r="K49" i="20" a="1"/>
  <c r="K2" i="20" a="1"/>
  <c r="M2" i="20" s="1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C405" i="15"/>
  <c r="B405" i="15"/>
  <c r="E395" i="15"/>
  <c r="E403" i="15" s="1"/>
  <c r="E396" i="15"/>
  <c r="E397" i="15"/>
  <c r="E398" i="15"/>
  <c r="E399" i="15"/>
  <c r="E400" i="15"/>
  <c r="E401" i="15"/>
  <c r="E402" i="15"/>
  <c r="X2" i="15"/>
  <c r="X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X182" i="15"/>
  <c r="X183" i="15"/>
  <c r="X184" i="15"/>
  <c r="X185" i="15"/>
  <c r="X186" i="15"/>
  <c r="X187" i="15"/>
  <c r="X188" i="15"/>
  <c r="X189" i="15"/>
  <c r="X190" i="15"/>
  <c r="X191" i="15"/>
  <c r="X192" i="15"/>
  <c r="X193" i="15"/>
  <c r="X194" i="15"/>
  <c r="X195" i="15"/>
  <c r="X196" i="15"/>
  <c r="X197" i="15"/>
  <c r="X198" i="15"/>
  <c r="X199" i="15"/>
  <c r="X200" i="15"/>
  <c r="X201" i="15"/>
  <c r="X202" i="15"/>
  <c r="X203" i="15"/>
  <c r="X204" i="15"/>
  <c r="X205" i="15"/>
  <c r="X206" i="15"/>
  <c r="X207" i="15"/>
  <c r="X208" i="15"/>
  <c r="X209" i="15"/>
  <c r="X210" i="15"/>
  <c r="X211" i="15"/>
  <c r="X212" i="15"/>
  <c r="X213" i="15"/>
  <c r="X214" i="15"/>
  <c r="X215" i="15"/>
  <c r="X216" i="15"/>
  <c r="X217" i="15"/>
  <c r="X218" i="15"/>
  <c r="X219" i="15"/>
  <c r="X220" i="15"/>
  <c r="X221" i="15"/>
  <c r="X222" i="15"/>
  <c r="X223" i="15"/>
  <c r="X224" i="15"/>
  <c r="X225" i="15"/>
  <c r="X226" i="15"/>
  <c r="X227" i="15"/>
  <c r="X228" i="15"/>
  <c r="X229" i="15"/>
  <c r="X230" i="15"/>
  <c r="X231" i="15"/>
  <c r="X232" i="15"/>
  <c r="X233" i="15"/>
  <c r="X234" i="15"/>
  <c r="X235" i="15"/>
  <c r="X236" i="15"/>
  <c r="X237" i="15"/>
  <c r="X238" i="15"/>
  <c r="X239" i="15"/>
  <c r="X240" i="15"/>
  <c r="X241" i="15"/>
  <c r="X242" i="15"/>
  <c r="X243" i="15"/>
  <c r="X244" i="15"/>
  <c r="X245" i="15"/>
  <c r="X246" i="15"/>
  <c r="X247" i="15"/>
  <c r="X248" i="15"/>
  <c r="X249" i="15"/>
  <c r="X250" i="15"/>
  <c r="X251" i="15"/>
  <c r="X252" i="15"/>
  <c r="X253" i="15"/>
  <c r="X254" i="15"/>
  <c r="X255" i="15"/>
  <c r="X256" i="15"/>
  <c r="X257" i="15"/>
  <c r="X258" i="15"/>
  <c r="X259" i="15"/>
  <c r="X260" i="15"/>
  <c r="X261" i="15"/>
  <c r="X262" i="15"/>
  <c r="X263" i="15"/>
  <c r="X264" i="15"/>
  <c r="X265" i="15"/>
  <c r="X266" i="15"/>
  <c r="X267" i="15"/>
  <c r="X268" i="15"/>
  <c r="X269" i="15"/>
  <c r="X270" i="15"/>
  <c r="X271" i="15"/>
  <c r="X272" i="15"/>
  <c r="X273" i="15"/>
  <c r="X274" i="15"/>
  <c r="X275" i="15"/>
  <c r="X276" i="15"/>
  <c r="X277" i="15"/>
  <c r="X278" i="15"/>
  <c r="X279" i="15"/>
  <c r="X280" i="15"/>
  <c r="X281" i="15"/>
  <c r="X282" i="15"/>
  <c r="X283" i="15"/>
  <c r="X284" i="15"/>
  <c r="X285" i="15"/>
  <c r="X286" i="15"/>
  <c r="X287" i="15"/>
  <c r="X288" i="15"/>
  <c r="X289" i="15"/>
  <c r="X290" i="15"/>
  <c r="X291" i="15"/>
  <c r="X292" i="15"/>
  <c r="X293" i="15"/>
  <c r="X294" i="15"/>
  <c r="X295" i="15"/>
  <c r="X296" i="15"/>
  <c r="X297" i="15"/>
  <c r="X298" i="15"/>
  <c r="X299" i="15"/>
  <c r="X300" i="15"/>
  <c r="X301" i="15"/>
  <c r="X302" i="15"/>
  <c r="X303" i="15"/>
  <c r="X304" i="15"/>
  <c r="X305" i="15"/>
  <c r="X306" i="15"/>
  <c r="X307" i="15"/>
  <c r="X308" i="15"/>
  <c r="X309" i="15"/>
  <c r="X310" i="15"/>
  <c r="X311" i="15"/>
  <c r="X312" i="15"/>
  <c r="X313" i="15"/>
  <c r="X314" i="15"/>
  <c r="X315" i="15"/>
  <c r="X316" i="15"/>
  <c r="X317" i="15"/>
  <c r="X318" i="15"/>
  <c r="X319" i="15"/>
  <c r="X320" i="15"/>
  <c r="X321" i="15"/>
  <c r="X322" i="15"/>
  <c r="X323" i="15"/>
  <c r="X324" i="15"/>
  <c r="X325" i="15"/>
  <c r="X326" i="15"/>
  <c r="X327" i="15"/>
  <c r="X328" i="15"/>
  <c r="X329" i="15"/>
  <c r="X330" i="15"/>
  <c r="X331" i="15"/>
  <c r="X332" i="15"/>
  <c r="X333" i="15"/>
  <c r="X334" i="15"/>
  <c r="X335" i="15"/>
  <c r="X336" i="15"/>
  <c r="X337" i="15"/>
  <c r="X338" i="15"/>
  <c r="I338" i="18"/>
  <c r="H338" i="18"/>
  <c r="I337" i="18"/>
  <c r="H337" i="18"/>
  <c r="I336" i="18"/>
  <c r="H336" i="18"/>
  <c r="I335" i="18"/>
  <c r="H335" i="18"/>
  <c r="I334" i="18"/>
  <c r="H334" i="18"/>
  <c r="I333" i="18"/>
  <c r="H333" i="18"/>
  <c r="I332" i="18"/>
  <c r="H332" i="18"/>
  <c r="I331" i="18"/>
  <c r="H331" i="18"/>
  <c r="I330" i="18"/>
  <c r="H330" i="18"/>
  <c r="I329" i="18"/>
  <c r="H329" i="18"/>
  <c r="I328" i="18"/>
  <c r="H328" i="18"/>
  <c r="I327" i="18"/>
  <c r="H327" i="18"/>
  <c r="I326" i="18"/>
  <c r="H326" i="18"/>
  <c r="I325" i="18"/>
  <c r="H325" i="18"/>
  <c r="I324" i="18"/>
  <c r="H324" i="18"/>
  <c r="I323" i="18"/>
  <c r="H323" i="18"/>
  <c r="I322" i="18"/>
  <c r="H322" i="18"/>
  <c r="I321" i="18"/>
  <c r="H321" i="18"/>
  <c r="I320" i="18"/>
  <c r="H320" i="18"/>
  <c r="I319" i="18"/>
  <c r="H319" i="18"/>
  <c r="I318" i="18"/>
  <c r="H318" i="18"/>
  <c r="I317" i="18"/>
  <c r="H317" i="18"/>
  <c r="I316" i="18"/>
  <c r="H316" i="18"/>
  <c r="I315" i="18"/>
  <c r="H315" i="18"/>
  <c r="I314" i="18"/>
  <c r="H314" i="18"/>
  <c r="I313" i="18"/>
  <c r="H313" i="18"/>
  <c r="I312" i="18"/>
  <c r="H312" i="18"/>
  <c r="I311" i="18"/>
  <c r="H311" i="18"/>
  <c r="I310" i="18"/>
  <c r="H310" i="18"/>
  <c r="I309" i="18"/>
  <c r="H309" i="18"/>
  <c r="I308" i="18"/>
  <c r="H308" i="18"/>
  <c r="I307" i="18"/>
  <c r="H307" i="18"/>
  <c r="I306" i="18"/>
  <c r="H306" i="18"/>
  <c r="I305" i="18"/>
  <c r="H305" i="18"/>
  <c r="I304" i="18"/>
  <c r="H304" i="18"/>
  <c r="I303" i="18"/>
  <c r="H303" i="18"/>
  <c r="I302" i="18"/>
  <c r="H302" i="18"/>
  <c r="I301" i="18"/>
  <c r="H301" i="18"/>
  <c r="I300" i="18"/>
  <c r="H300" i="18"/>
  <c r="I299" i="18"/>
  <c r="H299" i="18"/>
  <c r="I298" i="18"/>
  <c r="H298" i="18"/>
  <c r="I297" i="18"/>
  <c r="H297" i="18"/>
  <c r="I296" i="18"/>
  <c r="H296" i="18"/>
  <c r="I295" i="18"/>
  <c r="H295" i="18"/>
  <c r="I294" i="18"/>
  <c r="H294" i="18"/>
  <c r="I293" i="18"/>
  <c r="H293" i="18"/>
  <c r="I292" i="18"/>
  <c r="H292" i="18"/>
  <c r="I291" i="18"/>
  <c r="H291" i="18"/>
  <c r="I290" i="18"/>
  <c r="H290" i="18"/>
  <c r="I289" i="18"/>
  <c r="H289" i="18"/>
  <c r="I288" i="18"/>
  <c r="H288" i="18"/>
  <c r="I287" i="18"/>
  <c r="H287" i="18"/>
  <c r="I286" i="18"/>
  <c r="H286" i="18"/>
  <c r="I285" i="18"/>
  <c r="H285" i="18"/>
  <c r="I284" i="18"/>
  <c r="H284" i="18"/>
  <c r="I283" i="18"/>
  <c r="H283" i="18"/>
  <c r="I282" i="18"/>
  <c r="H282" i="18"/>
  <c r="I281" i="18"/>
  <c r="H281" i="18"/>
  <c r="I280" i="18"/>
  <c r="H280" i="18"/>
  <c r="I279" i="18"/>
  <c r="H279" i="18"/>
  <c r="I278" i="18"/>
  <c r="H278" i="18"/>
  <c r="I277" i="18"/>
  <c r="H277" i="18"/>
  <c r="I276" i="18"/>
  <c r="H276" i="18"/>
  <c r="I275" i="18"/>
  <c r="H275" i="18"/>
  <c r="I274" i="18"/>
  <c r="H274" i="18"/>
  <c r="I273" i="18"/>
  <c r="H273" i="18"/>
  <c r="I272" i="18"/>
  <c r="H272" i="18"/>
  <c r="I271" i="18"/>
  <c r="H271" i="18"/>
  <c r="I270" i="18"/>
  <c r="H270" i="18"/>
  <c r="I269" i="18"/>
  <c r="H269" i="18"/>
  <c r="I268" i="18"/>
  <c r="H268" i="18"/>
  <c r="I267" i="18"/>
  <c r="H267" i="18"/>
  <c r="I266" i="18"/>
  <c r="H266" i="18"/>
  <c r="I265" i="18"/>
  <c r="H265" i="18"/>
  <c r="I264" i="18"/>
  <c r="H264" i="18"/>
  <c r="I263" i="18"/>
  <c r="H263" i="18"/>
  <c r="I262" i="18"/>
  <c r="H262" i="18"/>
  <c r="I261" i="18"/>
  <c r="H261" i="18"/>
  <c r="I260" i="18"/>
  <c r="H260" i="18"/>
  <c r="I259" i="18"/>
  <c r="H259" i="18"/>
  <c r="I258" i="18"/>
  <c r="H258" i="18"/>
  <c r="I257" i="18"/>
  <c r="H257" i="18"/>
  <c r="I256" i="18"/>
  <c r="H256" i="18"/>
  <c r="I255" i="18"/>
  <c r="H255" i="18"/>
  <c r="I254" i="18"/>
  <c r="H254" i="18"/>
  <c r="I253" i="18"/>
  <c r="H253" i="18"/>
  <c r="I252" i="18"/>
  <c r="H252" i="18"/>
  <c r="I251" i="18"/>
  <c r="H251" i="18"/>
  <c r="I250" i="18"/>
  <c r="H250" i="18"/>
  <c r="I249" i="18"/>
  <c r="H249" i="18"/>
  <c r="I248" i="18"/>
  <c r="H248" i="18"/>
  <c r="I247" i="18"/>
  <c r="H247" i="18"/>
  <c r="I246" i="18"/>
  <c r="H246" i="18"/>
  <c r="I245" i="18"/>
  <c r="H245" i="18"/>
  <c r="I244" i="18"/>
  <c r="H244" i="18"/>
  <c r="I243" i="18"/>
  <c r="H243" i="18"/>
  <c r="I242" i="18"/>
  <c r="H242" i="18"/>
  <c r="I241" i="18"/>
  <c r="H241" i="18"/>
  <c r="I240" i="18"/>
  <c r="H240" i="18"/>
  <c r="I239" i="18"/>
  <c r="H239" i="18"/>
  <c r="I238" i="18"/>
  <c r="H238" i="18"/>
  <c r="I237" i="18"/>
  <c r="H237" i="18"/>
  <c r="I236" i="18"/>
  <c r="H236" i="18"/>
  <c r="I235" i="18"/>
  <c r="H235" i="18"/>
  <c r="I234" i="18"/>
  <c r="H234" i="18"/>
  <c r="I233" i="18"/>
  <c r="H233" i="18"/>
  <c r="I232" i="18"/>
  <c r="H232" i="18"/>
  <c r="I231" i="18"/>
  <c r="H231" i="18"/>
  <c r="I230" i="18"/>
  <c r="H230" i="18"/>
  <c r="I229" i="18"/>
  <c r="H229" i="18"/>
  <c r="I228" i="18"/>
  <c r="H228" i="18"/>
  <c r="I227" i="18"/>
  <c r="H227" i="18"/>
  <c r="I226" i="18"/>
  <c r="H226" i="18"/>
  <c r="I225" i="18"/>
  <c r="H225" i="18"/>
  <c r="I224" i="18"/>
  <c r="H224" i="18"/>
  <c r="I223" i="18"/>
  <c r="H223" i="18"/>
  <c r="I222" i="18"/>
  <c r="H222" i="18"/>
  <c r="I221" i="18"/>
  <c r="H221" i="18"/>
  <c r="I220" i="18"/>
  <c r="H220" i="18"/>
  <c r="I219" i="18"/>
  <c r="H219" i="18"/>
  <c r="I218" i="18"/>
  <c r="H218" i="18"/>
  <c r="I217" i="18"/>
  <c r="H217" i="18"/>
  <c r="I216" i="18"/>
  <c r="H216" i="18"/>
  <c r="I215" i="18"/>
  <c r="H215" i="18"/>
  <c r="I214" i="18"/>
  <c r="H214" i="18"/>
  <c r="I213" i="18"/>
  <c r="H213" i="18"/>
  <c r="I212" i="18"/>
  <c r="H212" i="18"/>
  <c r="I211" i="18"/>
  <c r="H211" i="18"/>
  <c r="I210" i="18"/>
  <c r="H210" i="18"/>
  <c r="I209" i="18"/>
  <c r="H209" i="18"/>
  <c r="I208" i="18"/>
  <c r="H208" i="18"/>
  <c r="I207" i="18"/>
  <c r="H207" i="18"/>
  <c r="I206" i="18"/>
  <c r="H206" i="18"/>
  <c r="I205" i="18"/>
  <c r="H205" i="18"/>
  <c r="I204" i="18"/>
  <c r="H204" i="18"/>
  <c r="I203" i="18"/>
  <c r="H203" i="18"/>
  <c r="I202" i="18"/>
  <c r="H202" i="18"/>
  <c r="I201" i="18"/>
  <c r="H201" i="18"/>
  <c r="I200" i="18"/>
  <c r="H200" i="18"/>
  <c r="I199" i="18"/>
  <c r="H199" i="18"/>
  <c r="I198" i="18"/>
  <c r="H198" i="18"/>
  <c r="I197" i="18"/>
  <c r="H197" i="18"/>
  <c r="I196" i="18"/>
  <c r="H196" i="18"/>
  <c r="I195" i="18"/>
  <c r="H195" i="18"/>
  <c r="I194" i="18"/>
  <c r="H194" i="18"/>
  <c r="I193" i="18"/>
  <c r="H193" i="18"/>
  <c r="I192" i="18"/>
  <c r="H192" i="18"/>
  <c r="I191" i="18"/>
  <c r="H191" i="18"/>
  <c r="I190" i="18"/>
  <c r="H190" i="18"/>
  <c r="I189" i="18"/>
  <c r="H189" i="18"/>
  <c r="I188" i="18"/>
  <c r="H188" i="18"/>
  <c r="I187" i="18"/>
  <c r="H187" i="18"/>
  <c r="I186" i="18"/>
  <c r="H186" i="18"/>
  <c r="I185" i="18"/>
  <c r="H185" i="18"/>
  <c r="I184" i="18"/>
  <c r="H184" i="18"/>
  <c r="I183" i="18"/>
  <c r="H183" i="18"/>
  <c r="I182" i="18"/>
  <c r="H182" i="18"/>
  <c r="I181" i="18"/>
  <c r="H181" i="18"/>
  <c r="I180" i="18"/>
  <c r="H180" i="18"/>
  <c r="I179" i="18"/>
  <c r="H179" i="18"/>
  <c r="I178" i="18"/>
  <c r="H178" i="18"/>
  <c r="I177" i="18"/>
  <c r="H177" i="18"/>
  <c r="I176" i="18"/>
  <c r="H176" i="18"/>
  <c r="I175" i="18"/>
  <c r="H175" i="18"/>
  <c r="I174" i="18"/>
  <c r="H174" i="18"/>
  <c r="I173" i="18"/>
  <c r="H173" i="18"/>
  <c r="I172" i="18"/>
  <c r="H172" i="18"/>
  <c r="I171" i="18"/>
  <c r="H171" i="18"/>
  <c r="I170" i="18"/>
  <c r="H170" i="18"/>
  <c r="I169" i="18"/>
  <c r="H169" i="18"/>
  <c r="I168" i="18"/>
  <c r="H168" i="18"/>
  <c r="I167" i="18"/>
  <c r="H167" i="18"/>
  <c r="I166" i="18"/>
  <c r="H166" i="18"/>
  <c r="I165" i="18"/>
  <c r="H165" i="18"/>
  <c r="I164" i="18"/>
  <c r="H164" i="18"/>
  <c r="I163" i="18"/>
  <c r="H163" i="18"/>
  <c r="I162" i="18"/>
  <c r="H162" i="18"/>
  <c r="I161" i="18"/>
  <c r="H161" i="18"/>
  <c r="I160" i="18"/>
  <c r="H160" i="18"/>
  <c r="I159" i="18"/>
  <c r="H159" i="18"/>
  <c r="I158" i="18"/>
  <c r="H158" i="18"/>
  <c r="I157" i="18"/>
  <c r="H157" i="18"/>
  <c r="I156" i="18"/>
  <c r="H156" i="18"/>
  <c r="I155" i="18"/>
  <c r="H155" i="18"/>
  <c r="I154" i="18"/>
  <c r="H154" i="18"/>
  <c r="I153" i="18"/>
  <c r="H153" i="18"/>
  <c r="I152" i="18"/>
  <c r="H152" i="18"/>
  <c r="I151" i="18"/>
  <c r="H151" i="18"/>
  <c r="I150" i="18"/>
  <c r="H150" i="18"/>
  <c r="I149" i="18"/>
  <c r="H149" i="18"/>
  <c r="I148" i="18"/>
  <c r="H148" i="18"/>
  <c r="I147" i="18"/>
  <c r="H147" i="18"/>
  <c r="I146" i="18"/>
  <c r="H146" i="18"/>
  <c r="I145" i="18"/>
  <c r="H145" i="18"/>
  <c r="I144" i="18"/>
  <c r="H144" i="18"/>
  <c r="I143" i="18"/>
  <c r="H143" i="18"/>
  <c r="I142" i="18"/>
  <c r="H142" i="18"/>
  <c r="I141" i="18"/>
  <c r="H141" i="18"/>
  <c r="I140" i="18"/>
  <c r="H140" i="18"/>
  <c r="I139" i="18"/>
  <c r="H139" i="18"/>
  <c r="I138" i="18"/>
  <c r="H138" i="18"/>
  <c r="I137" i="18"/>
  <c r="H137" i="18"/>
  <c r="I136" i="18"/>
  <c r="H136" i="18"/>
  <c r="I135" i="18"/>
  <c r="H135" i="18"/>
  <c r="I134" i="18"/>
  <c r="H134" i="18"/>
  <c r="I133" i="18"/>
  <c r="H133" i="18"/>
  <c r="I132" i="18"/>
  <c r="H132" i="18"/>
  <c r="I131" i="18"/>
  <c r="H131" i="18"/>
  <c r="I130" i="18"/>
  <c r="H130" i="18"/>
  <c r="I129" i="18"/>
  <c r="H129" i="18"/>
  <c r="I128" i="18"/>
  <c r="H128" i="18"/>
  <c r="I127" i="18"/>
  <c r="H127" i="18"/>
  <c r="I126" i="18"/>
  <c r="H126" i="18"/>
  <c r="I125" i="18"/>
  <c r="H125" i="18"/>
  <c r="I124" i="18"/>
  <c r="H124" i="18"/>
  <c r="I123" i="18"/>
  <c r="H123" i="18"/>
  <c r="I122" i="18"/>
  <c r="H122" i="18"/>
  <c r="I121" i="18"/>
  <c r="H121" i="18"/>
  <c r="I120" i="18"/>
  <c r="H120" i="18"/>
  <c r="I119" i="18"/>
  <c r="H119" i="18"/>
  <c r="I118" i="18"/>
  <c r="H118" i="18"/>
  <c r="I117" i="18"/>
  <c r="H117" i="18"/>
  <c r="I116" i="18"/>
  <c r="H116" i="18"/>
  <c r="I115" i="18"/>
  <c r="H115" i="18"/>
  <c r="I114" i="18"/>
  <c r="H114" i="18"/>
  <c r="I113" i="18"/>
  <c r="H113" i="18"/>
  <c r="I112" i="18"/>
  <c r="H112" i="18"/>
  <c r="I111" i="18"/>
  <c r="H111" i="18"/>
  <c r="I110" i="18"/>
  <c r="H110" i="18"/>
  <c r="I109" i="18"/>
  <c r="H109" i="18"/>
  <c r="I108" i="18"/>
  <c r="H108" i="18"/>
  <c r="I107" i="18"/>
  <c r="H107" i="18"/>
  <c r="I106" i="18"/>
  <c r="H106" i="18"/>
  <c r="I105" i="18"/>
  <c r="H105" i="18"/>
  <c r="I104" i="18"/>
  <c r="H104" i="18"/>
  <c r="I103" i="18"/>
  <c r="H103" i="18"/>
  <c r="I102" i="18"/>
  <c r="H102" i="18"/>
  <c r="I101" i="18"/>
  <c r="H101" i="18"/>
  <c r="I100" i="18"/>
  <c r="H100" i="18"/>
  <c r="I99" i="18"/>
  <c r="H99" i="18"/>
  <c r="I98" i="18"/>
  <c r="H98" i="18"/>
  <c r="I97" i="18"/>
  <c r="H97" i="18"/>
  <c r="I96" i="18"/>
  <c r="H96" i="18"/>
  <c r="I95" i="18"/>
  <c r="H95" i="18"/>
  <c r="I94" i="18"/>
  <c r="H94" i="18"/>
  <c r="I93" i="18"/>
  <c r="H93" i="18"/>
  <c r="I92" i="18"/>
  <c r="H92" i="18"/>
  <c r="I91" i="18"/>
  <c r="H91" i="18"/>
  <c r="I90" i="18"/>
  <c r="H90" i="18"/>
  <c r="I89" i="18"/>
  <c r="H89" i="18"/>
  <c r="I88" i="18"/>
  <c r="H88" i="18"/>
  <c r="I87" i="18"/>
  <c r="H87" i="18"/>
  <c r="I86" i="18"/>
  <c r="H86" i="18"/>
  <c r="I85" i="18"/>
  <c r="H85" i="18"/>
  <c r="I84" i="18"/>
  <c r="H84" i="18"/>
  <c r="I83" i="18"/>
  <c r="H83" i="18"/>
  <c r="I82" i="18"/>
  <c r="H82" i="18"/>
  <c r="I81" i="18"/>
  <c r="H81" i="18"/>
  <c r="I80" i="18"/>
  <c r="H80" i="18"/>
  <c r="I79" i="18"/>
  <c r="H79" i="18"/>
  <c r="I78" i="18"/>
  <c r="H78" i="18"/>
  <c r="I77" i="18"/>
  <c r="H77" i="18"/>
  <c r="I76" i="18"/>
  <c r="H76" i="18"/>
  <c r="I75" i="18"/>
  <c r="H75" i="18"/>
  <c r="I74" i="18"/>
  <c r="H74" i="18"/>
  <c r="I73" i="18"/>
  <c r="H73" i="18"/>
  <c r="I72" i="18"/>
  <c r="H72" i="18"/>
  <c r="I71" i="18"/>
  <c r="H71" i="18"/>
  <c r="I70" i="18"/>
  <c r="H70" i="18"/>
  <c r="I69" i="18"/>
  <c r="H69" i="18"/>
  <c r="I68" i="18"/>
  <c r="H68" i="18"/>
  <c r="I67" i="18"/>
  <c r="H67" i="18"/>
  <c r="I66" i="18"/>
  <c r="H66" i="18"/>
  <c r="I65" i="18"/>
  <c r="H65" i="18"/>
  <c r="I64" i="18"/>
  <c r="H64" i="18"/>
  <c r="I63" i="18"/>
  <c r="H63" i="18"/>
  <c r="I62" i="18"/>
  <c r="H62" i="18"/>
  <c r="I61" i="18"/>
  <c r="H61" i="18"/>
  <c r="I60" i="18"/>
  <c r="H60" i="18"/>
  <c r="I59" i="18"/>
  <c r="H59" i="18"/>
  <c r="I58" i="18"/>
  <c r="H58" i="18"/>
  <c r="I57" i="18"/>
  <c r="H57" i="18"/>
  <c r="I56" i="18"/>
  <c r="H56" i="18"/>
  <c r="I55" i="18"/>
  <c r="H55" i="18"/>
  <c r="I54" i="18"/>
  <c r="H54" i="18"/>
  <c r="I53" i="18"/>
  <c r="H53" i="18"/>
  <c r="I52" i="18"/>
  <c r="H52" i="18"/>
  <c r="I51" i="18"/>
  <c r="H51" i="18"/>
  <c r="I50" i="18"/>
  <c r="H50" i="18"/>
  <c r="I49" i="18"/>
  <c r="H49" i="18"/>
  <c r="I48" i="18"/>
  <c r="H48" i="18"/>
  <c r="I47" i="18"/>
  <c r="H47" i="18"/>
  <c r="I46" i="18"/>
  <c r="H46" i="18"/>
  <c r="I45" i="18"/>
  <c r="H45" i="18"/>
  <c r="I44" i="18"/>
  <c r="H44" i="18"/>
  <c r="I43" i="18"/>
  <c r="H43" i="18"/>
  <c r="I42" i="18"/>
  <c r="H42" i="18"/>
  <c r="I41" i="18"/>
  <c r="H41" i="18"/>
  <c r="I40" i="18"/>
  <c r="H40" i="18"/>
  <c r="I39" i="18"/>
  <c r="H39" i="18"/>
  <c r="I38" i="18"/>
  <c r="H38" i="18"/>
  <c r="I37" i="18"/>
  <c r="H37" i="18"/>
  <c r="I36" i="18"/>
  <c r="H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I5" i="18"/>
  <c r="H5" i="18"/>
  <c r="I4" i="18"/>
  <c r="H4" i="18"/>
  <c r="I3" i="18"/>
  <c r="H3" i="18"/>
  <c r="I2" i="18"/>
  <c r="H2" i="18"/>
  <c r="H338" i="17"/>
  <c r="G338" i="17"/>
  <c r="H337" i="17"/>
  <c r="G337" i="17"/>
  <c r="H336" i="17"/>
  <c r="G336" i="17"/>
  <c r="H335" i="17"/>
  <c r="G335" i="17"/>
  <c r="H334" i="17"/>
  <c r="G334" i="17"/>
  <c r="H333" i="17"/>
  <c r="G333" i="17"/>
  <c r="H332" i="17"/>
  <c r="G332" i="17"/>
  <c r="H331" i="17"/>
  <c r="G331" i="17"/>
  <c r="H330" i="17"/>
  <c r="G330" i="17"/>
  <c r="H329" i="17"/>
  <c r="G329" i="17"/>
  <c r="H328" i="17"/>
  <c r="G328" i="17"/>
  <c r="H327" i="17"/>
  <c r="G327" i="17"/>
  <c r="H326" i="17"/>
  <c r="G326" i="17"/>
  <c r="H325" i="17"/>
  <c r="G325" i="17"/>
  <c r="H324" i="17"/>
  <c r="G324" i="17"/>
  <c r="H323" i="17"/>
  <c r="G323" i="17"/>
  <c r="H322" i="17"/>
  <c r="G322" i="17"/>
  <c r="H321" i="17"/>
  <c r="G321" i="17"/>
  <c r="H320" i="17"/>
  <c r="G320" i="17"/>
  <c r="H319" i="17"/>
  <c r="G319" i="17"/>
  <c r="H318" i="17"/>
  <c r="G318" i="17"/>
  <c r="H317" i="17"/>
  <c r="G317" i="17"/>
  <c r="H316" i="17"/>
  <c r="G316" i="17"/>
  <c r="H315" i="17"/>
  <c r="G315" i="17"/>
  <c r="H314" i="17"/>
  <c r="G314" i="17"/>
  <c r="H313" i="17"/>
  <c r="G313" i="17"/>
  <c r="H312" i="17"/>
  <c r="G312" i="17"/>
  <c r="H311" i="17"/>
  <c r="G311" i="17"/>
  <c r="H310" i="17"/>
  <c r="G310" i="17"/>
  <c r="H309" i="17"/>
  <c r="G309" i="17"/>
  <c r="H308" i="17"/>
  <c r="G308" i="17"/>
  <c r="H307" i="17"/>
  <c r="G307" i="17"/>
  <c r="H306" i="17"/>
  <c r="G306" i="17"/>
  <c r="H305" i="17"/>
  <c r="G305" i="17"/>
  <c r="H304" i="17"/>
  <c r="G304" i="17"/>
  <c r="H303" i="17"/>
  <c r="G303" i="17"/>
  <c r="H302" i="17"/>
  <c r="G302" i="17"/>
  <c r="H301" i="17"/>
  <c r="G301" i="17"/>
  <c r="H300" i="17"/>
  <c r="G300" i="17"/>
  <c r="H299" i="17"/>
  <c r="G299" i="17"/>
  <c r="H298" i="17"/>
  <c r="G298" i="17"/>
  <c r="H297" i="17"/>
  <c r="G297" i="17"/>
  <c r="H296" i="17"/>
  <c r="G296" i="17"/>
  <c r="H295" i="17"/>
  <c r="G295" i="17"/>
  <c r="H294" i="17"/>
  <c r="G294" i="17"/>
  <c r="H293" i="17"/>
  <c r="G293" i="17"/>
  <c r="H292" i="17"/>
  <c r="G292" i="17"/>
  <c r="H291" i="17"/>
  <c r="G291" i="17"/>
  <c r="H290" i="17"/>
  <c r="G290" i="17"/>
  <c r="H289" i="17"/>
  <c r="G289" i="17"/>
  <c r="H288" i="17"/>
  <c r="G288" i="17"/>
  <c r="H287" i="17"/>
  <c r="G287" i="17"/>
  <c r="H286" i="17"/>
  <c r="G286" i="17"/>
  <c r="H285" i="17"/>
  <c r="G285" i="17"/>
  <c r="H284" i="17"/>
  <c r="G284" i="17"/>
  <c r="H283" i="17"/>
  <c r="G283" i="17"/>
  <c r="H282" i="17"/>
  <c r="G282" i="17"/>
  <c r="H281" i="17"/>
  <c r="G281" i="17"/>
  <c r="H280" i="17"/>
  <c r="G280" i="17"/>
  <c r="H279" i="17"/>
  <c r="G279" i="17"/>
  <c r="H278" i="17"/>
  <c r="G278" i="17"/>
  <c r="H277" i="17"/>
  <c r="G277" i="17"/>
  <c r="H276" i="17"/>
  <c r="G276" i="17"/>
  <c r="H275" i="17"/>
  <c r="G275" i="17"/>
  <c r="H274" i="17"/>
  <c r="G274" i="17"/>
  <c r="H273" i="17"/>
  <c r="G273" i="17"/>
  <c r="H272" i="17"/>
  <c r="G272" i="17"/>
  <c r="H271" i="17"/>
  <c r="G271" i="17"/>
  <c r="H270" i="17"/>
  <c r="G270" i="17"/>
  <c r="H269" i="17"/>
  <c r="G269" i="17"/>
  <c r="H268" i="17"/>
  <c r="G268" i="17"/>
  <c r="H267" i="17"/>
  <c r="G267" i="17"/>
  <c r="H266" i="17"/>
  <c r="G266" i="17"/>
  <c r="H265" i="17"/>
  <c r="G265" i="17"/>
  <c r="H264" i="17"/>
  <c r="G264" i="17"/>
  <c r="H263" i="17"/>
  <c r="G263" i="17"/>
  <c r="H262" i="17"/>
  <c r="G262" i="17"/>
  <c r="H261" i="17"/>
  <c r="G261" i="17"/>
  <c r="H260" i="17"/>
  <c r="G260" i="17"/>
  <c r="H259" i="17"/>
  <c r="G259" i="17"/>
  <c r="H258" i="17"/>
  <c r="G258" i="17"/>
  <c r="H257" i="17"/>
  <c r="G257" i="17"/>
  <c r="H256" i="17"/>
  <c r="G256" i="17"/>
  <c r="H255" i="17"/>
  <c r="G255" i="17"/>
  <c r="H254" i="17"/>
  <c r="G254" i="17"/>
  <c r="H253" i="17"/>
  <c r="G253" i="17"/>
  <c r="H252" i="17"/>
  <c r="G252" i="17"/>
  <c r="H251" i="17"/>
  <c r="G251" i="17"/>
  <c r="H250" i="17"/>
  <c r="G250" i="17"/>
  <c r="H249" i="17"/>
  <c r="G249" i="17"/>
  <c r="H248" i="17"/>
  <c r="G248" i="17"/>
  <c r="H247" i="17"/>
  <c r="G247" i="17"/>
  <c r="H246" i="17"/>
  <c r="G246" i="17"/>
  <c r="H245" i="17"/>
  <c r="G245" i="17"/>
  <c r="H244" i="17"/>
  <c r="G244" i="17"/>
  <c r="H243" i="17"/>
  <c r="G243" i="17"/>
  <c r="H242" i="17"/>
  <c r="G242" i="17"/>
  <c r="H241" i="17"/>
  <c r="G241" i="17"/>
  <c r="H240" i="17"/>
  <c r="G240" i="17"/>
  <c r="H239" i="17"/>
  <c r="G239" i="17"/>
  <c r="H238" i="17"/>
  <c r="G238" i="17"/>
  <c r="H237" i="17"/>
  <c r="G237" i="17"/>
  <c r="H236" i="17"/>
  <c r="G236" i="17"/>
  <c r="H235" i="17"/>
  <c r="G235" i="17"/>
  <c r="H234" i="17"/>
  <c r="G234" i="17"/>
  <c r="H233" i="17"/>
  <c r="G233" i="17"/>
  <c r="H232" i="17"/>
  <c r="G232" i="17"/>
  <c r="H231" i="17"/>
  <c r="G231" i="17"/>
  <c r="H230" i="17"/>
  <c r="G230" i="17"/>
  <c r="H229" i="17"/>
  <c r="G229" i="17"/>
  <c r="H228" i="17"/>
  <c r="G228" i="17"/>
  <c r="H227" i="17"/>
  <c r="G227" i="17"/>
  <c r="H226" i="17"/>
  <c r="G226" i="17"/>
  <c r="H225" i="17"/>
  <c r="G225" i="17"/>
  <c r="H224" i="17"/>
  <c r="G224" i="17"/>
  <c r="H223" i="17"/>
  <c r="G223" i="17"/>
  <c r="H222" i="17"/>
  <c r="G222" i="17"/>
  <c r="H221" i="17"/>
  <c r="G221" i="17"/>
  <c r="H220" i="17"/>
  <c r="G220" i="17"/>
  <c r="H219" i="17"/>
  <c r="G219" i="17"/>
  <c r="H218" i="17"/>
  <c r="G218" i="17"/>
  <c r="H217" i="17"/>
  <c r="G217" i="17"/>
  <c r="H216" i="17"/>
  <c r="G216" i="17"/>
  <c r="H215" i="17"/>
  <c r="G215" i="17"/>
  <c r="H214" i="17"/>
  <c r="G214" i="17"/>
  <c r="H213" i="17"/>
  <c r="G213" i="17"/>
  <c r="H212" i="17"/>
  <c r="G212" i="17"/>
  <c r="H211" i="17"/>
  <c r="G211" i="17"/>
  <c r="H210" i="17"/>
  <c r="G210" i="17"/>
  <c r="H209" i="17"/>
  <c r="G209" i="17"/>
  <c r="H208" i="17"/>
  <c r="G208" i="17"/>
  <c r="H207" i="17"/>
  <c r="G207" i="17"/>
  <c r="H206" i="17"/>
  <c r="G206" i="17"/>
  <c r="H205" i="17"/>
  <c r="G205" i="17"/>
  <c r="H204" i="17"/>
  <c r="G204" i="17"/>
  <c r="H203" i="17"/>
  <c r="G203" i="17"/>
  <c r="H202" i="17"/>
  <c r="G202" i="17"/>
  <c r="H201" i="17"/>
  <c r="G201" i="17"/>
  <c r="H200" i="17"/>
  <c r="G200" i="17"/>
  <c r="H199" i="17"/>
  <c r="G199" i="17"/>
  <c r="H198" i="17"/>
  <c r="G198" i="17"/>
  <c r="H197" i="17"/>
  <c r="G197" i="17"/>
  <c r="H196" i="17"/>
  <c r="G196" i="17"/>
  <c r="H195" i="17"/>
  <c r="G195" i="17"/>
  <c r="H194" i="17"/>
  <c r="G194" i="17"/>
  <c r="H193" i="17"/>
  <c r="G193" i="17"/>
  <c r="H192" i="17"/>
  <c r="G192" i="17"/>
  <c r="H191" i="17"/>
  <c r="G191" i="17"/>
  <c r="H190" i="17"/>
  <c r="G190" i="17"/>
  <c r="H189" i="17"/>
  <c r="G189" i="17"/>
  <c r="H188" i="17"/>
  <c r="G188" i="17"/>
  <c r="H187" i="17"/>
  <c r="G187" i="17"/>
  <c r="H186" i="17"/>
  <c r="G186" i="17"/>
  <c r="H185" i="17"/>
  <c r="G185" i="17"/>
  <c r="H184" i="17"/>
  <c r="G184" i="17"/>
  <c r="H183" i="17"/>
  <c r="G183" i="17"/>
  <c r="H182" i="17"/>
  <c r="G182" i="17"/>
  <c r="H181" i="17"/>
  <c r="G181" i="17"/>
  <c r="H180" i="17"/>
  <c r="G180" i="17"/>
  <c r="H179" i="17"/>
  <c r="G179" i="17"/>
  <c r="H178" i="17"/>
  <c r="G178" i="17"/>
  <c r="H177" i="17"/>
  <c r="G177" i="17"/>
  <c r="H176" i="17"/>
  <c r="G176" i="17"/>
  <c r="H175" i="17"/>
  <c r="G175" i="17"/>
  <c r="H174" i="17"/>
  <c r="G174" i="17"/>
  <c r="H173" i="17"/>
  <c r="G173" i="17"/>
  <c r="H172" i="17"/>
  <c r="G172" i="17"/>
  <c r="H171" i="17"/>
  <c r="G171" i="17"/>
  <c r="H170" i="17"/>
  <c r="G170" i="17"/>
  <c r="H169" i="17"/>
  <c r="G169" i="17"/>
  <c r="H168" i="17"/>
  <c r="G168" i="17"/>
  <c r="H167" i="17"/>
  <c r="G167" i="17"/>
  <c r="H166" i="17"/>
  <c r="G166" i="17"/>
  <c r="H165" i="17"/>
  <c r="G165" i="17"/>
  <c r="H164" i="17"/>
  <c r="G164" i="17"/>
  <c r="H163" i="17"/>
  <c r="G163" i="17"/>
  <c r="H162" i="17"/>
  <c r="G162" i="17"/>
  <c r="H161" i="17"/>
  <c r="G161" i="17"/>
  <c r="H160" i="17"/>
  <c r="G160" i="17"/>
  <c r="H159" i="17"/>
  <c r="G159" i="17"/>
  <c r="H158" i="17"/>
  <c r="G158" i="17"/>
  <c r="H157" i="17"/>
  <c r="G157" i="17"/>
  <c r="H156" i="17"/>
  <c r="G156" i="17"/>
  <c r="H155" i="17"/>
  <c r="G155" i="17"/>
  <c r="H154" i="17"/>
  <c r="G154" i="17"/>
  <c r="H153" i="17"/>
  <c r="G153" i="17"/>
  <c r="H152" i="17"/>
  <c r="G152" i="17"/>
  <c r="H151" i="17"/>
  <c r="G151" i="17"/>
  <c r="H150" i="17"/>
  <c r="G150" i="17"/>
  <c r="H149" i="17"/>
  <c r="G149" i="17"/>
  <c r="H148" i="17"/>
  <c r="G148" i="17"/>
  <c r="H147" i="17"/>
  <c r="G147" i="17"/>
  <c r="H146" i="17"/>
  <c r="G146" i="17"/>
  <c r="H145" i="17"/>
  <c r="G145" i="17"/>
  <c r="H144" i="17"/>
  <c r="G144" i="17"/>
  <c r="H143" i="17"/>
  <c r="G143" i="17"/>
  <c r="H142" i="17"/>
  <c r="G142" i="17"/>
  <c r="H141" i="17"/>
  <c r="G141" i="17"/>
  <c r="H140" i="17"/>
  <c r="G140" i="17"/>
  <c r="H139" i="17"/>
  <c r="G139" i="17"/>
  <c r="H138" i="17"/>
  <c r="G138" i="17"/>
  <c r="H137" i="17"/>
  <c r="G137" i="17"/>
  <c r="H136" i="17"/>
  <c r="G136" i="17"/>
  <c r="H135" i="17"/>
  <c r="G135" i="17"/>
  <c r="H134" i="17"/>
  <c r="G134" i="17"/>
  <c r="H133" i="17"/>
  <c r="G133" i="17"/>
  <c r="H132" i="17"/>
  <c r="G132" i="17"/>
  <c r="H131" i="17"/>
  <c r="G131" i="17"/>
  <c r="H130" i="17"/>
  <c r="G130" i="17"/>
  <c r="H129" i="17"/>
  <c r="G129" i="17"/>
  <c r="H128" i="17"/>
  <c r="G128" i="17"/>
  <c r="H127" i="17"/>
  <c r="G127" i="17"/>
  <c r="H126" i="17"/>
  <c r="G126" i="17"/>
  <c r="H125" i="17"/>
  <c r="G125" i="17"/>
  <c r="H124" i="17"/>
  <c r="G124" i="17"/>
  <c r="H123" i="17"/>
  <c r="G123" i="17"/>
  <c r="H122" i="17"/>
  <c r="G122" i="17"/>
  <c r="H121" i="17"/>
  <c r="G121" i="17"/>
  <c r="H120" i="17"/>
  <c r="G120" i="17"/>
  <c r="H119" i="17"/>
  <c r="G119" i="17"/>
  <c r="H118" i="17"/>
  <c r="G118" i="17"/>
  <c r="H117" i="17"/>
  <c r="G117" i="17"/>
  <c r="H116" i="17"/>
  <c r="G116" i="17"/>
  <c r="H115" i="17"/>
  <c r="G115" i="17"/>
  <c r="H114" i="17"/>
  <c r="G114" i="17"/>
  <c r="H113" i="17"/>
  <c r="G113" i="17"/>
  <c r="H112" i="17"/>
  <c r="G112" i="17"/>
  <c r="H111" i="17"/>
  <c r="G111" i="17"/>
  <c r="H110" i="17"/>
  <c r="G110" i="17"/>
  <c r="H109" i="17"/>
  <c r="G109" i="17"/>
  <c r="H108" i="17"/>
  <c r="G108" i="17"/>
  <c r="H107" i="17"/>
  <c r="G107" i="17"/>
  <c r="H106" i="17"/>
  <c r="G106" i="17"/>
  <c r="H105" i="17"/>
  <c r="G105" i="17"/>
  <c r="H104" i="17"/>
  <c r="G104" i="17"/>
  <c r="H103" i="17"/>
  <c r="G103" i="17"/>
  <c r="H102" i="17"/>
  <c r="G102" i="17"/>
  <c r="H101" i="17"/>
  <c r="G101" i="17"/>
  <c r="H100" i="17"/>
  <c r="G100" i="17"/>
  <c r="H99" i="17"/>
  <c r="G99" i="17"/>
  <c r="H98" i="17"/>
  <c r="G98" i="17"/>
  <c r="H97" i="17"/>
  <c r="G97" i="17"/>
  <c r="H96" i="17"/>
  <c r="G96" i="17"/>
  <c r="H95" i="17"/>
  <c r="G95" i="17"/>
  <c r="H94" i="17"/>
  <c r="G94" i="17"/>
  <c r="H93" i="17"/>
  <c r="G93" i="17"/>
  <c r="H92" i="17"/>
  <c r="G92" i="17"/>
  <c r="H91" i="17"/>
  <c r="G91" i="17"/>
  <c r="H90" i="17"/>
  <c r="G90" i="17"/>
  <c r="H89" i="17"/>
  <c r="G89" i="17"/>
  <c r="H88" i="17"/>
  <c r="G88" i="17"/>
  <c r="H87" i="17"/>
  <c r="G87" i="17"/>
  <c r="H86" i="17"/>
  <c r="G86" i="17"/>
  <c r="H85" i="17"/>
  <c r="G85" i="17"/>
  <c r="H84" i="17"/>
  <c r="G84" i="17"/>
  <c r="H83" i="17"/>
  <c r="G83" i="17"/>
  <c r="H82" i="17"/>
  <c r="G82" i="17"/>
  <c r="H81" i="17"/>
  <c r="G81" i="17"/>
  <c r="H80" i="17"/>
  <c r="G80" i="17"/>
  <c r="H79" i="17"/>
  <c r="G79" i="17"/>
  <c r="H78" i="17"/>
  <c r="G78" i="17"/>
  <c r="H77" i="17"/>
  <c r="G77" i="17"/>
  <c r="H76" i="17"/>
  <c r="G76" i="17"/>
  <c r="H75" i="17"/>
  <c r="G75" i="17"/>
  <c r="H74" i="17"/>
  <c r="G74" i="17"/>
  <c r="H73" i="17"/>
  <c r="G73" i="17"/>
  <c r="H72" i="17"/>
  <c r="G72" i="17"/>
  <c r="H71" i="17"/>
  <c r="G71" i="17"/>
  <c r="H70" i="17"/>
  <c r="G70" i="17"/>
  <c r="H69" i="17"/>
  <c r="G69" i="17"/>
  <c r="H68" i="17"/>
  <c r="G68" i="17"/>
  <c r="H67" i="17"/>
  <c r="G67" i="17"/>
  <c r="H66" i="17"/>
  <c r="G66" i="17"/>
  <c r="H65" i="17"/>
  <c r="G65" i="17"/>
  <c r="H64" i="17"/>
  <c r="G64" i="17"/>
  <c r="H63" i="17"/>
  <c r="G63" i="17"/>
  <c r="H62" i="17"/>
  <c r="G62" i="17"/>
  <c r="H61" i="17"/>
  <c r="G61" i="17"/>
  <c r="H60" i="17"/>
  <c r="G60" i="17"/>
  <c r="H59" i="17"/>
  <c r="G59" i="17"/>
  <c r="H58" i="17"/>
  <c r="G58" i="17"/>
  <c r="H57" i="17"/>
  <c r="G57" i="17"/>
  <c r="H56" i="17"/>
  <c r="G56" i="17"/>
  <c r="H55" i="17"/>
  <c r="G55" i="17"/>
  <c r="H54" i="17"/>
  <c r="G54" i="17"/>
  <c r="H53" i="17"/>
  <c r="G53" i="17"/>
  <c r="H52" i="17"/>
  <c r="G52" i="17"/>
  <c r="H51" i="17"/>
  <c r="G51" i="17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H42" i="17"/>
  <c r="G42" i="17"/>
  <c r="H41" i="17"/>
  <c r="G41" i="17"/>
  <c r="H40" i="17"/>
  <c r="G40" i="17"/>
  <c r="H39" i="17"/>
  <c r="G39" i="17"/>
  <c r="H38" i="17"/>
  <c r="G38" i="17"/>
  <c r="H37" i="17"/>
  <c r="G37" i="17"/>
  <c r="H36" i="17"/>
  <c r="G36" i="17"/>
  <c r="H35" i="17"/>
  <c r="G35" i="17"/>
  <c r="H34" i="17"/>
  <c r="G34" i="17"/>
  <c r="H33" i="17"/>
  <c r="G33" i="17"/>
  <c r="H32" i="17"/>
  <c r="G32" i="17"/>
  <c r="H31" i="17"/>
  <c r="G31" i="17"/>
  <c r="H30" i="17"/>
  <c r="G30" i="17"/>
  <c r="H29" i="17"/>
  <c r="G29" i="17"/>
  <c r="H28" i="17"/>
  <c r="G28" i="17"/>
  <c r="H27" i="17"/>
  <c r="G27" i="17"/>
  <c r="H26" i="17"/>
  <c r="G26" i="17"/>
  <c r="H25" i="17"/>
  <c r="G25" i="17"/>
  <c r="H24" i="17"/>
  <c r="G24" i="17"/>
  <c r="H23" i="17"/>
  <c r="G23" i="17"/>
  <c r="H22" i="17"/>
  <c r="G22" i="17"/>
  <c r="H21" i="17"/>
  <c r="G21" i="17"/>
  <c r="H20" i="17"/>
  <c r="G20" i="17"/>
  <c r="H19" i="17"/>
  <c r="G19" i="17"/>
  <c r="H18" i="17"/>
  <c r="G18" i="17"/>
  <c r="H17" i="17"/>
  <c r="G17" i="17"/>
  <c r="H16" i="17"/>
  <c r="G16" i="17"/>
  <c r="H15" i="17"/>
  <c r="G15" i="17"/>
  <c r="H14" i="17"/>
  <c r="G14" i="17"/>
  <c r="H13" i="17"/>
  <c r="G13" i="17"/>
  <c r="H12" i="17"/>
  <c r="G12" i="17"/>
  <c r="H11" i="17"/>
  <c r="G11" i="17"/>
  <c r="H10" i="17"/>
  <c r="G10" i="17"/>
  <c r="H9" i="17"/>
  <c r="G9" i="17"/>
  <c r="H8" i="17"/>
  <c r="G8" i="17"/>
  <c r="H7" i="17"/>
  <c r="G7" i="17"/>
  <c r="H6" i="17"/>
  <c r="G6" i="17"/>
  <c r="H5" i="17"/>
  <c r="G5" i="17"/>
  <c r="H4" i="17"/>
  <c r="G4" i="17"/>
  <c r="H3" i="17"/>
  <c r="G3" i="17"/>
  <c r="H2" i="17"/>
  <c r="G2" i="17"/>
  <c r="N338" i="16"/>
  <c r="N337" i="16"/>
  <c r="N336" i="16"/>
  <c r="N335" i="16"/>
  <c r="N334" i="16"/>
  <c r="N333" i="16"/>
  <c r="N332" i="16"/>
  <c r="N331" i="16"/>
  <c r="N330" i="16"/>
  <c r="N329" i="16"/>
  <c r="N328" i="16"/>
  <c r="N327" i="16"/>
  <c r="N326" i="16"/>
  <c r="N325" i="16"/>
  <c r="N324" i="16"/>
  <c r="N323" i="16"/>
  <c r="N322" i="16"/>
  <c r="N321" i="16"/>
  <c r="N320" i="16"/>
  <c r="N319" i="16"/>
  <c r="N318" i="16"/>
  <c r="N317" i="16"/>
  <c r="N316" i="16"/>
  <c r="N315" i="16"/>
  <c r="N314" i="16"/>
  <c r="N313" i="16"/>
  <c r="N312" i="16"/>
  <c r="N311" i="16"/>
  <c r="N310" i="16"/>
  <c r="N309" i="16"/>
  <c r="N308" i="16"/>
  <c r="N307" i="16"/>
  <c r="N306" i="16"/>
  <c r="N305" i="16"/>
  <c r="N304" i="16"/>
  <c r="N303" i="16"/>
  <c r="N302" i="16"/>
  <c r="N301" i="16"/>
  <c r="N300" i="16"/>
  <c r="N299" i="16"/>
  <c r="N298" i="16"/>
  <c r="N297" i="16"/>
  <c r="N296" i="16"/>
  <c r="N295" i="16"/>
  <c r="N294" i="16"/>
  <c r="N293" i="16"/>
  <c r="N292" i="16"/>
  <c r="N291" i="16"/>
  <c r="N290" i="16"/>
  <c r="N289" i="16"/>
  <c r="N288" i="16"/>
  <c r="N287" i="16"/>
  <c r="N286" i="16"/>
  <c r="N285" i="16"/>
  <c r="N284" i="16"/>
  <c r="N283" i="16"/>
  <c r="N282" i="16"/>
  <c r="N281" i="16"/>
  <c r="N280" i="16"/>
  <c r="N279" i="16"/>
  <c r="N278" i="16"/>
  <c r="N277" i="16"/>
  <c r="N276" i="16"/>
  <c r="N275" i="16"/>
  <c r="N274" i="16"/>
  <c r="N273" i="16"/>
  <c r="N272" i="16"/>
  <c r="N271" i="16"/>
  <c r="N270" i="16"/>
  <c r="N269" i="16"/>
  <c r="N268" i="16"/>
  <c r="N267" i="16"/>
  <c r="N266" i="16"/>
  <c r="N265" i="16"/>
  <c r="N264" i="16"/>
  <c r="N263" i="16"/>
  <c r="N262" i="16"/>
  <c r="N261" i="16"/>
  <c r="N260" i="16"/>
  <c r="N259" i="16"/>
  <c r="N258" i="16"/>
  <c r="N257" i="16"/>
  <c r="N256" i="16"/>
  <c r="N255" i="16"/>
  <c r="N254" i="16"/>
  <c r="N253" i="16"/>
  <c r="N252" i="16"/>
  <c r="N251" i="16"/>
  <c r="N250" i="16"/>
  <c r="N249" i="16"/>
  <c r="N248" i="16"/>
  <c r="N247" i="16"/>
  <c r="N246" i="16"/>
  <c r="N245" i="16"/>
  <c r="N244" i="16"/>
  <c r="N243" i="16"/>
  <c r="N242" i="16"/>
  <c r="N241" i="16"/>
  <c r="N240" i="16"/>
  <c r="N239" i="16"/>
  <c r="N238" i="16"/>
  <c r="N237" i="16"/>
  <c r="N236" i="16"/>
  <c r="N235" i="16"/>
  <c r="N234" i="16"/>
  <c r="N233" i="16"/>
  <c r="N232" i="16"/>
  <c r="N231" i="16"/>
  <c r="N230" i="16"/>
  <c r="N229" i="16"/>
  <c r="N228" i="16"/>
  <c r="N227" i="16"/>
  <c r="N226" i="16"/>
  <c r="N225" i="16"/>
  <c r="N224" i="16"/>
  <c r="N223" i="16"/>
  <c r="N222" i="16"/>
  <c r="N221" i="16"/>
  <c r="N220" i="16"/>
  <c r="N219" i="16"/>
  <c r="N218" i="16"/>
  <c r="N217" i="16"/>
  <c r="N216" i="16"/>
  <c r="N215" i="16"/>
  <c r="N214" i="16"/>
  <c r="N213" i="16"/>
  <c r="N212" i="16"/>
  <c r="N211" i="16"/>
  <c r="N210" i="16"/>
  <c r="N209" i="16"/>
  <c r="N208" i="16"/>
  <c r="N207" i="16"/>
  <c r="N206" i="16"/>
  <c r="N205" i="16"/>
  <c r="N204" i="16"/>
  <c r="N203" i="16"/>
  <c r="N202" i="16"/>
  <c r="N201" i="16"/>
  <c r="N200" i="16"/>
  <c r="N199" i="16"/>
  <c r="N198" i="16"/>
  <c r="N197" i="16"/>
  <c r="N196" i="16"/>
  <c r="N195" i="16"/>
  <c r="N194" i="16"/>
  <c r="N193" i="16"/>
  <c r="N192" i="16"/>
  <c r="N191" i="16"/>
  <c r="N190" i="16"/>
  <c r="N189" i="16"/>
  <c r="N188" i="16"/>
  <c r="N187" i="16"/>
  <c r="N186" i="16"/>
  <c r="N185" i="16"/>
  <c r="N184" i="16"/>
  <c r="N183" i="16"/>
  <c r="N182" i="16"/>
  <c r="N181" i="16"/>
  <c r="N180" i="16"/>
  <c r="N179" i="16"/>
  <c r="N178" i="16"/>
  <c r="N177" i="16"/>
  <c r="N176" i="16"/>
  <c r="N175" i="16"/>
  <c r="N174" i="16"/>
  <c r="N173" i="16"/>
  <c r="N172" i="16"/>
  <c r="N171" i="16"/>
  <c r="N170" i="16"/>
  <c r="N169" i="16"/>
  <c r="N168" i="16"/>
  <c r="N167" i="16"/>
  <c r="N166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52" i="16"/>
  <c r="N151" i="16"/>
  <c r="N150" i="16"/>
  <c r="N149" i="16"/>
  <c r="N148" i="16"/>
  <c r="N147" i="16"/>
  <c r="N146" i="16"/>
  <c r="N145" i="16"/>
  <c r="N144" i="16"/>
  <c r="N143" i="16"/>
  <c r="N142" i="16"/>
  <c r="N141" i="16"/>
  <c r="N140" i="16"/>
  <c r="N139" i="16"/>
  <c r="N138" i="16"/>
  <c r="N137" i="16"/>
  <c r="N136" i="16"/>
  <c r="N135" i="16"/>
  <c r="N134" i="16"/>
  <c r="N133" i="16"/>
  <c r="N132" i="16"/>
  <c r="N131" i="16"/>
  <c r="N130" i="16"/>
  <c r="N129" i="16"/>
  <c r="N128" i="16"/>
  <c r="N127" i="16"/>
  <c r="N126" i="16"/>
  <c r="N125" i="16"/>
  <c r="N124" i="16"/>
  <c r="N123" i="16"/>
  <c r="N122" i="16"/>
  <c r="N121" i="16"/>
  <c r="N120" i="16"/>
  <c r="N119" i="16"/>
  <c r="N118" i="16"/>
  <c r="N117" i="16"/>
  <c r="N116" i="16"/>
  <c r="N115" i="16"/>
  <c r="N114" i="16"/>
  <c r="N113" i="16"/>
  <c r="N112" i="16"/>
  <c r="N111" i="16"/>
  <c r="N110" i="16"/>
  <c r="N109" i="16"/>
  <c r="N108" i="16"/>
  <c r="N107" i="16"/>
  <c r="N106" i="16"/>
  <c r="N105" i="16"/>
  <c r="N104" i="16"/>
  <c r="N103" i="16"/>
  <c r="N102" i="16"/>
  <c r="N101" i="16"/>
  <c r="N100" i="16"/>
  <c r="N99" i="16"/>
  <c r="N98" i="16"/>
  <c r="N97" i="16"/>
  <c r="N96" i="16"/>
  <c r="N95" i="16"/>
  <c r="N94" i="16"/>
  <c r="N93" i="16"/>
  <c r="N92" i="16"/>
  <c r="N91" i="16"/>
  <c r="N90" i="16"/>
  <c r="N89" i="16"/>
  <c r="N88" i="16"/>
  <c r="N87" i="16"/>
  <c r="N86" i="16"/>
  <c r="N85" i="16"/>
  <c r="N84" i="16"/>
  <c r="N83" i="16"/>
  <c r="N82" i="16"/>
  <c r="N81" i="16"/>
  <c r="N80" i="16"/>
  <c r="N79" i="16"/>
  <c r="N78" i="16"/>
  <c r="N77" i="16"/>
  <c r="N76" i="16"/>
  <c r="N75" i="16"/>
  <c r="N74" i="16"/>
  <c r="N73" i="16"/>
  <c r="N72" i="16"/>
  <c r="N71" i="16"/>
  <c r="N70" i="16"/>
  <c r="N69" i="16"/>
  <c r="N68" i="16"/>
  <c r="N67" i="16"/>
  <c r="N66" i="16"/>
  <c r="N65" i="16"/>
  <c r="N64" i="16"/>
  <c r="N63" i="16"/>
  <c r="N62" i="16"/>
  <c r="N61" i="16"/>
  <c r="N60" i="16"/>
  <c r="N59" i="16"/>
  <c r="N58" i="16"/>
  <c r="N57" i="16"/>
  <c r="N56" i="16"/>
  <c r="N55" i="16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N2" i="16"/>
  <c r="Y338" i="15"/>
  <c r="Y337" i="15"/>
  <c r="Y336" i="15"/>
  <c r="Y335" i="15"/>
  <c r="Y334" i="15"/>
  <c r="Y333" i="15"/>
  <c r="Y332" i="15"/>
  <c r="Y331" i="15"/>
  <c r="Y330" i="15"/>
  <c r="Y329" i="15"/>
  <c r="Y328" i="15"/>
  <c r="Y327" i="15"/>
  <c r="Y326" i="15"/>
  <c r="Y325" i="15"/>
  <c r="Y324" i="15"/>
  <c r="Y323" i="15"/>
  <c r="Y322" i="15"/>
  <c r="Y321" i="15"/>
  <c r="Y320" i="15"/>
  <c r="Y319" i="15"/>
  <c r="Y318" i="15"/>
  <c r="Y317" i="15"/>
  <c r="Y316" i="15"/>
  <c r="Y315" i="15"/>
  <c r="Y314" i="15"/>
  <c r="Y313" i="15"/>
  <c r="Y312" i="15"/>
  <c r="Y311" i="15"/>
  <c r="Y310" i="15"/>
  <c r="Y309" i="15"/>
  <c r="Y308" i="15"/>
  <c r="Y307" i="15"/>
  <c r="Y306" i="15"/>
  <c r="Y305" i="15"/>
  <c r="Y304" i="15"/>
  <c r="Y303" i="15"/>
  <c r="Y302" i="15"/>
  <c r="Y301" i="15"/>
  <c r="Y300" i="15"/>
  <c r="Y299" i="15"/>
  <c r="Y298" i="15"/>
  <c r="Y297" i="15"/>
  <c r="Y296" i="15"/>
  <c r="Y295" i="15"/>
  <c r="Y294" i="15"/>
  <c r="Y293" i="15"/>
  <c r="Y292" i="15"/>
  <c r="Y291" i="15"/>
  <c r="Y290" i="15"/>
  <c r="Y289" i="15"/>
  <c r="Y288" i="15"/>
  <c r="Y287" i="15"/>
  <c r="Y286" i="15"/>
  <c r="Y285" i="15"/>
  <c r="Y284" i="15"/>
  <c r="Y283" i="15"/>
  <c r="Y282" i="15"/>
  <c r="Y281" i="15"/>
  <c r="Y280" i="15"/>
  <c r="Y279" i="15"/>
  <c r="Y278" i="15"/>
  <c r="Y277" i="15"/>
  <c r="Y276" i="15"/>
  <c r="Y275" i="15"/>
  <c r="Y274" i="15"/>
  <c r="Y273" i="15"/>
  <c r="Y272" i="15"/>
  <c r="Y271" i="15"/>
  <c r="Y270" i="15"/>
  <c r="Y269" i="15"/>
  <c r="Y268" i="15"/>
  <c r="Y267" i="15"/>
  <c r="Y266" i="15"/>
  <c r="Y265" i="15"/>
  <c r="Y264" i="15"/>
  <c r="Y263" i="15"/>
  <c r="Y262" i="15"/>
  <c r="Y261" i="15"/>
  <c r="Y260" i="15"/>
  <c r="Y259" i="15"/>
  <c r="Y258" i="15"/>
  <c r="Y257" i="15"/>
  <c r="Y256" i="15"/>
  <c r="Y255" i="15"/>
  <c r="Y254" i="15"/>
  <c r="Y253" i="15"/>
  <c r="Y252" i="15"/>
  <c r="Y251" i="15"/>
  <c r="Y250" i="15"/>
  <c r="Y249" i="15"/>
  <c r="Y248" i="15"/>
  <c r="Y247" i="15"/>
  <c r="Y246" i="15"/>
  <c r="Y245" i="15"/>
  <c r="Y244" i="15"/>
  <c r="Y243" i="15"/>
  <c r="Y242" i="15"/>
  <c r="Y241" i="15"/>
  <c r="Y240" i="15"/>
  <c r="Y239" i="15"/>
  <c r="Y238" i="15"/>
  <c r="Y237" i="15"/>
  <c r="Y236" i="15"/>
  <c r="Y235" i="15"/>
  <c r="Y234" i="15"/>
  <c r="Y233" i="15"/>
  <c r="Y232" i="15"/>
  <c r="Y231" i="15"/>
  <c r="Y230" i="15"/>
  <c r="Y229" i="15"/>
  <c r="Y228" i="15"/>
  <c r="Y227" i="15"/>
  <c r="Y226" i="15"/>
  <c r="Y225" i="15"/>
  <c r="Y224" i="15"/>
  <c r="Y223" i="15"/>
  <c r="Y222" i="15"/>
  <c r="Y221" i="15"/>
  <c r="Y220" i="15"/>
  <c r="Y219" i="15"/>
  <c r="Y218" i="15"/>
  <c r="Y217" i="15"/>
  <c r="Y216" i="15"/>
  <c r="Y215" i="15"/>
  <c r="Y214" i="15"/>
  <c r="Y213" i="15"/>
  <c r="Y212" i="15"/>
  <c r="Y211" i="15"/>
  <c r="Y210" i="15"/>
  <c r="Y209" i="15"/>
  <c r="Y208" i="15"/>
  <c r="Y207" i="15"/>
  <c r="Y206" i="15"/>
  <c r="Y205" i="15"/>
  <c r="Y204" i="15"/>
  <c r="Y203" i="15"/>
  <c r="Y202" i="15"/>
  <c r="Y201" i="15"/>
  <c r="Y200" i="15"/>
  <c r="Y199" i="15"/>
  <c r="Y198" i="15"/>
  <c r="Y197" i="15"/>
  <c r="Y196" i="15"/>
  <c r="Y195" i="15"/>
  <c r="Y194" i="15"/>
  <c r="Y193" i="15"/>
  <c r="Y192" i="15"/>
  <c r="Y191" i="15"/>
  <c r="Y190" i="15"/>
  <c r="Y189" i="15"/>
  <c r="Y188" i="15"/>
  <c r="Y187" i="15"/>
  <c r="Y186" i="15"/>
  <c r="Y185" i="15"/>
  <c r="Y184" i="15"/>
  <c r="Y183" i="15"/>
  <c r="Y182" i="15"/>
  <c r="Y181" i="15"/>
  <c r="Y180" i="15"/>
  <c r="Y179" i="15"/>
  <c r="Y178" i="15"/>
  <c r="Y177" i="15"/>
  <c r="Y176" i="15"/>
  <c r="Y175" i="15"/>
  <c r="Y174" i="15"/>
  <c r="Y173" i="15"/>
  <c r="Y172" i="15"/>
  <c r="Y171" i="15"/>
  <c r="Y170" i="15"/>
  <c r="Y169" i="15"/>
  <c r="Y168" i="15"/>
  <c r="Y167" i="15"/>
  <c r="Y166" i="15"/>
  <c r="Y165" i="15"/>
  <c r="Y164" i="15"/>
  <c r="Y163" i="15"/>
  <c r="Y162" i="15"/>
  <c r="Y161" i="15"/>
  <c r="Y160" i="15"/>
  <c r="Y159" i="15"/>
  <c r="Y158" i="15"/>
  <c r="Y157" i="15"/>
  <c r="Y156" i="15"/>
  <c r="Y155" i="15"/>
  <c r="Y154" i="15"/>
  <c r="Y153" i="15"/>
  <c r="Y152" i="15"/>
  <c r="Y151" i="15"/>
  <c r="Y150" i="15"/>
  <c r="Y149" i="15"/>
  <c r="Y148" i="15"/>
  <c r="Y147" i="15"/>
  <c r="Y146" i="15"/>
  <c r="Y145" i="15"/>
  <c r="Y144" i="15"/>
  <c r="Y143" i="15"/>
  <c r="Y142" i="15"/>
  <c r="Y141" i="15"/>
  <c r="Y140" i="15"/>
  <c r="Y139" i="15"/>
  <c r="Y138" i="15"/>
  <c r="Y137" i="15"/>
  <c r="Y136" i="15"/>
  <c r="Y135" i="15"/>
  <c r="Y134" i="15"/>
  <c r="Y133" i="15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Y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X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<sst xmlns="http://schemas.openxmlformats.org/spreadsheetml/2006/main" count="445" uniqueCount="151">
  <si>
    <t>Contents</t>
  </si>
  <si>
    <t>Table of content</t>
  </si>
  <si>
    <t>date</t>
  </si>
  <si>
    <t>Battery (Charging) -  MW</t>
  </si>
  <si>
    <t>Pumps -  MW</t>
  </si>
  <si>
    <t>Exports -  MW</t>
  </si>
  <si>
    <t>Imports -  MW</t>
  </si>
  <si>
    <t>Coal (Black) -  MW</t>
  </si>
  <si>
    <t>Bioenergy (Biomass) -  MW</t>
  </si>
  <si>
    <t>Gas (CCGT) -  MW</t>
  </si>
  <si>
    <t>Gas (OCGT) -  MW</t>
  </si>
  <si>
    <t>Battery (Discharging) -  MW</t>
  </si>
  <si>
    <t>Hydro -  MW</t>
  </si>
  <si>
    <t>Wind -  MW</t>
  </si>
  <si>
    <t>Solar (Utility) -  MW</t>
  </si>
  <si>
    <t>Solar (Rooftop) -  MW</t>
  </si>
  <si>
    <t>Temperature - C</t>
  </si>
  <si>
    <t>Exports Emissions Vol - tCO₂e</t>
  </si>
  <si>
    <t>Imports Emissions Vol - tCO₂e</t>
  </si>
  <si>
    <t>Coal (Black) Emissions Vol - tCO₂e</t>
  </si>
  <si>
    <t>Bioenergy (Biomass) Emissions Vol - tCO₂e</t>
  </si>
  <si>
    <t>Gas (CCGT) Emissions Vol - tCO₂e</t>
  </si>
  <si>
    <t>Gas (OCGT) Emissions Vol - tCO₂e</t>
  </si>
  <si>
    <t>Emissions Intensity - kgCO₂e/MWh</t>
  </si>
  <si>
    <t>Price - AUD/MWh</t>
  </si>
  <si>
    <t>Grand Total</t>
  </si>
  <si>
    <t>Average of Price - AUD/MWh</t>
  </si>
  <si>
    <t>Helper Column - Time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</si>
  <si>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</si>
  <si>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</si>
  <si>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</si>
  <si>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</si>
  <si>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</si>
  <si>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</si>
  <si>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</si>
  <si>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</si>
  <si>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</si>
  <si>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</si>
  <si>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</si>
  <si>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</si>
  <si>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</si>
  <si>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</si>
  <si>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</si>
  <si>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</si>
  <si>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</si>
  <si>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</si>
  <si>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</si>
  <si>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</si>
  <si>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</si>
  <si>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</si>
  <si>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</si>
  <si>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</si>
  <si>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</si>
  <si>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</si>
  <si>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</si>
  <si>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</si>
  <si>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</si>
  <si>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</si>
  <si>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</si>
  <si>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</si>
  <si>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</si>
  <si>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</si>
  <si>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</si>
  <si>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</si>
  <si>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</si>
  <si>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</si>
  <si>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</si>
  <si>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</si>
  <si>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</si>
  <si>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</si>
  <si>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</si>
  <si>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</si>
  <si>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</si>
  <si>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</si>
  <si>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</si>
  <si>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</si>
  <si>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Time</t>
  </si>
  <si>
    <t>Helper Column - Day</t>
  </si>
  <si>
    <t>Helper Column - Zero</t>
  </si>
  <si>
    <t>Column1</t>
  </si>
  <si>
    <t>Data Exploration</t>
  </si>
  <si>
    <t>Initial charting of relationships in the data</t>
  </si>
  <si>
    <t>Generation Mix - Ren and FF</t>
  </si>
  <si>
    <t>Renewable contribution to the grid and Fossil Fuel contirbution to the grid</t>
  </si>
  <si>
    <t>Dispatchable Renewable</t>
  </si>
  <si>
    <t>When do batteries and hydro come into the mix</t>
  </si>
  <si>
    <t>Wind</t>
  </si>
  <si>
    <t>Variability of wind and impact on spot price</t>
  </si>
  <si>
    <t>Row Labels</t>
  </si>
  <si>
    <t>t</t>
  </si>
  <si>
    <t>Imports</t>
  </si>
  <si>
    <t>Solar (Rooftop)</t>
  </si>
  <si>
    <t>Solar (Utility)</t>
  </si>
  <si>
    <t>Coal (Black)</t>
  </si>
  <si>
    <t>Gas (CCGT)</t>
  </si>
  <si>
    <t>Gas (OCGT)</t>
  </si>
  <si>
    <t>Hydro</t>
  </si>
  <si>
    <t>Average Price</t>
  </si>
  <si>
    <t>Price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</si>
  <si>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</si>
  <si>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</si>
  <si>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</si>
  <si>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</si>
  <si>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</si>
  <si>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</si>
  <si>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</si>
  <si>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</si>
  <si>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Max. of Price - AUD/MWh</t>
  </si>
  <si>
    <t>Min. of Price - AUD/MWh</t>
  </si>
  <si>
    <t>Daily Range</t>
  </si>
  <si>
    <t>&lt;-- Average Range / Day</t>
  </si>
  <si>
    <t>-$22 to $300</t>
  </si>
  <si>
    <t>&lt;-- Weekly Range</t>
  </si>
  <si>
    <t>&lt;-- Week Average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</si>
  <si>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</si>
  <si>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</si>
  <si>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</si>
  <si>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</si>
  <si>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</si>
  <si>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</si>
  <si>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</si>
  <si>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</si>
  <si>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</si>
  <si>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</si>
  <si>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</si>
  <si>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</si>
  <si>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</si>
  <si>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</si>
  <si>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</si>
  <si>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</si>
  <si>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</si>
  <si>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</si>
  <si>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</si>
  <si>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</si>
  <si>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</si>
  <si>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</si>
  <si>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</si>
  <si>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</si>
  <si>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helper solar utility</t>
  </si>
  <si>
    <t>helper solar rooftop</t>
  </si>
  <si>
    <t>Total Solar</t>
  </si>
  <si>
    <t>Battery Discharging</t>
  </si>
  <si>
    <t>:00</t>
  </si>
  <si>
    <t>:30</t>
  </si>
  <si>
    <t>Helper Column - Net Battery Output</t>
  </si>
  <si>
    <t>Helper Column - Net Hydro Output</t>
  </si>
  <si>
    <t>Average of Helper Column - Net Hydro Output</t>
  </si>
  <si>
    <t>Average of Helper Column - Net Battery Output</t>
  </si>
  <si>
    <t>Hydro Discharge</t>
  </si>
  <si>
    <t>Hydro Pumps</t>
  </si>
  <si>
    <t>Battery 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</si>
</sst>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&quot;$&quot;#,##0_);[Red]\(&quot;$&quot;#,##0\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h\ AM/PM"/>
    <numFmt numFmtId="169" formatCode="hh:mm;@"/>
    <numFmt numFmtId="170" formatCode="[$-409]hh:mm\ AM/PM;@"/>
    <numFmt numFmtId="171" formatCode="[$-409]h:mm\ am/pm;@"/>
  </numFmts>
  <fonts count="19">
    <font>
      <sz val="10"/>
      <color theme="1"/>
      <name val="Public Sans"/>
    </font>
    <font>
      <sz val="8"/>
      <color theme="1"/>
      <name val="Arial"/>
      <family val="2"/>
    </font>
    <font>
      <sz val="10"/>
      <name val="Public Sans"/>
    </font>
    <font>
      <b/>
      <sz val="10"/>
      <color theme="0"/>
      <name val="Public Sans"/>
    </font>
    <font>
      <sz val="10"/>
      <color theme="1"/>
      <name val="Public Sans"/>
    </font>
    <font>
      <sz val="10"/>
      <color rgb="FF9C0006"/>
      <name val="Public Sans"/>
    </font>
    <font>
      <sz val="10"/>
      <color rgb="FF006100"/>
      <name val="Public Sans"/>
    </font>
    <font>
      <sz val="10"/>
      <color rgb="FF9C5700"/>
      <name val="Public Sans"/>
    </font>
    <font>
      <b/>
      <sz val="10"/>
      <color theme="1"/>
      <name val="Public Sans"/>
    </font>
    <font>
      <i/>
      <sz val="10"/>
      <color rgb="FF7F7F7F"/>
      <name val="Public Sans"/>
    </font>
    <font>
      <u/>
      <sz val="10"/>
      <color theme="11"/>
      <name val="Public Sans"/>
    </font>
    <font>
      <u/>
      <sz val="10"/>
      <color theme="6"/>
      <name val="Public Sans"/>
    </font>
    <font>
      <sz val="10"/>
      <color theme="8"/>
      <name val="Public Sans"/>
    </font>
    <font>
      <b/>
      <sz val="10"/>
      <color theme="4"/>
      <name val="Public Sans"/>
    </font>
    <font>
      <sz val="11"/>
      <color rgb="FFFF0000"/>
      <name val="Public Sans"/>
    </font>
    <font>
      <b/>
      <sz val="15"/>
      <color theme="4"/>
      <name val="Public Sans"/>
    </font>
    <font>
      <b/>
      <sz val="13"/>
      <color theme="4"/>
      <name val="Public Sans"/>
    </font>
    <font>
      <b/>
      <sz val="11"/>
      <color theme="4"/>
      <name val="Public Sans"/>
    </font>
    <font>
      <sz val="18"/>
      <color theme="4"/>
      <name val="Public Sans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  <diagonal/>
    </border>
    <border>
      <left style="dashed">
        <color rgb="FF3F3F3F"/>
      </left>
      <right style="dashed">
        <color rgb="FF3F3F3F"/>
      </right>
      <top style="dashed">
        <color rgb="FF3F3F3F"/>
      </top>
      <bottom style="dashed">
        <color rgb="FF3F3F3F"/>
      </bottom>
      <diagonal/>
    </border>
    <border>
      <left/>
      <right/>
      <top/>
      <bottom style="thick">
        <color theme="5"/>
      </bottom>
      <diagonal/>
    </border>
    <border>
      <left/>
      <right/>
      <top/>
      <bottom style="medium">
        <color theme="5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ouble">
        <color theme="4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dashed">
        <color rgb="FF7F7F7F"/>
      </left>
      <right/>
      <top style="thin">
        <color theme="1"/>
      </top>
      <bottom/>
      <diagonal/>
    </border>
    <border>
      <left style="dashed">
        <color rgb="FF7F7F7F"/>
      </left>
      <right style="dashed">
        <color rgb="FF7F7F7F"/>
      </right>
      <top style="thin">
        <color theme="1"/>
      </top>
      <bottom/>
      <diagonal/>
    </border>
    <border>
      <left style="thin">
        <color theme="1"/>
      </left>
      <right/>
      <top style="dashed">
        <color theme="0" tint="-0.24994659260841701"/>
      </top>
      <bottom/>
      <diagonal/>
    </border>
    <border>
      <left style="thin">
        <color theme="1"/>
      </left>
      <right/>
      <top style="dashed">
        <color rgb="FF7F7F7F"/>
      </top>
      <bottom/>
      <diagonal/>
    </border>
    <border>
      <left style="dashed">
        <color rgb="FF7F7F7F"/>
      </left>
      <right/>
      <top style="dashed">
        <color rgb="FF7F7F7F"/>
      </top>
      <bottom/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/>
      <diagonal/>
    </border>
    <border>
      <left style="thin">
        <color theme="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1"/>
      </left>
      <right/>
      <top style="dashed">
        <color rgb="FF7F7F7F"/>
      </top>
      <bottom style="dashed">
        <color rgb="FF7F7F7F"/>
      </bottom>
      <diagonal/>
    </border>
    <border>
      <left style="dashed">
        <color rgb="FF7F7F7F"/>
      </left>
      <right/>
      <top style="dashed">
        <color rgb="FF7F7F7F"/>
      </top>
      <bottom style="dashed">
        <color rgb="FF7F7F7F"/>
      </bottom>
      <diagonal/>
    </border>
    <border>
      <left style="dashed">
        <color theme="0" tint="-0.24994659260841701"/>
      </left>
      <right/>
      <top/>
      <bottom/>
      <diagonal/>
    </border>
    <border>
      <left style="dashed">
        <color rgb="FF7F7F7F"/>
      </left>
      <right/>
      <top/>
      <bottom style="dashed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8" fillId="0" borderId="0" applyNumberFormat="0" applyFill="0" applyAlignment="0" applyProtection="0"/>
    <xf numFmtId="0" fontId="15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Alignment="0" applyProtection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4" borderId="0" applyNumberFormat="0" applyBorder="0" applyAlignment="0" applyProtection="0"/>
    <xf numFmtId="3" fontId="2" fillId="9" borderId="4" applyAlignment="0" applyProtection="0"/>
    <xf numFmtId="3" fontId="13" fillId="8" borderId="5" applyAlignment="0" applyProtection="0"/>
    <xf numFmtId="3" fontId="2" fillId="5" borderId="4" applyAlignment="0" applyProtection="0"/>
    <xf numFmtId="0" fontId="12" fillId="0" borderId="1" applyNumberFormat="0" applyFill="0" applyAlignment="0" applyProtection="0"/>
    <xf numFmtId="0" fontId="8" fillId="11" borderId="4" applyNumberFormat="0" applyAlignment="0" applyProtection="0"/>
    <xf numFmtId="0" fontId="4" fillId="12" borderId="4" applyNumberFormat="0" applyProtection="0">
      <alignment horizontal="left"/>
    </xf>
    <xf numFmtId="0" fontId="9" fillId="0" borderId="0" applyNumberFormat="0" applyFill="0" applyBorder="0" applyAlignment="0" applyProtection="0"/>
    <xf numFmtId="3" fontId="8" fillId="0" borderId="8" applyFill="0" applyAlignment="0" applyProtection="0"/>
    <xf numFmtId="0" fontId="3" fillId="6" borderId="2" applyNumberFormat="0">
      <alignment vertical="center"/>
    </xf>
    <xf numFmtId="0" fontId="2" fillId="7" borderId="3" applyNumberFormat="0">
      <alignment vertical="center"/>
    </xf>
    <xf numFmtId="2" fontId="2" fillId="10" borderId="4" applyNumberFormat="0" applyAlignment="0" applyProtection="0"/>
    <xf numFmtId="167" fontId="4" fillId="0" borderId="0" applyFill="0" applyBorder="0" applyAlignment="0" applyProtection="0"/>
    <xf numFmtId="165" fontId="4" fillId="0" borderId="0" applyFill="0" applyBorder="0" applyAlignment="0" applyProtection="0"/>
    <xf numFmtId="166" fontId="4" fillId="0" borderId="0" applyFill="0" applyBorder="0" applyAlignment="0" applyProtection="0"/>
    <xf numFmtId="164" fontId="4" fillId="0" borderId="0" applyFill="0" applyBorder="0" applyAlignment="0" applyProtection="0"/>
    <xf numFmtId="9" fontId="4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4" fillId="12" borderId="4" xfId="16" applyAlignment="1">
      <alignment vertical="center" wrapText="1"/>
    </xf>
    <xf numFmtId="0" fontId="3" fillId="6" borderId="2" xfId="19" applyAlignment="1">
      <alignment horizontal="centerContinuous" vertical="center"/>
    </xf>
    <xf numFmtId="0" fontId="4" fillId="12" borderId="4" xfId="16" applyAlignment="1">
      <alignment vertical="top" wrapText="1"/>
    </xf>
    <xf numFmtId="0" fontId="11" fillId="7" borderId="3" xfId="1" applyFill="1" applyBorder="1" applyAlignment="1">
      <alignment vertical="center"/>
    </xf>
    <xf numFmtId="22" fontId="0" fillId="0" borderId="0" xfId="0" applyNumberFormat="1"/>
    <xf numFmtId="0" fontId="0" fillId="0" borderId="0" xfId="0" pivotButton="1"/>
    <xf numFmtId="3" fontId="2" fillId="9" borderId="4" xfId="11"/>
    <xf numFmtId="22" fontId="2" fillId="7" borderId="10" xfId="20" applyNumberFormat="1" applyBorder="1">
      <alignment vertical="center"/>
    </xf>
    <xf numFmtId="3" fontId="2" fillId="9" borderId="10" xfId="11" applyBorder="1"/>
    <xf numFmtId="3" fontId="2" fillId="9" borderId="11" xfId="11" applyBorder="1"/>
    <xf numFmtId="3" fontId="2" fillId="9" borderId="12" xfId="11" applyBorder="1"/>
    <xf numFmtId="22" fontId="2" fillId="7" borderId="13" xfId="20" applyNumberFormat="1" applyBorder="1">
      <alignment vertical="center"/>
    </xf>
    <xf numFmtId="3" fontId="2" fillId="9" borderId="14" xfId="11" applyBorder="1"/>
    <xf numFmtId="3" fontId="2" fillId="9" borderId="15" xfId="11" applyBorder="1"/>
    <xf numFmtId="3" fontId="2" fillId="9" borderId="16" xfId="11" applyBorder="1"/>
    <xf numFmtId="22" fontId="2" fillId="7" borderId="17" xfId="20" applyNumberFormat="1" applyBorder="1">
      <alignment vertical="center"/>
    </xf>
    <xf numFmtId="3" fontId="2" fillId="9" borderId="18" xfId="11" applyBorder="1"/>
    <xf numFmtId="3" fontId="2" fillId="9" borderId="19" xfId="11" applyBorder="1"/>
    <xf numFmtId="0" fontId="3" fillId="6" borderId="20" xfId="19" applyBorder="1" applyAlignment="1">
      <alignment vertical="center" wrapText="1"/>
    </xf>
    <xf numFmtId="0" fontId="3" fillId="6" borderId="9" xfId="19" applyBorder="1" applyAlignment="1">
      <alignment vertical="center" wrapText="1"/>
    </xf>
    <xf numFmtId="3" fontId="2" fillId="9" borderId="21" xfId="11" applyBorder="1"/>
    <xf numFmtId="0" fontId="0" fillId="0" borderId="0" xfId="0" applyAlignment="1">
      <alignment horizontal="left"/>
    </xf>
    <xf numFmtId="14" fontId="3" fillId="6" borderId="9" xfId="19" applyNumberFormat="1" applyBorder="1" applyAlignment="1">
      <alignment vertical="center" wrapText="1"/>
    </xf>
    <xf numFmtId="14" fontId="2" fillId="9" borderId="21" xfId="11" applyNumberFormat="1" applyBorder="1"/>
    <xf numFmtId="14" fontId="0" fillId="0" borderId="0" xfId="0" applyNumberFormat="1"/>
    <xf numFmtId="0" fontId="0" fillId="12" borderId="4" xfId="16" applyFont="1" applyAlignment="1">
      <alignment vertical="top" wrapText="1"/>
    </xf>
    <xf numFmtId="3" fontId="0" fillId="0" borderId="0" xfId="0" applyNumberFormat="1"/>
    <xf numFmtId="169" fontId="3" fillId="6" borderId="9" xfId="19" applyNumberFormat="1" applyBorder="1" applyAlignment="1">
      <alignment vertical="center" wrapText="1"/>
    </xf>
    <xf numFmtId="169" fontId="2" fillId="9" borderId="21" xfId="11" applyNumberFormat="1" applyBorder="1"/>
    <xf numFmtId="169" fontId="2" fillId="9" borderId="19" xfId="11" applyNumberFormat="1" applyBorder="1"/>
    <xf numFmtId="169" fontId="2" fillId="9" borderId="15" xfId="11" applyNumberFormat="1" applyBorder="1"/>
    <xf numFmtId="169" fontId="0" fillId="0" borderId="0" xfId="0" applyNumberFormat="1"/>
    <xf numFmtId="170" fontId="0" fillId="0" borderId="0" xfId="0" applyNumberFormat="1" applyAlignment="1">
      <alignment horizontal="left"/>
    </xf>
    <xf numFmtId="170" fontId="0" fillId="0" borderId="0" xfId="0" pivotButton="1" applyNumberFormat="1"/>
    <xf numFmtId="170" fontId="0" fillId="0" borderId="0" xfId="0" applyNumberFormat="1"/>
    <xf numFmtId="0" fontId="0" fillId="0" borderId="0" xfId="0" quotePrefix="1"/>
    <xf numFmtId="6" fontId="0" fillId="0" borderId="0" xfId="0" applyNumberFormat="1"/>
    <xf numFmtId="0" fontId="0" fillId="0" borderId="0" xfId="0" applyAlignment="1">
      <alignment horizontal="left" indent="1"/>
    </xf>
    <xf numFmtId="0" fontId="8" fillId="0" borderId="0" xfId="0" applyFont="1"/>
    <xf numFmtId="3" fontId="0" fillId="0" borderId="23" xfId="0" applyNumberFormat="1" applyBorder="1"/>
    <xf numFmtId="0" fontId="0" fillId="0" borderId="23" xfId="0" applyBorder="1"/>
    <xf numFmtId="3" fontId="0" fillId="0" borderId="24" xfId="0" applyNumberFormat="1" applyBorder="1"/>
    <xf numFmtId="3" fontId="0" fillId="0" borderId="22" xfId="0" applyNumberFormat="1" applyBorder="1"/>
    <xf numFmtId="169" fontId="0" fillId="0" borderId="0" xfId="0" applyNumberFormat="1" applyAlignment="1">
      <alignment horizontal="left"/>
    </xf>
    <xf numFmtId="168" fontId="0" fillId="0" borderId="0" xfId="0" applyNumberFormat="1" applyAlignment="1">
      <alignment horizontal="left" indent="2"/>
    </xf>
    <xf numFmtId="18" fontId="0" fillId="0" borderId="0" xfId="0" applyNumberFormat="1" applyAlignment="1">
      <alignment horizontal="left" indent="2"/>
    </xf>
    <xf numFmtId="3" fontId="2" fillId="13" borderId="4" xfId="11" applyFill="1"/>
    <xf numFmtId="18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</cellXfs>
  <cellStyles count="28">
    <cellStyle name="Bad" xfId="9" builtinId="27" customBuiltin="1"/>
    <cellStyle name="Calculation" xfId="13" builtinId="22" customBuiltin="1"/>
    <cellStyle name="Check Cell" xfId="15" builtinId="23" customBuiltin="1"/>
    <cellStyle name="Comma" xfId="22" builtinId="3" customBuiltin="1"/>
    <cellStyle name="Comma [0]" xfId="23" builtinId="6" customBuiltin="1"/>
    <cellStyle name="Currency" xfId="24" builtinId="4" customBuiltin="1"/>
    <cellStyle name="Currency [0]" xfId="25" builtinId="7" customBuiltin="1"/>
    <cellStyle name="Explanatory Text" xfId="17" builtinId="53" customBuiltin="1"/>
    <cellStyle name="Followed Hyperlink" xfId="2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 customBuiltin="1"/>
    <cellStyle name="Note" xfId="16" builtinId="10" customBuiltin="1"/>
    <cellStyle name="Output" xfId="12" builtinId="21" customBuiltin="1"/>
    <cellStyle name="Per cent" xfId="26" builtinId="5" customBuiltin="1"/>
    <cellStyle name="Row header" xfId="20" xr:uid="{052EF838-1573-42C8-9129-51635BD4ACC2}"/>
    <cellStyle name="Source" xfId="21" xr:uid="{ED79EF08-2F1C-4D14-8266-D7A9C2CBC42E}"/>
    <cellStyle name="Table header" xfId="19" xr:uid="{38B06478-82E0-42B7-8F7B-044ED8D3789D}"/>
    <cellStyle name="Title" xfId="3" builtinId="15" customBuiltin="1"/>
    <cellStyle name="Total" xfId="18" builtinId="25" customBuiltin="1"/>
    <cellStyle name="Warning Text" xfId="27" builtinId="11" customBuiltin="1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numFmt numFmtId="168" formatCode="h\ AM/PM"/>
    </dxf>
    <dxf>
      <numFmt numFmtId="170" formatCode="[$-409]hh:mm\ AM/PM;@"/>
    </dxf>
    <dxf>
      <numFmt numFmtId="170" formatCode="[$-409]hh:mm\ AM/PM;@"/>
    </dxf>
    <dxf>
      <numFmt numFmtId="170" formatCode="[$-409]hh:mm\ AM/P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19" formatCode="d/m/yyyy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 style="dashed">
          <color rgb="FF7F7F7F"/>
        </right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27" formatCode="d/m/yyyy\ h:mm"/>
      <fill>
        <patternFill patternType="solid">
          <fgColor indexed="64"/>
          <bgColor theme="0" tint="-0.2499465926084170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dashed">
          <color theme="0" tint="-0.24994659260841701"/>
        </top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/>
        <bottom style="dashed">
          <color rgb="FF7F7F7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19" formatCode="d/m/yyyy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 style="dashed">
          <color rgb="FF7F7F7F"/>
        </right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thin">
          <color theme="1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27" formatCode="d/m/yyyy\ h:mm"/>
      <fill>
        <patternFill patternType="solid">
          <fgColor indexed="64"/>
          <bgColor theme="0" tint="-0.2499465926084170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dashed">
          <color theme="0" tint="-0.24994659260841701"/>
        </top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19" formatCode="d/m/yyyy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 style="dashed">
          <color rgb="FF7F7F7F"/>
        </right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thin">
          <color theme="1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27" formatCode="d/m/yyyy\ h:mm"/>
      <fill>
        <patternFill patternType="solid">
          <fgColor indexed="64"/>
          <bgColor theme="0" tint="-0.2499465926084170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dashed">
          <color theme="0" tint="-0.24994659260841701"/>
        </top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/>
        <bottom style="dashed">
          <color rgb="FF7F7F7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19" formatCode="d/m/yyyy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169" formatCode="hh:mm;@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 style="dashed">
          <color rgb="FF7F7F7F"/>
        </right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thin">
          <color theme="1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27" formatCode="d/m/yyyy\ h:mm"/>
      <fill>
        <patternFill patternType="solid">
          <fgColor indexed="64"/>
          <bgColor theme="0" tint="-0.2499465926084170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dashed">
          <color theme="0" tint="-0.24994659260841701"/>
        </top>
        <bottom/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/>
        <bottom style="dashed">
          <color rgb="FF7F7F7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19" formatCode="d/m/yyyy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 style="dashed">
          <color rgb="FF7F7F7F"/>
        </right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dashed">
          <color rgb="FF7F7F7F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3" formatCode="#,##0"/>
      <fill>
        <patternFill patternType="solid">
          <fgColor indexed="64"/>
          <bgColor rgb="FFFFFFFF"/>
        </patternFill>
      </fill>
      <border diagonalUp="0" diagonalDown="0">
        <left style="thin">
          <color theme="1"/>
        </left>
        <right/>
        <top style="dashed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numFmt numFmtId="27" formatCode="d/m/yyyy\ h:mm"/>
      <fill>
        <patternFill patternType="solid">
          <fgColor indexed="64"/>
          <bgColor theme="0" tint="-0.2499465926084170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dashed">
          <color theme="0" tint="-0.24994659260841701"/>
        </top>
        <bottom/>
        <vertical/>
        <horizontal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"/>
        <scheme val="none"/>
      </font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/>
        <bottom/>
      </border>
    </dxf>
    <dxf>
      <font>
        <b/>
        <i val="0"/>
        <strike val="0"/>
        <u val="none"/>
        <color theme="0"/>
      </font>
      <fill>
        <patternFill>
          <bgColor theme="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u val="none"/>
        <color auto="1"/>
      </font>
      <fill>
        <patternFill>
          <bgColor theme="2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color theme="0"/>
      </font>
      <fill>
        <patternFill>
          <bgColor theme="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</font>
      <fill>
        <patternFill>
          <bgColor theme="2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ill>
        <patternFill>
          <bgColor theme="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2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/>
        <i val="0"/>
        <strike val="0"/>
        <u val="none"/>
        <color theme="0"/>
      </font>
      <fill>
        <patternFill>
          <bgColor rgb="FF00ABE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rgb="FF00ABE6"/>
        </left>
        <right style="thin">
          <color rgb="FF00ABE6"/>
        </right>
        <top style="thin">
          <color rgb="FF00ABE6"/>
        </top>
        <bottom style="thin">
          <color rgb="FF00ABE6"/>
        </bottom>
        <vertical style="thin">
          <color rgb="FF00ABE6"/>
        </vertical>
        <horizontal style="thin">
          <color rgb="FF00ABE6"/>
        </horizontal>
      </border>
    </dxf>
  </dxfs>
  <tableStyles count="4" defaultTableStyle="TableStyleMedium2" defaultPivotStyle="PivotStyleLight16">
    <tableStyle name="D&amp;ATable" pivot="0" count="2" xr9:uid="{0DD3A5CA-D1B7-4640-BD67-9CBF2DB43EA1}">
      <tableStyleElement type="wholeTable" dxfId="120"/>
      <tableStyleElement type="headerRow" dxfId="119"/>
    </tableStyle>
    <tableStyle name="Table Style 1" pivot="0" count="2" xr9:uid="{F17C83BB-67D3-493A-B200-81296089B60C}">
      <tableStyleElement type="wholeTable" dxfId="118"/>
      <tableStyleElement type="headerRow" dxfId="117"/>
    </tableStyle>
    <tableStyle name="Table Style 2" pivot="0" count="2" xr9:uid="{DCB18049-79FA-4FE1-8D1C-8630E8ACA9C1}">
      <tableStyleElement type="wholeTable" dxfId="116"/>
      <tableStyleElement type="headerRow" dxfId="115"/>
    </tableStyle>
    <tableStyle name="Table Style 3" pivot="0" count="2" xr9:uid="{14A5E3B9-272B-430B-B083-074C909511A3}">
      <tableStyleElement type="wholeTable" dxfId="114"/>
      <tableStyleElement type="headerRow" dxfId="113"/>
    </tableStyle>
  </tableStyles>
  <colors>
    <mruColors>
      <color rgb="FFFFFBF7"/>
      <color rgb="FFFDEED8"/>
      <color rgb="FF269FAC"/>
      <color rgb="FFEA8973"/>
      <color rgb="FFC34335"/>
      <color rgb="FF494949"/>
      <color rgb="FF070707"/>
      <color rgb="FFAF0001"/>
      <color rgb="FF009C47"/>
      <color rgb="FFB5BC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Public Sans"/>
              </a:rPr>
              <a:t>Electricity Spot Price in the NEM (AUD per MWh)</a:t>
            </a:r>
          </a:p>
        </c:rich>
      </c:tx>
      <c:layout>
        <c:manualLayout>
          <c:xMode val="edge"/>
          <c:yMode val="edge"/>
          <c:x val="0.372102723339233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815023262680327E-2"/>
          <c:y val="7.8739319807949862E-2"/>
          <c:w val="0.91939313853660465"/>
          <c:h val="0.792455409184894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'Data exploration'!$W$1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exploration'!$A$2:$A$338</c:f>
              <c:numCache>
                <c:formatCode>m/d/yy\ h:mm</c:formatCode>
                <c:ptCount val="337"/>
                <c:pt idx="0">
                  <c:v>45849.520833333336</c:v>
                </c:pt>
                <c:pt idx="1">
                  <c:v>45849.541666666664</c:v>
                </c:pt>
                <c:pt idx="2">
                  <c:v>45849.5625</c:v>
                </c:pt>
                <c:pt idx="3">
                  <c:v>45849.583333333336</c:v>
                </c:pt>
                <c:pt idx="4">
                  <c:v>45849.604166666664</c:v>
                </c:pt>
                <c:pt idx="5">
                  <c:v>45849.625</c:v>
                </c:pt>
                <c:pt idx="6">
                  <c:v>45849.645833333336</c:v>
                </c:pt>
                <c:pt idx="7">
                  <c:v>45849.666666666664</c:v>
                </c:pt>
                <c:pt idx="8">
                  <c:v>45849.6875</c:v>
                </c:pt>
                <c:pt idx="9">
                  <c:v>45849.708333333336</c:v>
                </c:pt>
                <c:pt idx="10">
                  <c:v>45849.729166666664</c:v>
                </c:pt>
                <c:pt idx="11">
                  <c:v>45849.75</c:v>
                </c:pt>
                <c:pt idx="12">
                  <c:v>45849.770833333336</c:v>
                </c:pt>
                <c:pt idx="13">
                  <c:v>45849.791666666664</c:v>
                </c:pt>
                <c:pt idx="14">
                  <c:v>45849.8125</c:v>
                </c:pt>
                <c:pt idx="15">
                  <c:v>45849.833333333336</c:v>
                </c:pt>
                <c:pt idx="16">
                  <c:v>45849.854166666664</c:v>
                </c:pt>
                <c:pt idx="17">
                  <c:v>45849.875</c:v>
                </c:pt>
                <c:pt idx="18">
                  <c:v>45849.895833333336</c:v>
                </c:pt>
                <c:pt idx="19">
                  <c:v>45849.916666666664</c:v>
                </c:pt>
                <c:pt idx="20">
                  <c:v>45849.9375</c:v>
                </c:pt>
                <c:pt idx="21">
                  <c:v>45849.958333333336</c:v>
                </c:pt>
                <c:pt idx="22">
                  <c:v>45849.979166666664</c:v>
                </c:pt>
                <c:pt idx="23">
                  <c:v>45850</c:v>
                </c:pt>
                <c:pt idx="24">
                  <c:v>45850.020833333336</c:v>
                </c:pt>
                <c:pt idx="25">
                  <c:v>45850.041666666664</c:v>
                </c:pt>
                <c:pt idx="26">
                  <c:v>45850.0625</c:v>
                </c:pt>
                <c:pt idx="27">
                  <c:v>45850.083333333336</c:v>
                </c:pt>
                <c:pt idx="28">
                  <c:v>45850.104166666664</c:v>
                </c:pt>
                <c:pt idx="29">
                  <c:v>45850.125</c:v>
                </c:pt>
                <c:pt idx="30">
                  <c:v>45850.145833333336</c:v>
                </c:pt>
                <c:pt idx="31">
                  <c:v>45850.166666666664</c:v>
                </c:pt>
                <c:pt idx="32">
                  <c:v>45850.1875</c:v>
                </c:pt>
                <c:pt idx="33">
                  <c:v>45850.208333333336</c:v>
                </c:pt>
                <c:pt idx="34">
                  <c:v>45850.229166666664</c:v>
                </c:pt>
                <c:pt idx="35">
                  <c:v>45850.25</c:v>
                </c:pt>
                <c:pt idx="36">
                  <c:v>45850.270833333336</c:v>
                </c:pt>
                <c:pt idx="37">
                  <c:v>45850.291666666664</c:v>
                </c:pt>
                <c:pt idx="38">
                  <c:v>45850.3125</c:v>
                </c:pt>
                <c:pt idx="39">
                  <c:v>45850.333333333336</c:v>
                </c:pt>
                <c:pt idx="40">
                  <c:v>45850.354166666664</c:v>
                </c:pt>
                <c:pt idx="41">
                  <c:v>45850.375</c:v>
                </c:pt>
                <c:pt idx="42">
                  <c:v>45850.395833333336</c:v>
                </c:pt>
                <c:pt idx="43">
                  <c:v>45850.416666666664</c:v>
                </c:pt>
                <c:pt idx="44">
                  <c:v>45850.4375</c:v>
                </c:pt>
                <c:pt idx="45">
                  <c:v>45850.458333333336</c:v>
                </c:pt>
                <c:pt idx="46">
                  <c:v>45850.479166666664</c:v>
                </c:pt>
                <c:pt idx="47">
                  <c:v>45850.5</c:v>
                </c:pt>
                <c:pt idx="48">
                  <c:v>45850.520833333336</c:v>
                </c:pt>
                <c:pt idx="49">
                  <c:v>45850.541666666664</c:v>
                </c:pt>
                <c:pt idx="50">
                  <c:v>45850.5625</c:v>
                </c:pt>
                <c:pt idx="51">
                  <c:v>45850.583333333336</c:v>
                </c:pt>
                <c:pt idx="52">
                  <c:v>45850.604166666664</c:v>
                </c:pt>
                <c:pt idx="53">
                  <c:v>45850.625</c:v>
                </c:pt>
                <c:pt idx="54">
                  <c:v>45850.645833333336</c:v>
                </c:pt>
                <c:pt idx="55">
                  <c:v>45850.666666666664</c:v>
                </c:pt>
                <c:pt idx="56">
                  <c:v>45850.6875</c:v>
                </c:pt>
                <c:pt idx="57">
                  <c:v>45850.708333333336</c:v>
                </c:pt>
                <c:pt idx="58">
                  <c:v>45850.729166666664</c:v>
                </c:pt>
                <c:pt idx="59">
                  <c:v>45850.75</c:v>
                </c:pt>
                <c:pt idx="60">
                  <c:v>45850.770833333336</c:v>
                </c:pt>
                <c:pt idx="61">
                  <c:v>45850.791666666664</c:v>
                </c:pt>
                <c:pt idx="62">
                  <c:v>45850.8125</c:v>
                </c:pt>
                <c:pt idx="63">
                  <c:v>45850.833333333336</c:v>
                </c:pt>
                <c:pt idx="64">
                  <c:v>45850.854166666664</c:v>
                </c:pt>
                <c:pt idx="65">
                  <c:v>45850.875</c:v>
                </c:pt>
                <c:pt idx="66">
                  <c:v>45850.895833333336</c:v>
                </c:pt>
                <c:pt idx="67">
                  <c:v>45850.916666666664</c:v>
                </c:pt>
                <c:pt idx="68">
                  <c:v>45850.9375</c:v>
                </c:pt>
                <c:pt idx="69">
                  <c:v>45850.958333333336</c:v>
                </c:pt>
                <c:pt idx="70">
                  <c:v>45850.979166666664</c:v>
                </c:pt>
                <c:pt idx="71">
                  <c:v>45851</c:v>
                </c:pt>
                <c:pt idx="72">
                  <c:v>45851.020833333336</c:v>
                </c:pt>
                <c:pt idx="73">
                  <c:v>45851.041666666664</c:v>
                </c:pt>
                <c:pt idx="74">
                  <c:v>45851.0625</c:v>
                </c:pt>
                <c:pt idx="75">
                  <c:v>45851.083333333336</c:v>
                </c:pt>
                <c:pt idx="76">
                  <c:v>45851.104166666664</c:v>
                </c:pt>
                <c:pt idx="77">
                  <c:v>45851.125</c:v>
                </c:pt>
                <c:pt idx="78">
                  <c:v>45851.145833333336</c:v>
                </c:pt>
                <c:pt idx="79">
                  <c:v>45851.166666666664</c:v>
                </c:pt>
                <c:pt idx="80">
                  <c:v>45851.1875</c:v>
                </c:pt>
                <c:pt idx="81">
                  <c:v>45851.208333333336</c:v>
                </c:pt>
                <c:pt idx="82">
                  <c:v>45851.229166666664</c:v>
                </c:pt>
                <c:pt idx="83">
                  <c:v>45851.25</c:v>
                </c:pt>
                <c:pt idx="84">
                  <c:v>45851.270833333336</c:v>
                </c:pt>
                <c:pt idx="85">
                  <c:v>45851.291666666664</c:v>
                </c:pt>
                <c:pt idx="86">
                  <c:v>45851.3125</c:v>
                </c:pt>
                <c:pt idx="87">
                  <c:v>45851.333333333336</c:v>
                </c:pt>
                <c:pt idx="88">
                  <c:v>45851.354166666664</c:v>
                </c:pt>
                <c:pt idx="89">
                  <c:v>45851.375</c:v>
                </c:pt>
                <c:pt idx="90">
                  <c:v>45851.395833333336</c:v>
                </c:pt>
                <c:pt idx="91">
                  <c:v>45851.416666666664</c:v>
                </c:pt>
                <c:pt idx="92">
                  <c:v>45851.4375</c:v>
                </c:pt>
                <c:pt idx="93">
                  <c:v>45851.458333333336</c:v>
                </c:pt>
                <c:pt idx="94">
                  <c:v>45851.479166666664</c:v>
                </c:pt>
                <c:pt idx="95">
                  <c:v>45851.5</c:v>
                </c:pt>
                <c:pt idx="96">
                  <c:v>45851.520833333336</c:v>
                </c:pt>
                <c:pt idx="97">
                  <c:v>45851.541666666664</c:v>
                </c:pt>
                <c:pt idx="98">
                  <c:v>45851.5625</c:v>
                </c:pt>
                <c:pt idx="99">
                  <c:v>45851.583333333336</c:v>
                </c:pt>
                <c:pt idx="100">
                  <c:v>45851.604166666664</c:v>
                </c:pt>
                <c:pt idx="101">
                  <c:v>45851.625</c:v>
                </c:pt>
                <c:pt idx="102">
                  <c:v>45851.645833333336</c:v>
                </c:pt>
                <c:pt idx="103">
                  <c:v>45851.666666666664</c:v>
                </c:pt>
                <c:pt idx="104">
                  <c:v>45851.6875</c:v>
                </c:pt>
                <c:pt idx="105">
                  <c:v>45851.708333333336</c:v>
                </c:pt>
                <c:pt idx="106">
                  <c:v>45851.729166666664</c:v>
                </c:pt>
                <c:pt idx="107">
                  <c:v>45851.75</c:v>
                </c:pt>
                <c:pt idx="108">
                  <c:v>45851.770833333336</c:v>
                </c:pt>
                <c:pt idx="109">
                  <c:v>45851.791666666664</c:v>
                </c:pt>
                <c:pt idx="110">
                  <c:v>45851.8125</c:v>
                </c:pt>
                <c:pt idx="111">
                  <c:v>45851.833333333336</c:v>
                </c:pt>
                <c:pt idx="112">
                  <c:v>45851.854166666664</c:v>
                </c:pt>
                <c:pt idx="113">
                  <c:v>45851.875</c:v>
                </c:pt>
                <c:pt idx="114">
                  <c:v>45851.895833333336</c:v>
                </c:pt>
                <c:pt idx="115">
                  <c:v>45851.916666666664</c:v>
                </c:pt>
                <c:pt idx="116">
                  <c:v>45851.9375</c:v>
                </c:pt>
                <c:pt idx="117">
                  <c:v>45851.958333333336</c:v>
                </c:pt>
                <c:pt idx="118">
                  <c:v>45851.979166666664</c:v>
                </c:pt>
                <c:pt idx="119">
                  <c:v>45852</c:v>
                </c:pt>
                <c:pt idx="120">
                  <c:v>45852.020833333336</c:v>
                </c:pt>
                <c:pt idx="121">
                  <c:v>45852.041666666664</c:v>
                </c:pt>
                <c:pt idx="122">
                  <c:v>45852.0625</c:v>
                </c:pt>
                <c:pt idx="123">
                  <c:v>45852.083333333336</c:v>
                </c:pt>
                <c:pt idx="124">
                  <c:v>45852.104166666664</c:v>
                </c:pt>
                <c:pt idx="125">
                  <c:v>45852.125</c:v>
                </c:pt>
                <c:pt idx="126">
                  <c:v>45852.145833333336</c:v>
                </c:pt>
                <c:pt idx="127">
                  <c:v>45852.166666666664</c:v>
                </c:pt>
                <c:pt idx="128">
                  <c:v>45852.1875</c:v>
                </c:pt>
                <c:pt idx="129">
                  <c:v>45852.208333333336</c:v>
                </c:pt>
                <c:pt idx="130">
                  <c:v>45852.229166666664</c:v>
                </c:pt>
                <c:pt idx="131">
                  <c:v>45852.25</c:v>
                </c:pt>
                <c:pt idx="132">
                  <c:v>45852.270833333336</c:v>
                </c:pt>
                <c:pt idx="133">
                  <c:v>45852.291666666664</c:v>
                </c:pt>
                <c:pt idx="134">
                  <c:v>45852.3125</c:v>
                </c:pt>
                <c:pt idx="135">
                  <c:v>45852.333333333336</c:v>
                </c:pt>
                <c:pt idx="136">
                  <c:v>45852.354166666664</c:v>
                </c:pt>
                <c:pt idx="137">
                  <c:v>45852.375</c:v>
                </c:pt>
                <c:pt idx="138">
                  <c:v>45852.395833333336</c:v>
                </c:pt>
                <c:pt idx="139">
                  <c:v>45852.416666666664</c:v>
                </c:pt>
                <c:pt idx="140">
                  <c:v>45852.4375</c:v>
                </c:pt>
                <c:pt idx="141">
                  <c:v>45852.458333333336</c:v>
                </c:pt>
                <c:pt idx="142">
                  <c:v>45852.479166666664</c:v>
                </c:pt>
                <c:pt idx="143">
                  <c:v>45852.5</c:v>
                </c:pt>
                <c:pt idx="144">
                  <c:v>45852.520833333336</c:v>
                </c:pt>
                <c:pt idx="145">
                  <c:v>45852.541666666664</c:v>
                </c:pt>
                <c:pt idx="146">
                  <c:v>45852.5625</c:v>
                </c:pt>
                <c:pt idx="147">
                  <c:v>45852.583333333336</c:v>
                </c:pt>
                <c:pt idx="148">
                  <c:v>45852.604166666664</c:v>
                </c:pt>
                <c:pt idx="149">
                  <c:v>45852.625</c:v>
                </c:pt>
                <c:pt idx="150">
                  <c:v>45852.645833333336</c:v>
                </c:pt>
                <c:pt idx="151">
                  <c:v>45852.666666666664</c:v>
                </c:pt>
                <c:pt idx="152">
                  <c:v>45852.6875</c:v>
                </c:pt>
                <c:pt idx="153">
                  <c:v>45852.708333333336</c:v>
                </c:pt>
                <c:pt idx="154">
                  <c:v>45852.729166666664</c:v>
                </c:pt>
                <c:pt idx="155">
                  <c:v>45852.75</c:v>
                </c:pt>
                <c:pt idx="156">
                  <c:v>45852.770833333336</c:v>
                </c:pt>
                <c:pt idx="157">
                  <c:v>45852.791666666664</c:v>
                </c:pt>
                <c:pt idx="158">
                  <c:v>45852.8125</c:v>
                </c:pt>
                <c:pt idx="159">
                  <c:v>45852.833333333336</c:v>
                </c:pt>
                <c:pt idx="160">
                  <c:v>45852.854166666664</c:v>
                </c:pt>
                <c:pt idx="161">
                  <c:v>45852.875</c:v>
                </c:pt>
                <c:pt idx="162">
                  <c:v>45852.895833333336</c:v>
                </c:pt>
                <c:pt idx="163">
                  <c:v>45852.916666666664</c:v>
                </c:pt>
                <c:pt idx="164">
                  <c:v>45852.9375</c:v>
                </c:pt>
                <c:pt idx="165">
                  <c:v>45852.958333333336</c:v>
                </c:pt>
                <c:pt idx="166">
                  <c:v>45852.979166666664</c:v>
                </c:pt>
                <c:pt idx="167">
                  <c:v>45853</c:v>
                </c:pt>
                <c:pt idx="168">
                  <c:v>45853.020833333336</c:v>
                </c:pt>
                <c:pt idx="169">
                  <c:v>45853.041666666664</c:v>
                </c:pt>
                <c:pt idx="170">
                  <c:v>45853.0625</c:v>
                </c:pt>
                <c:pt idx="171">
                  <c:v>45853.083333333336</c:v>
                </c:pt>
                <c:pt idx="172">
                  <c:v>45853.104166666664</c:v>
                </c:pt>
                <c:pt idx="173">
                  <c:v>45853.125</c:v>
                </c:pt>
                <c:pt idx="174">
                  <c:v>45853.145833333336</c:v>
                </c:pt>
                <c:pt idx="175">
                  <c:v>45853.166666666664</c:v>
                </c:pt>
                <c:pt idx="176">
                  <c:v>45853.1875</c:v>
                </c:pt>
                <c:pt idx="177">
                  <c:v>45853.208333333336</c:v>
                </c:pt>
                <c:pt idx="178">
                  <c:v>45853.229166666664</c:v>
                </c:pt>
                <c:pt idx="179">
                  <c:v>45853.25</c:v>
                </c:pt>
                <c:pt idx="180">
                  <c:v>45853.270833333336</c:v>
                </c:pt>
                <c:pt idx="181">
                  <c:v>45853.291666666664</c:v>
                </c:pt>
                <c:pt idx="182">
                  <c:v>45853.3125</c:v>
                </c:pt>
                <c:pt idx="183">
                  <c:v>45853.333333333336</c:v>
                </c:pt>
                <c:pt idx="184">
                  <c:v>45853.354166666664</c:v>
                </c:pt>
                <c:pt idx="185">
                  <c:v>45853.375</c:v>
                </c:pt>
                <c:pt idx="186">
                  <c:v>45853.395833333336</c:v>
                </c:pt>
                <c:pt idx="187">
                  <c:v>45853.416666666664</c:v>
                </c:pt>
                <c:pt idx="188">
                  <c:v>45853.4375</c:v>
                </c:pt>
                <c:pt idx="189">
                  <c:v>45853.458333333336</c:v>
                </c:pt>
                <c:pt idx="190">
                  <c:v>45853.479166666664</c:v>
                </c:pt>
                <c:pt idx="191">
                  <c:v>45853.5</c:v>
                </c:pt>
                <c:pt idx="192">
                  <c:v>45853.520833333336</c:v>
                </c:pt>
                <c:pt idx="193">
                  <c:v>45853.541666666664</c:v>
                </c:pt>
                <c:pt idx="194">
                  <c:v>45853.5625</c:v>
                </c:pt>
                <c:pt idx="195">
                  <c:v>45853.583333333336</c:v>
                </c:pt>
                <c:pt idx="196">
                  <c:v>45853.604166666664</c:v>
                </c:pt>
                <c:pt idx="197">
                  <c:v>45853.625</c:v>
                </c:pt>
                <c:pt idx="198">
                  <c:v>45853.645833333336</c:v>
                </c:pt>
                <c:pt idx="199">
                  <c:v>45853.666666666664</c:v>
                </c:pt>
                <c:pt idx="200">
                  <c:v>45853.6875</c:v>
                </c:pt>
                <c:pt idx="201">
                  <c:v>45853.708333333336</c:v>
                </c:pt>
                <c:pt idx="202">
                  <c:v>45853.729166666664</c:v>
                </c:pt>
                <c:pt idx="203">
                  <c:v>45853.75</c:v>
                </c:pt>
                <c:pt idx="204">
                  <c:v>45853.770833333336</c:v>
                </c:pt>
                <c:pt idx="205">
                  <c:v>45853.791666666664</c:v>
                </c:pt>
                <c:pt idx="206">
                  <c:v>45853.8125</c:v>
                </c:pt>
                <c:pt idx="207">
                  <c:v>45853.833333333336</c:v>
                </c:pt>
                <c:pt idx="208">
                  <c:v>45853.854166666664</c:v>
                </c:pt>
                <c:pt idx="209">
                  <c:v>45853.875</c:v>
                </c:pt>
                <c:pt idx="210">
                  <c:v>45853.895833333336</c:v>
                </c:pt>
                <c:pt idx="211">
                  <c:v>45853.916666666664</c:v>
                </c:pt>
                <c:pt idx="212">
                  <c:v>45853.9375</c:v>
                </c:pt>
                <c:pt idx="213">
                  <c:v>45853.958333333336</c:v>
                </c:pt>
                <c:pt idx="214">
                  <c:v>45853.979166666664</c:v>
                </c:pt>
                <c:pt idx="215">
                  <c:v>45854</c:v>
                </c:pt>
                <c:pt idx="216">
                  <c:v>45854.020833333336</c:v>
                </c:pt>
                <c:pt idx="217">
                  <c:v>45854.041666666664</c:v>
                </c:pt>
                <c:pt idx="218">
                  <c:v>45854.0625</c:v>
                </c:pt>
                <c:pt idx="219">
                  <c:v>45854.083333333336</c:v>
                </c:pt>
                <c:pt idx="220">
                  <c:v>45854.104166666664</c:v>
                </c:pt>
                <c:pt idx="221">
                  <c:v>45854.125</c:v>
                </c:pt>
                <c:pt idx="222">
                  <c:v>45854.145833333336</c:v>
                </c:pt>
                <c:pt idx="223">
                  <c:v>45854.166666666664</c:v>
                </c:pt>
                <c:pt idx="224">
                  <c:v>45854.1875</c:v>
                </c:pt>
                <c:pt idx="225">
                  <c:v>45854.208333333336</c:v>
                </c:pt>
                <c:pt idx="226">
                  <c:v>45854.229166666664</c:v>
                </c:pt>
                <c:pt idx="227">
                  <c:v>45854.25</c:v>
                </c:pt>
                <c:pt idx="228">
                  <c:v>45854.270833333336</c:v>
                </c:pt>
                <c:pt idx="229">
                  <c:v>45854.291666666664</c:v>
                </c:pt>
                <c:pt idx="230">
                  <c:v>45854.3125</c:v>
                </c:pt>
                <c:pt idx="231">
                  <c:v>45854.333333333336</c:v>
                </c:pt>
                <c:pt idx="232">
                  <c:v>45854.354166666664</c:v>
                </c:pt>
                <c:pt idx="233">
                  <c:v>45854.375</c:v>
                </c:pt>
                <c:pt idx="234">
                  <c:v>45854.395833333336</c:v>
                </c:pt>
                <c:pt idx="235">
                  <c:v>45854.416666666664</c:v>
                </c:pt>
                <c:pt idx="236">
                  <c:v>45854.4375</c:v>
                </c:pt>
                <c:pt idx="237">
                  <c:v>45854.458333333336</c:v>
                </c:pt>
                <c:pt idx="238">
                  <c:v>45854.479166666664</c:v>
                </c:pt>
                <c:pt idx="239">
                  <c:v>45854.5</c:v>
                </c:pt>
                <c:pt idx="240">
                  <c:v>45854.520833333336</c:v>
                </c:pt>
                <c:pt idx="241">
                  <c:v>45854.541666666664</c:v>
                </c:pt>
                <c:pt idx="242">
                  <c:v>45854.5625</c:v>
                </c:pt>
                <c:pt idx="243">
                  <c:v>45854.583333333336</c:v>
                </c:pt>
                <c:pt idx="244">
                  <c:v>45854.604166666664</c:v>
                </c:pt>
                <c:pt idx="245">
                  <c:v>45854.625</c:v>
                </c:pt>
                <c:pt idx="246">
                  <c:v>45854.645833333336</c:v>
                </c:pt>
                <c:pt idx="247">
                  <c:v>45854.666666666664</c:v>
                </c:pt>
                <c:pt idx="248">
                  <c:v>45854.6875</c:v>
                </c:pt>
                <c:pt idx="249">
                  <c:v>45854.708333333336</c:v>
                </c:pt>
                <c:pt idx="250">
                  <c:v>45854.729166666664</c:v>
                </c:pt>
                <c:pt idx="251">
                  <c:v>45854.75</c:v>
                </c:pt>
                <c:pt idx="252">
                  <c:v>45854.770833333336</c:v>
                </c:pt>
                <c:pt idx="253">
                  <c:v>45854.791666666664</c:v>
                </c:pt>
                <c:pt idx="254">
                  <c:v>45854.8125</c:v>
                </c:pt>
                <c:pt idx="255">
                  <c:v>45854.833333333336</c:v>
                </c:pt>
                <c:pt idx="256">
                  <c:v>45854.854166666664</c:v>
                </c:pt>
                <c:pt idx="257">
                  <c:v>45854.875</c:v>
                </c:pt>
                <c:pt idx="258">
                  <c:v>45854.895833333336</c:v>
                </c:pt>
                <c:pt idx="259">
                  <c:v>45854.916666666664</c:v>
                </c:pt>
                <c:pt idx="260">
                  <c:v>45854.9375</c:v>
                </c:pt>
                <c:pt idx="261">
                  <c:v>45854.958333333336</c:v>
                </c:pt>
                <c:pt idx="262">
                  <c:v>45854.979166666664</c:v>
                </c:pt>
                <c:pt idx="263">
                  <c:v>45855</c:v>
                </c:pt>
                <c:pt idx="264">
                  <c:v>45855.020833333336</c:v>
                </c:pt>
                <c:pt idx="265">
                  <c:v>45855.041666666664</c:v>
                </c:pt>
                <c:pt idx="266">
                  <c:v>45855.0625</c:v>
                </c:pt>
                <c:pt idx="267">
                  <c:v>45855.083333333336</c:v>
                </c:pt>
                <c:pt idx="268">
                  <c:v>45855.104166666664</c:v>
                </c:pt>
                <c:pt idx="269">
                  <c:v>45855.125</c:v>
                </c:pt>
                <c:pt idx="270">
                  <c:v>45855.145833333336</c:v>
                </c:pt>
                <c:pt idx="271">
                  <c:v>45855.166666666664</c:v>
                </c:pt>
                <c:pt idx="272">
                  <c:v>45855.1875</c:v>
                </c:pt>
                <c:pt idx="273">
                  <c:v>45855.208333333336</c:v>
                </c:pt>
                <c:pt idx="274">
                  <c:v>45855.229166666664</c:v>
                </c:pt>
                <c:pt idx="275">
                  <c:v>45855.25</c:v>
                </c:pt>
                <c:pt idx="276">
                  <c:v>45855.270833333336</c:v>
                </c:pt>
                <c:pt idx="277">
                  <c:v>45855.291666666664</c:v>
                </c:pt>
                <c:pt idx="278">
                  <c:v>45855.3125</c:v>
                </c:pt>
                <c:pt idx="279">
                  <c:v>45855.333333333336</c:v>
                </c:pt>
                <c:pt idx="280">
                  <c:v>45855.354166666664</c:v>
                </c:pt>
                <c:pt idx="281">
                  <c:v>45855.375</c:v>
                </c:pt>
                <c:pt idx="282">
                  <c:v>45855.395833333336</c:v>
                </c:pt>
                <c:pt idx="283">
                  <c:v>45855.416666666664</c:v>
                </c:pt>
                <c:pt idx="284">
                  <c:v>45855.4375</c:v>
                </c:pt>
                <c:pt idx="285">
                  <c:v>45855.458333333336</c:v>
                </c:pt>
                <c:pt idx="286">
                  <c:v>45855.479166666664</c:v>
                </c:pt>
                <c:pt idx="287">
                  <c:v>45855.5</c:v>
                </c:pt>
                <c:pt idx="288">
                  <c:v>45855.520833333336</c:v>
                </c:pt>
                <c:pt idx="289">
                  <c:v>45855.541666666664</c:v>
                </c:pt>
                <c:pt idx="290">
                  <c:v>45855.5625</c:v>
                </c:pt>
                <c:pt idx="291">
                  <c:v>45855.583333333336</c:v>
                </c:pt>
                <c:pt idx="292">
                  <c:v>45855.604166666664</c:v>
                </c:pt>
                <c:pt idx="293">
                  <c:v>45855.625</c:v>
                </c:pt>
                <c:pt idx="294">
                  <c:v>45855.645833333336</c:v>
                </c:pt>
                <c:pt idx="295">
                  <c:v>45855.666666666664</c:v>
                </c:pt>
                <c:pt idx="296">
                  <c:v>45855.6875</c:v>
                </c:pt>
                <c:pt idx="297">
                  <c:v>45855.708333333336</c:v>
                </c:pt>
                <c:pt idx="298">
                  <c:v>45855.729166666664</c:v>
                </c:pt>
                <c:pt idx="299">
                  <c:v>45855.75</c:v>
                </c:pt>
                <c:pt idx="300">
                  <c:v>45855.770833333336</c:v>
                </c:pt>
                <c:pt idx="301">
                  <c:v>45855.791666666664</c:v>
                </c:pt>
                <c:pt idx="302">
                  <c:v>45855.8125</c:v>
                </c:pt>
                <c:pt idx="303">
                  <c:v>45855.833333333336</c:v>
                </c:pt>
                <c:pt idx="304">
                  <c:v>45855.854166666664</c:v>
                </c:pt>
                <c:pt idx="305">
                  <c:v>45855.875</c:v>
                </c:pt>
                <c:pt idx="306">
                  <c:v>45855.895833333336</c:v>
                </c:pt>
                <c:pt idx="307">
                  <c:v>45855.916666666664</c:v>
                </c:pt>
                <c:pt idx="308">
                  <c:v>45855.9375</c:v>
                </c:pt>
                <c:pt idx="309">
                  <c:v>45855.958333333336</c:v>
                </c:pt>
                <c:pt idx="310">
                  <c:v>45855.979166666664</c:v>
                </c:pt>
                <c:pt idx="311">
                  <c:v>45856</c:v>
                </c:pt>
                <c:pt idx="312">
                  <c:v>45856.020833333336</c:v>
                </c:pt>
                <c:pt idx="313">
                  <c:v>45856.041666666664</c:v>
                </c:pt>
                <c:pt idx="314">
                  <c:v>45856.0625</c:v>
                </c:pt>
                <c:pt idx="315">
                  <c:v>45856.083333333336</c:v>
                </c:pt>
                <c:pt idx="316">
                  <c:v>45856.104166666664</c:v>
                </c:pt>
                <c:pt idx="317">
                  <c:v>45856.125</c:v>
                </c:pt>
                <c:pt idx="318">
                  <c:v>45856.145833333336</c:v>
                </c:pt>
                <c:pt idx="319">
                  <c:v>45856.166666666664</c:v>
                </c:pt>
                <c:pt idx="320">
                  <c:v>45856.1875</c:v>
                </c:pt>
                <c:pt idx="321">
                  <c:v>45856.208333333336</c:v>
                </c:pt>
                <c:pt idx="322">
                  <c:v>45856.229166666664</c:v>
                </c:pt>
                <c:pt idx="323">
                  <c:v>45856.25</c:v>
                </c:pt>
                <c:pt idx="324">
                  <c:v>45856.270833333336</c:v>
                </c:pt>
                <c:pt idx="325">
                  <c:v>45856.291666666664</c:v>
                </c:pt>
                <c:pt idx="326">
                  <c:v>45856.3125</c:v>
                </c:pt>
                <c:pt idx="327">
                  <c:v>45856.333333333336</c:v>
                </c:pt>
                <c:pt idx="328">
                  <c:v>45856.354166666664</c:v>
                </c:pt>
                <c:pt idx="329">
                  <c:v>45856.375</c:v>
                </c:pt>
                <c:pt idx="330">
                  <c:v>45856.395833333336</c:v>
                </c:pt>
                <c:pt idx="331">
                  <c:v>45856.416666666664</c:v>
                </c:pt>
                <c:pt idx="332">
                  <c:v>45856.4375</c:v>
                </c:pt>
                <c:pt idx="333">
                  <c:v>45856.458333333336</c:v>
                </c:pt>
                <c:pt idx="334">
                  <c:v>45856.479166666664</c:v>
                </c:pt>
                <c:pt idx="335">
                  <c:v>45856.5</c:v>
                </c:pt>
                <c:pt idx="336">
                  <c:v>45856.520833333336</c:v>
                </c:pt>
              </c:numCache>
            </c:numRef>
          </c:xVal>
          <c:yVal>
            <c:numRef>
              <c:f>'Data exploration'!$W$2:$W$338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DF-B642-92E0-8490FFE1F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496512"/>
        <c:axId val="1609498192"/>
      </c:scatterChart>
      <c:valAx>
        <c:axId val="1609496512"/>
        <c:scaling>
          <c:orientation val="minMax"/>
          <c:max val="45857"/>
          <c:min val="45849"/>
        </c:scaling>
        <c:delete val="0"/>
        <c:axPos val="b"/>
        <c:majorGridlines>
          <c:spPr>
            <a:ln w="1587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  <a:alpha val="57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Date</a:t>
                </a:r>
              </a:p>
            </c:rich>
          </c:tx>
          <c:layout>
            <c:manualLayout>
              <c:xMode val="edge"/>
              <c:yMode val="edge"/>
              <c:x val="0.51601407353054496"/>
              <c:y val="0.94976005376694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 mmmm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98192"/>
        <c:crosses val="autoZero"/>
        <c:crossBetween val="midCat"/>
        <c:minorUnit val="0.25"/>
      </c:valAx>
      <c:valAx>
        <c:axId val="16094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Price -</a:t>
                </a:r>
                <a:r>
                  <a:rPr lang="en-US" sz="1200" b="1" baseline="0"/>
                  <a:t> AUD/MWh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6.7602170879111669E-4"/>
              <c:y val="0.36939771792899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9651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'Data exploration'!$D$1</c:f>
              <c:strCache>
                <c:ptCount val="1"/>
                <c:pt idx="0">
                  <c:v>Exports -  MW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'Data exploration'!$D$2:$D$338</c:f>
              <c:numCache>
                <c:formatCode>#,##0</c:formatCode>
                <c:ptCount val="337"/>
                <c:pt idx="0">
                  <c:v>-255.91</c:v>
                </c:pt>
                <c:pt idx="1">
                  <c:v>-132.59</c:v>
                </c:pt>
                <c:pt idx="2">
                  <c:v>-10.54</c:v>
                </c:pt>
                <c:pt idx="3">
                  <c:v>-159.88999999999999</c:v>
                </c:pt>
                <c:pt idx="4">
                  <c:v>-151.47999999999999</c:v>
                </c:pt>
                <c:pt idx="5">
                  <c:v>-0.59</c:v>
                </c:pt>
                <c:pt idx="6">
                  <c:v>-125.35</c:v>
                </c:pt>
                <c:pt idx="7">
                  <c:v>-105.76</c:v>
                </c:pt>
                <c:pt idx="8">
                  <c:v>-157.65</c:v>
                </c:pt>
                <c:pt idx="9">
                  <c:v>-200.52</c:v>
                </c:pt>
                <c:pt idx="10">
                  <c:v>-208.53</c:v>
                </c:pt>
                <c:pt idx="11">
                  <c:v>-487.92</c:v>
                </c:pt>
                <c:pt idx="12">
                  <c:v>-510.44</c:v>
                </c:pt>
                <c:pt idx="13">
                  <c:v>-501.92</c:v>
                </c:pt>
                <c:pt idx="14">
                  <c:v>-551.23</c:v>
                </c:pt>
                <c:pt idx="15">
                  <c:v>-558.29</c:v>
                </c:pt>
                <c:pt idx="16">
                  <c:v>-555.45000000000005</c:v>
                </c:pt>
                <c:pt idx="17">
                  <c:v>-561.46</c:v>
                </c:pt>
                <c:pt idx="18">
                  <c:v>-599.28</c:v>
                </c:pt>
                <c:pt idx="19">
                  <c:v>-604.04</c:v>
                </c:pt>
                <c:pt idx="20">
                  <c:v>-480.9</c:v>
                </c:pt>
                <c:pt idx="21">
                  <c:v>-487.3</c:v>
                </c:pt>
                <c:pt idx="22">
                  <c:v>-480.83</c:v>
                </c:pt>
                <c:pt idx="23">
                  <c:v>-525.99</c:v>
                </c:pt>
                <c:pt idx="24">
                  <c:v>-597.52</c:v>
                </c:pt>
                <c:pt idx="25">
                  <c:v>-670.27</c:v>
                </c:pt>
                <c:pt idx="26">
                  <c:v>-476.18</c:v>
                </c:pt>
                <c:pt idx="27">
                  <c:v>-472.52</c:v>
                </c:pt>
                <c:pt idx="28">
                  <c:v>-507.07</c:v>
                </c:pt>
                <c:pt idx="29">
                  <c:v>-435.67</c:v>
                </c:pt>
                <c:pt idx="30">
                  <c:v>-431.77</c:v>
                </c:pt>
                <c:pt idx="31">
                  <c:v>-288.58999999999997</c:v>
                </c:pt>
                <c:pt idx="32">
                  <c:v>-146.09</c:v>
                </c:pt>
                <c:pt idx="33">
                  <c:v>-30.49</c:v>
                </c:pt>
                <c:pt idx="34">
                  <c:v>0</c:v>
                </c:pt>
                <c:pt idx="35">
                  <c:v>-9.35</c:v>
                </c:pt>
                <c:pt idx="36">
                  <c:v>-35.47</c:v>
                </c:pt>
                <c:pt idx="37">
                  <c:v>-4.84</c:v>
                </c:pt>
                <c:pt idx="38">
                  <c:v>-198.95</c:v>
                </c:pt>
                <c:pt idx="39">
                  <c:v>-658.99</c:v>
                </c:pt>
                <c:pt idx="40">
                  <c:v>-805</c:v>
                </c:pt>
                <c:pt idx="41">
                  <c:v>-805.21</c:v>
                </c:pt>
                <c:pt idx="42">
                  <c:v>-824.64</c:v>
                </c:pt>
                <c:pt idx="43">
                  <c:v>-811.29</c:v>
                </c:pt>
                <c:pt idx="44">
                  <c:v>-738.74</c:v>
                </c:pt>
                <c:pt idx="45">
                  <c:v>-644.01</c:v>
                </c:pt>
                <c:pt idx="46">
                  <c:v>-730.81</c:v>
                </c:pt>
                <c:pt idx="47">
                  <c:v>-729.48</c:v>
                </c:pt>
                <c:pt idx="48">
                  <c:v>-558.66999999999996</c:v>
                </c:pt>
                <c:pt idx="49">
                  <c:v>-493.76</c:v>
                </c:pt>
                <c:pt idx="50">
                  <c:v>-525.74</c:v>
                </c:pt>
                <c:pt idx="51">
                  <c:v>-530.42999999999995</c:v>
                </c:pt>
                <c:pt idx="52">
                  <c:v>-415.64</c:v>
                </c:pt>
                <c:pt idx="53">
                  <c:v>-329.66</c:v>
                </c:pt>
                <c:pt idx="54">
                  <c:v>-323.95</c:v>
                </c:pt>
                <c:pt idx="55">
                  <c:v>-178.82</c:v>
                </c:pt>
                <c:pt idx="56">
                  <c:v>-125.98</c:v>
                </c:pt>
                <c:pt idx="57">
                  <c:v>-126.06</c:v>
                </c:pt>
                <c:pt idx="58">
                  <c:v>-155.11000000000001</c:v>
                </c:pt>
                <c:pt idx="59">
                  <c:v>-101.71</c:v>
                </c:pt>
                <c:pt idx="60">
                  <c:v>-26.51</c:v>
                </c:pt>
                <c:pt idx="61">
                  <c:v>-1.6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-68.790000000000006</c:v>
                </c:pt>
                <c:pt idx="72">
                  <c:v>-47.18</c:v>
                </c:pt>
                <c:pt idx="73">
                  <c:v>-13.56</c:v>
                </c:pt>
                <c:pt idx="74">
                  <c:v>-4.1399999999999997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-1.54</c:v>
                </c:pt>
                <c:pt idx="80">
                  <c:v>-11.78</c:v>
                </c:pt>
                <c:pt idx="81">
                  <c:v>0</c:v>
                </c:pt>
                <c:pt idx="82">
                  <c:v>-71.02</c:v>
                </c:pt>
                <c:pt idx="83">
                  <c:v>-126.98</c:v>
                </c:pt>
                <c:pt idx="84">
                  <c:v>-106.09</c:v>
                </c:pt>
                <c:pt idx="85">
                  <c:v>-110.82</c:v>
                </c:pt>
                <c:pt idx="86">
                  <c:v>-27.54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-92.12</c:v>
                </c:pt>
                <c:pt idx="108">
                  <c:v>-78.16</c:v>
                </c:pt>
                <c:pt idx="109">
                  <c:v>-115.62</c:v>
                </c:pt>
                <c:pt idx="110">
                  <c:v>-186.1</c:v>
                </c:pt>
                <c:pt idx="111">
                  <c:v>-194.37</c:v>
                </c:pt>
                <c:pt idx="112">
                  <c:v>-197.29</c:v>
                </c:pt>
                <c:pt idx="113">
                  <c:v>-241.96</c:v>
                </c:pt>
                <c:pt idx="114">
                  <c:v>-327.3</c:v>
                </c:pt>
                <c:pt idx="115">
                  <c:v>-360.81</c:v>
                </c:pt>
                <c:pt idx="116">
                  <c:v>-374.4</c:v>
                </c:pt>
                <c:pt idx="117">
                  <c:v>-394.42</c:v>
                </c:pt>
                <c:pt idx="118">
                  <c:v>-396.14</c:v>
                </c:pt>
                <c:pt idx="119">
                  <c:v>-487.28</c:v>
                </c:pt>
                <c:pt idx="120">
                  <c:v>-536.12</c:v>
                </c:pt>
                <c:pt idx="121">
                  <c:v>-538.34</c:v>
                </c:pt>
                <c:pt idx="122">
                  <c:v>-513.83000000000004</c:v>
                </c:pt>
                <c:pt idx="123">
                  <c:v>-459.97</c:v>
                </c:pt>
                <c:pt idx="124">
                  <c:v>-495.82</c:v>
                </c:pt>
                <c:pt idx="125">
                  <c:v>-498.8</c:v>
                </c:pt>
                <c:pt idx="126">
                  <c:v>-380.66</c:v>
                </c:pt>
                <c:pt idx="127">
                  <c:v>-325.73</c:v>
                </c:pt>
                <c:pt idx="128">
                  <c:v>-381.76</c:v>
                </c:pt>
                <c:pt idx="129">
                  <c:v>-461.29</c:v>
                </c:pt>
                <c:pt idx="130">
                  <c:v>-472.02</c:v>
                </c:pt>
                <c:pt idx="131">
                  <c:v>-573.94000000000005</c:v>
                </c:pt>
                <c:pt idx="132">
                  <c:v>-418.29</c:v>
                </c:pt>
                <c:pt idx="133">
                  <c:v>-376.64</c:v>
                </c:pt>
                <c:pt idx="134">
                  <c:v>-305.26</c:v>
                </c:pt>
                <c:pt idx="135">
                  <c:v>-223.76</c:v>
                </c:pt>
                <c:pt idx="136">
                  <c:v>-158.31</c:v>
                </c:pt>
                <c:pt idx="137">
                  <c:v>-324.17</c:v>
                </c:pt>
                <c:pt idx="138">
                  <c:v>-393.87</c:v>
                </c:pt>
                <c:pt idx="139">
                  <c:v>-359.41</c:v>
                </c:pt>
                <c:pt idx="140">
                  <c:v>-342.47</c:v>
                </c:pt>
                <c:pt idx="141">
                  <c:v>-315.85000000000002</c:v>
                </c:pt>
                <c:pt idx="142">
                  <c:v>-389.6</c:v>
                </c:pt>
                <c:pt idx="143">
                  <c:v>-520.09</c:v>
                </c:pt>
                <c:pt idx="144">
                  <c:v>-447.76</c:v>
                </c:pt>
                <c:pt idx="145">
                  <c:v>-440.61</c:v>
                </c:pt>
                <c:pt idx="146">
                  <c:v>-470.68</c:v>
                </c:pt>
                <c:pt idx="147">
                  <c:v>-477.19</c:v>
                </c:pt>
                <c:pt idx="148">
                  <c:v>-450.68</c:v>
                </c:pt>
                <c:pt idx="149">
                  <c:v>-394</c:v>
                </c:pt>
                <c:pt idx="150">
                  <c:v>-300.33</c:v>
                </c:pt>
                <c:pt idx="151">
                  <c:v>-314.72000000000003</c:v>
                </c:pt>
                <c:pt idx="152">
                  <c:v>-198.04</c:v>
                </c:pt>
                <c:pt idx="153">
                  <c:v>-265.77999999999997</c:v>
                </c:pt>
                <c:pt idx="154">
                  <c:v>-239.5</c:v>
                </c:pt>
                <c:pt idx="155">
                  <c:v>-19.45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-0.71</c:v>
                </c:pt>
                <c:pt idx="164">
                  <c:v>-26.18</c:v>
                </c:pt>
                <c:pt idx="165">
                  <c:v>-79.430000000000007</c:v>
                </c:pt>
                <c:pt idx="166">
                  <c:v>-52.28</c:v>
                </c:pt>
                <c:pt idx="167">
                  <c:v>-93.73</c:v>
                </c:pt>
                <c:pt idx="168">
                  <c:v>-95.08</c:v>
                </c:pt>
                <c:pt idx="169">
                  <c:v>-77.48</c:v>
                </c:pt>
                <c:pt idx="170">
                  <c:v>-106.28</c:v>
                </c:pt>
                <c:pt idx="171">
                  <c:v>-96.14</c:v>
                </c:pt>
                <c:pt idx="172">
                  <c:v>-5.42</c:v>
                </c:pt>
                <c:pt idx="173">
                  <c:v>-3.12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-16.48</c:v>
                </c:pt>
                <c:pt idx="178">
                  <c:v>-271.64999999999998</c:v>
                </c:pt>
                <c:pt idx="179">
                  <c:v>-528.04</c:v>
                </c:pt>
                <c:pt idx="180">
                  <c:v>-595.59</c:v>
                </c:pt>
                <c:pt idx="181">
                  <c:v>-525.15</c:v>
                </c:pt>
                <c:pt idx="182">
                  <c:v>-396.19</c:v>
                </c:pt>
                <c:pt idx="183">
                  <c:v>-234.83</c:v>
                </c:pt>
                <c:pt idx="184">
                  <c:v>-8.27</c:v>
                </c:pt>
                <c:pt idx="185">
                  <c:v>-64.959999999999994</c:v>
                </c:pt>
                <c:pt idx="186">
                  <c:v>-83.46</c:v>
                </c:pt>
                <c:pt idx="187">
                  <c:v>-58.73</c:v>
                </c:pt>
                <c:pt idx="188">
                  <c:v>-187.26</c:v>
                </c:pt>
                <c:pt idx="189">
                  <c:v>-187.7</c:v>
                </c:pt>
                <c:pt idx="190">
                  <c:v>-208.57</c:v>
                </c:pt>
                <c:pt idx="191">
                  <c:v>-262.39999999999998</c:v>
                </c:pt>
                <c:pt idx="192">
                  <c:v>-311.8</c:v>
                </c:pt>
                <c:pt idx="193">
                  <c:v>-423.77</c:v>
                </c:pt>
                <c:pt idx="194">
                  <c:v>-420.83</c:v>
                </c:pt>
                <c:pt idx="195">
                  <c:v>-325.36</c:v>
                </c:pt>
                <c:pt idx="196">
                  <c:v>-285.54000000000002</c:v>
                </c:pt>
                <c:pt idx="197">
                  <c:v>-1.7</c:v>
                </c:pt>
                <c:pt idx="198">
                  <c:v>-22.01</c:v>
                </c:pt>
                <c:pt idx="199">
                  <c:v>-14.79</c:v>
                </c:pt>
                <c:pt idx="200">
                  <c:v>-169.46</c:v>
                </c:pt>
                <c:pt idx="201">
                  <c:v>-60.01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-52.04</c:v>
                </c:pt>
                <c:pt idx="227">
                  <c:v>-66.040000000000006</c:v>
                </c:pt>
                <c:pt idx="228">
                  <c:v>-117.59</c:v>
                </c:pt>
                <c:pt idx="229">
                  <c:v>-35.78</c:v>
                </c:pt>
                <c:pt idx="230">
                  <c:v>-7.54</c:v>
                </c:pt>
                <c:pt idx="231">
                  <c:v>0</c:v>
                </c:pt>
                <c:pt idx="232">
                  <c:v>-103.05</c:v>
                </c:pt>
                <c:pt idx="233">
                  <c:v>-276.20999999999998</c:v>
                </c:pt>
                <c:pt idx="234">
                  <c:v>-254.46</c:v>
                </c:pt>
                <c:pt idx="235">
                  <c:v>-278.38</c:v>
                </c:pt>
                <c:pt idx="236">
                  <c:v>-290.77999999999997</c:v>
                </c:pt>
                <c:pt idx="237">
                  <c:v>-357.6</c:v>
                </c:pt>
                <c:pt idx="238">
                  <c:v>-236.64</c:v>
                </c:pt>
                <c:pt idx="239">
                  <c:v>-248.87</c:v>
                </c:pt>
                <c:pt idx="240">
                  <c:v>-283.45</c:v>
                </c:pt>
                <c:pt idx="241">
                  <c:v>-265.19</c:v>
                </c:pt>
                <c:pt idx="242">
                  <c:v>-282.10000000000002</c:v>
                </c:pt>
                <c:pt idx="243">
                  <c:v>-265.55</c:v>
                </c:pt>
                <c:pt idx="244">
                  <c:v>-233.49</c:v>
                </c:pt>
                <c:pt idx="245">
                  <c:v>-253.13</c:v>
                </c:pt>
                <c:pt idx="246">
                  <c:v>-270.01</c:v>
                </c:pt>
                <c:pt idx="247">
                  <c:v>-170.57</c:v>
                </c:pt>
                <c:pt idx="248">
                  <c:v>-294.61</c:v>
                </c:pt>
                <c:pt idx="249">
                  <c:v>-203.07</c:v>
                </c:pt>
                <c:pt idx="250">
                  <c:v>-73.92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-135.08000000000001</c:v>
                </c:pt>
                <c:pt idx="282">
                  <c:v>-267.99</c:v>
                </c:pt>
                <c:pt idx="283">
                  <c:v>-177.23</c:v>
                </c:pt>
                <c:pt idx="284">
                  <c:v>-162.01</c:v>
                </c:pt>
                <c:pt idx="285">
                  <c:v>-226.79</c:v>
                </c:pt>
                <c:pt idx="286">
                  <c:v>-287.95999999999998</c:v>
                </c:pt>
                <c:pt idx="287">
                  <c:v>-247.01</c:v>
                </c:pt>
                <c:pt idx="288">
                  <c:v>-170.09</c:v>
                </c:pt>
                <c:pt idx="289">
                  <c:v>-129.07</c:v>
                </c:pt>
                <c:pt idx="290">
                  <c:v>-130.47</c:v>
                </c:pt>
                <c:pt idx="291">
                  <c:v>-187.52</c:v>
                </c:pt>
                <c:pt idx="292">
                  <c:v>-170.98</c:v>
                </c:pt>
                <c:pt idx="293">
                  <c:v>-190.58</c:v>
                </c:pt>
                <c:pt idx="294">
                  <c:v>-271.32</c:v>
                </c:pt>
                <c:pt idx="295">
                  <c:v>-227.11</c:v>
                </c:pt>
                <c:pt idx="296">
                  <c:v>-224.95</c:v>
                </c:pt>
                <c:pt idx="297">
                  <c:v>-238.14</c:v>
                </c:pt>
                <c:pt idx="298">
                  <c:v>-247.09</c:v>
                </c:pt>
                <c:pt idx="299">
                  <c:v>-211.31</c:v>
                </c:pt>
                <c:pt idx="300">
                  <c:v>-103.97</c:v>
                </c:pt>
                <c:pt idx="301">
                  <c:v>-47.36</c:v>
                </c:pt>
                <c:pt idx="302">
                  <c:v>-87.06</c:v>
                </c:pt>
                <c:pt idx="303">
                  <c:v>-155.18</c:v>
                </c:pt>
                <c:pt idx="304">
                  <c:v>-230.05</c:v>
                </c:pt>
                <c:pt idx="305">
                  <c:v>-180.76</c:v>
                </c:pt>
                <c:pt idx="306">
                  <c:v>-202.07</c:v>
                </c:pt>
                <c:pt idx="307">
                  <c:v>-191.8</c:v>
                </c:pt>
                <c:pt idx="308">
                  <c:v>-108.46</c:v>
                </c:pt>
                <c:pt idx="309">
                  <c:v>-184.95</c:v>
                </c:pt>
                <c:pt idx="310">
                  <c:v>-188.5</c:v>
                </c:pt>
                <c:pt idx="311">
                  <c:v>-218.38</c:v>
                </c:pt>
                <c:pt idx="312">
                  <c:v>-189.4</c:v>
                </c:pt>
                <c:pt idx="313">
                  <c:v>-143.83000000000001</c:v>
                </c:pt>
                <c:pt idx="314">
                  <c:v>-174.89</c:v>
                </c:pt>
                <c:pt idx="315">
                  <c:v>-165.42</c:v>
                </c:pt>
                <c:pt idx="316">
                  <c:v>-156.04</c:v>
                </c:pt>
                <c:pt idx="317">
                  <c:v>-128.77000000000001</c:v>
                </c:pt>
                <c:pt idx="318">
                  <c:v>-150.55000000000001</c:v>
                </c:pt>
                <c:pt idx="319">
                  <c:v>-134.76</c:v>
                </c:pt>
                <c:pt idx="320">
                  <c:v>-91.01</c:v>
                </c:pt>
                <c:pt idx="321">
                  <c:v>-92.89</c:v>
                </c:pt>
                <c:pt idx="322">
                  <c:v>-139.56</c:v>
                </c:pt>
                <c:pt idx="323">
                  <c:v>-203.96</c:v>
                </c:pt>
                <c:pt idx="324">
                  <c:v>-142.37</c:v>
                </c:pt>
                <c:pt idx="325">
                  <c:v>-72.849999999999994</c:v>
                </c:pt>
                <c:pt idx="326">
                  <c:v>0</c:v>
                </c:pt>
                <c:pt idx="327">
                  <c:v>-60.3</c:v>
                </c:pt>
                <c:pt idx="328">
                  <c:v>-180.12</c:v>
                </c:pt>
                <c:pt idx="329">
                  <c:v>-274.92</c:v>
                </c:pt>
                <c:pt idx="330">
                  <c:v>-277.29000000000002</c:v>
                </c:pt>
                <c:pt idx="331">
                  <c:v>-264.02999999999997</c:v>
                </c:pt>
                <c:pt idx="332">
                  <c:v>-152.61000000000001</c:v>
                </c:pt>
                <c:pt idx="333">
                  <c:v>-30.38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E-324D-BBBA-554C11E2A083}"/>
            </c:ext>
          </c:extLst>
        </c:ser>
        <c:ser>
          <c:idx val="1"/>
          <c:order val="1"/>
          <c:tx>
            <c:strRef>
              <c:f>'Data exploration'!$E$1</c:f>
              <c:strCache>
                <c:ptCount val="1"/>
                <c:pt idx="0">
                  <c:v>Imports -  MW</c:v>
                </c:pt>
              </c:strCache>
            </c:strRef>
          </c:tx>
          <c:spPr>
            <a:solidFill>
              <a:schemeClr val="tx2"/>
            </a:solidFill>
            <a:ln w="25400">
              <a:noFill/>
            </a:ln>
            <a:effectLst/>
          </c:spPr>
          <c:val>
            <c:numRef>
              <c:f>'Data exploration'!$E$2:$E$338</c:f>
              <c:numCache>
                <c:formatCode>#,##0</c:formatCode>
                <c:ptCount val="337"/>
                <c:pt idx="0">
                  <c:v>913.45</c:v>
                </c:pt>
                <c:pt idx="1">
                  <c:v>873.89</c:v>
                </c:pt>
                <c:pt idx="2">
                  <c:v>886.3</c:v>
                </c:pt>
                <c:pt idx="3">
                  <c:v>897.81</c:v>
                </c:pt>
                <c:pt idx="4">
                  <c:v>917.95</c:v>
                </c:pt>
                <c:pt idx="5">
                  <c:v>919.42</c:v>
                </c:pt>
                <c:pt idx="6">
                  <c:v>885.51</c:v>
                </c:pt>
                <c:pt idx="7">
                  <c:v>751.42</c:v>
                </c:pt>
                <c:pt idx="8">
                  <c:v>754.07</c:v>
                </c:pt>
                <c:pt idx="9">
                  <c:v>638.88</c:v>
                </c:pt>
                <c:pt idx="10">
                  <c:v>614.17999999999995</c:v>
                </c:pt>
                <c:pt idx="11">
                  <c:v>372.96</c:v>
                </c:pt>
                <c:pt idx="12">
                  <c:v>358.28</c:v>
                </c:pt>
                <c:pt idx="13">
                  <c:v>369.47</c:v>
                </c:pt>
                <c:pt idx="14">
                  <c:v>423.87</c:v>
                </c:pt>
                <c:pt idx="15">
                  <c:v>391.52</c:v>
                </c:pt>
                <c:pt idx="16">
                  <c:v>426.23</c:v>
                </c:pt>
                <c:pt idx="17">
                  <c:v>480.95</c:v>
                </c:pt>
                <c:pt idx="18">
                  <c:v>609.55999999999995</c:v>
                </c:pt>
                <c:pt idx="19">
                  <c:v>591.14</c:v>
                </c:pt>
                <c:pt idx="20">
                  <c:v>399.6</c:v>
                </c:pt>
                <c:pt idx="21">
                  <c:v>406.69</c:v>
                </c:pt>
                <c:pt idx="22">
                  <c:v>473.88</c:v>
                </c:pt>
                <c:pt idx="23">
                  <c:v>386.95</c:v>
                </c:pt>
                <c:pt idx="24">
                  <c:v>244.68</c:v>
                </c:pt>
                <c:pt idx="25">
                  <c:v>357.03</c:v>
                </c:pt>
                <c:pt idx="26">
                  <c:v>339.97</c:v>
                </c:pt>
                <c:pt idx="27">
                  <c:v>468.28</c:v>
                </c:pt>
                <c:pt idx="28">
                  <c:v>443.37</c:v>
                </c:pt>
                <c:pt idx="29">
                  <c:v>358.18</c:v>
                </c:pt>
                <c:pt idx="30">
                  <c:v>563.08000000000004</c:v>
                </c:pt>
                <c:pt idx="31">
                  <c:v>550.07000000000005</c:v>
                </c:pt>
                <c:pt idx="32">
                  <c:v>717.55</c:v>
                </c:pt>
                <c:pt idx="33">
                  <c:v>825.98</c:v>
                </c:pt>
                <c:pt idx="34">
                  <c:v>913.24</c:v>
                </c:pt>
                <c:pt idx="35">
                  <c:v>777.94</c:v>
                </c:pt>
                <c:pt idx="36">
                  <c:v>683.95</c:v>
                </c:pt>
                <c:pt idx="37">
                  <c:v>648.62</c:v>
                </c:pt>
                <c:pt idx="38">
                  <c:v>975.45</c:v>
                </c:pt>
                <c:pt idx="39">
                  <c:v>1201.9000000000001</c:v>
                </c:pt>
                <c:pt idx="40">
                  <c:v>1010.35</c:v>
                </c:pt>
                <c:pt idx="41">
                  <c:v>894.28</c:v>
                </c:pt>
                <c:pt idx="42">
                  <c:v>897.83</c:v>
                </c:pt>
                <c:pt idx="43">
                  <c:v>826.34</c:v>
                </c:pt>
                <c:pt idx="44">
                  <c:v>799.83</c:v>
                </c:pt>
                <c:pt idx="45">
                  <c:v>803.56</c:v>
                </c:pt>
                <c:pt idx="46">
                  <c:v>783.73</c:v>
                </c:pt>
                <c:pt idx="47">
                  <c:v>765.53</c:v>
                </c:pt>
                <c:pt idx="48">
                  <c:v>783.02</c:v>
                </c:pt>
                <c:pt idx="49">
                  <c:v>803.69</c:v>
                </c:pt>
                <c:pt idx="50">
                  <c:v>760.26</c:v>
                </c:pt>
                <c:pt idx="51">
                  <c:v>742.33</c:v>
                </c:pt>
                <c:pt idx="52">
                  <c:v>761.55</c:v>
                </c:pt>
                <c:pt idx="53">
                  <c:v>775.64</c:v>
                </c:pt>
                <c:pt idx="54">
                  <c:v>830.64</c:v>
                </c:pt>
                <c:pt idx="55">
                  <c:v>851.57</c:v>
                </c:pt>
                <c:pt idx="56">
                  <c:v>859.14</c:v>
                </c:pt>
                <c:pt idx="57">
                  <c:v>882.76</c:v>
                </c:pt>
                <c:pt idx="58">
                  <c:v>704.35</c:v>
                </c:pt>
                <c:pt idx="59">
                  <c:v>561.28</c:v>
                </c:pt>
                <c:pt idx="60">
                  <c:v>495.67</c:v>
                </c:pt>
                <c:pt idx="61">
                  <c:v>522.91</c:v>
                </c:pt>
                <c:pt idx="62">
                  <c:v>655.32000000000005</c:v>
                </c:pt>
                <c:pt idx="63">
                  <c:v>776.71</c:v>
                </c:pt>
                <c:pt idx="64">
                  <c:v>991.87</c:v>
                </c:pt>
                <c:pt idx="65">
                  <c:v>1424.57</c:v>
                </c:pt>
                <c:pt idx="66">
                  <c:v>1385.5</c:v>
                </c:pt>
                <c:pt idx="67">
                  <c:v>1340.24</c:v>
                </c:pt>
                <c:pt idx="68">
                  <c:v>1252.42</c:v>
                </c:pt>
                <c:pt idx="69">
                  <c:v>1223.02</c:v>
                </c:pt>
                <c:pt idx="70">
                  <c:v>1237.74</c:v>
                </c:pt>
                <c:pt idx="71">
                  <c:v>1179.3499999999999</c:v>
                </c:pt>
                <c:pt idx="72">
                  <c:v>1151.67</c:v>
                </c:pt>
                <c:pt idx="73">
                  <c:v>1158.3399999999999</c:v>
                </c:pt>
                <c:pt idx="74">
                  <c:v>1161.68</c:v>
                </c:pt>
                <c:pt idx="75">
                  <c:v>1161.04</c:v>
                </c:pt>
                <c:pt idx="76">
                  <c:v>1158.72</c:v>
                </c:pt>
                <c:pt idx="77">
                  <c:v>1188.4000000000001</c:v>
                </c:pt>
                <c:pt idx="78">
                  <c:v>1211.4000000000001</c:v>
                </c:pt>
                <c:pt idx="79">
                  <c:v>1120.46</c:v>
                </c:pt>
                <c:pt idx="80">
                  <c:v>1085.6400000000001</c:v>
                </c:pt>
                <c:pt idx="81">
                  <c:v>1093.72</c:v>
                </c:pt>
                <c:pt idx="82">
                  <c:v>1089.6099999999999</c:v>
                </c:pt>
                <c:pt idx="83">
                  <c:v>1083.81</c:v>
                </c:pt>
                <c:pt idx="84">
                  <c:v>1075.53</c:v>
                </c:pt>
                <c:pt idx="85">
                  <c:v>1093.71</c:v>
                </c:pt>
                <c:pt idx="86">
                  <c:v>1118.21</c:v>
                </c:pt>
                <c:pt idx="87">
                  <c:v>1266.75</c:v>
                </c:pt>
                <c:pt idx="88">
                  <c:v>1445.28</c:v>
                </c:pt>
                <c:pt idx="89">
                  <c:v>1633.49</c:v>
                </c:pt>
                <c:pt idx="90">
                  <c:v>1518.67</c:v>
                </c:pt>
                <c:pt idx="91">
                  <c:v>1468.46</c:v>
                </c:pt>
                <c:pt idx="92">
                  <c:v>1763.72</c:v>
                </c:pt>
                <c:pt idx="93">
                  <c:v>1753.49</c:v>
                </c:pt>
                <c:pt idx="94">
                  <c:v>1601.4</c:v>
                </c:pt>
                <c:pt idx="95">
                  <c:v>1342.77</c:v>
                </c:pt>
                <c:pt idx="96">
                  <c:v>1342.74</c:v>
                </c:pt>
                <c:pt idx="97">
                  <c:v>1313.14</c:v>
                </c:pt>
                <c:pt idx="98">
                  <c:v>1389.56</c:v>
                </c:pt>
                <c:pt idx="99">
                  <c:v>1556.16</c:v>
                </c:pt>
                <c:pt idx="100">
                  <c:v>1566.3</c:v>
                </c:pt>
                <c:pt idx="101">
                  <c:v>1534.91</c:v>
                </c:pt>
                <c:pt idx="102">
                  <c:v>1500.02</c:v>
                </c:pt>
                <c:pt idx="103">
                  <c:v>1607.4</c:v>
                </c:pt>
                <c:pt idx="104">
                  <c:v>1632.29</c:v>
                </c:pt>
                <c:pt idx="105">
                  <c:v>1409.38</c:v>
                </c:pt>
                <c:pt idx="106">
                  <c:v>1305.17</c:v>
                </c:pt>
                <c:pt idx="107">
                  <c:v>970.41</c:v>
                </c:pt>
                <c:pt idx="108">
                  <c:v>877.65</c:v>
                </c:pt>
                <c:pt idx="109">
                  <c:v>918.65</c:v>
                </c:pt>
                <c:pt idx="110">
                  <c:v>937.92</c:v>
                </c:pt>
                <c:pt idx="111">
                  <c:v>913.67</c:v>
                </c:pt>
                <c:pt idx="112">
                  <c:v>908.85</c:v>
                </c:pt>
                <c:pt idx="113">
                  <c:v>972.69</c:v>
                </c:pt>
                <c:pt idx="114">
                  <c:v>946.89</c:v>
                </c:pt>
                <c:pt idx="115">
                  <c:v>1010.1</c:v>
                </c:pt>
                <c:pt idx="116">
                  <c:v>978.88</c:v>
                </c:pt>
                <c:pt idx="117">
                  <c:v>942.93</c:v>
                </c:pt>
                <c:pt idx="118">
                  <c:v>946.21</c:v>
                </c:pt>
                <c:pt idx="119">
                  <c:v>856.24</c:v>
                </c:pt>
                <c:pt idx="120">
                  <c:v>809.98</c:v>
                </c:pt>
                <c:pt idx="121">
                  <c:v>797.4</c:v>
                </c:pt>
                <c:pt idx="122">
                  <c:v>792.88</c:v>
                </c:pt>
                <c:pt idx="123">
                  <c:v>761.6</c:v>
                </c:pt>
                <c:pt idx="124">
                  <c:v>791.54</c:v>
                </c:pt>
                <c:pt idx="125">
                  <c:v>780.83</c:v>
                </c:pt>
                <c:pt idx="126">
                  <c:v>713.11</c:v>
                </c:pt>
                <c:pt idx="127">
                  <c:v>661.26</c:v>
                </c:pt>
                <c:pt idx="128">
                  <c:v>578.07000000000005</c:v>
                </c:pt>
                <c:pt idx="129">
                  <c:v>475.77</c:v>
                </c:pt>
                <c:pt idx="130">
                  <c:v>210.95</c:v>
                </c:pt>
                <c:pt idx="131">
                  <c:v>0</c:v>
                </c:pt>
                <c:pt idx="132">
                  <c:v>0</c:v>
                </c:pt>
                <c:pt idx="133">
                  <c:v>15.8</c:v>
                </c:pt>
                <c:pt idx="134">
                  <c:v>0</c:v>
                </c:pt>
                <c:pt idx="135">
                  <c:v>8.4600000000000009</c:v>
                </c:pt>
                <c:pt idx="136">
                  <c:v>242.69</c:v>
                </c:pt>
                <c:pt idx="137">
                  <c:v>599.24</c:v>
                </c:pt>
                <c:pt idx="138">
                  <c:v>701.08</c:v>
                </c:pt>
                <c:pt idx="139">
                  <c:v>752.54</c:v>
                </c:pt>
                <c:pt idx="140">
                  <c:v>720</c:v>
                </c:pt>
                <c:pt idx="141">
                  <c:v>718.44</c:v>
                </c:pt>
                <c:pt idx="142">
                  <c:v>722.83</c:v>
                </c:pt>
                <c:pt idx="143">
                  <c:v>644.71</c:v>
                </c:pt>
                <c:pt idx="144">
                  <c:v>764.03</c:v>
                </c:pt>
                <c:pt idx="145">
                  <c:v>757.75</c:v>
                </c:pt>
                <c:pt idx="146">
                  <c:v>747.46</c:v>
                </c:pt>
                <c:pt idx="147">
                  <c:v>785.57</c:v>
                </c:pt>
                <c:pt idx="148">
                  <c:v>758.32</c:v>
                </c:pt>
                <c:pt idx="149">
                  <c:v>894.25</c:v>
                </c:pt>
                <c:pt idx="150">
                  <c:v>743.74</c:v>
                </c:pt>
                <c:pt idx="151">
                  <c:v>828.73</c:v>
                </c:pt>
                <c:pt idx="152">
                  <c:v>890.41</c:v>
                </c:pt>
                <c:pt idx="153">
                  <c:v>742.64</c:v>
                </c:pt>
                <c:pt idx="154">
                  <c:v>743.34</c:v>
                </c:pt>
                <c:pt idx="155">
                  <c:v>888.89</c:v>
                </c:pt>
                <c:pt idx="156">
                  <c:v>901.02</c:v>
                </c:pt>
                <c:pt idx="157">
                  <c:v>852.39</c:v>
                </c:pt>
                <c:pt idx="158">
                  <c:v>767.93</c:v>
                </c:pt>
                <c:pt idx="159">
                  <c:v>830.23</c:v>
                </c:pt>
                <c:pt idx="160">
                  <c:v>889.51</c:v>
                </c:pt>
                <c:pt idx="161">
                  <c:v>852.13</c:v>
                </c:pt>
                <c:pt idx="162">
                  <c:v>733.74</c:v>
                </c:pt>
                <c:pt idx="163">
                  <c:v>614.34</c:v>
                </c:pt>
                <c:pt idx="164">
                  <c:v>567.85</c:v>
                </c:pt>
                <c:pt idx="165">
                  <c:v>553.71</c:v>
                </c:pt>
                <c:pt idx="166">
                  <c:v>522.4</c:v>
                </c:pt>
                <c:pt idx="167">
                  <c:v>424.58</c:v>
                </c:pt>
                <c:pt idx="168">
                  <c:v>324.01</c:v>
                </c:pt>
                <c:pt idx="169">
                  <c:v>333.31</c:v>
                </c:pt>
                <c:pt idx="170">
                  <c:v>326.72000000000003</c:v>
                </c:pt>
                <c:pt idx="171">
                  <c:v>365.31</c:v>
                </c:pt>
                <c:pt idx="172">
                  <c:v>386.38</c:v>
                </c:pt>
                <c:pt idx="173">
                  <c:v>398.01</c:v>
                </c:pt>
                <c:pt idx="174">
                  <c:v>580.14</c:v>
                </c:pt>
                <c:pt idx="175">
                  <c:v>564.89</c:v>
                </c:pt>
                <c:pt idx="176">
                  <c:v>512.38</c:v>
                </c:pt>
                <c:pt idx="177">
                  <c:v>401.44</c:v>
                </c:pt>
                <c:pt idx="178">
                  <c:v>194.56</c:v>
                </c:pt>
                <c:pt idx="179">
                  <c:v>35.39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303.83999999999997</c:v>
                </c:pt>
                <c:pt idx="185">
                  <c:v>715.54</c:v>
                </c:pt>
                <c:pt idx="186">
                  <c:v>820.01</c:v>
                </c:pt>
                <c:pt idx="187">
                  <c:v>789.49</c:v>
                </c:pt>
                <c:pt idx="188">
                  <c:v>897.18</c:v>
                </c:pt>
                <c:pt idx="189">
                  <c:v>692.13</c:v>
                </c:pt>
                <c:pt idx="190">
                  <c:v>770.53</c:v>
                </c:pt>
                <c:pt idx="191">
                  <c:v>752.48</c:v>
                </c:pt>
                <c:pt idx="192">
                  <c:v>725.85</c:v>
                </c:pt>
                <c:pt idx="193">
                  <c:v>594.37</c:v>
                </c:pt>
                <c:pt idx="194">
                  <c:v>554.54</c:v>
                </c:pt>
                <c:pt idx="195">
                  <c:v>470.53</c:v>
                </c:pt>
                <c:pt idx="196">
                  <c:v>585.94000000000005</c:v>
                </c:pt>
                <c:pt idx="197">
                  <c:v>329.01</c:v>
                </c:pt>
                <c:pt idx="198">
                  <c:v>441.79</c:v>
                </c:pt>
                <c:pt idx="199">
                  <c:v>426.04</c:v>
                </c:pt>
                <c:pt idx="200">
                  <c:v>456.03</c:v>
                </c:pt>
                <c:pt idx="201">
                  <c:v>467.9</c:v>
                </c:pt>
                <c:pt idx="202">
                  <c:v>569.89</c:v>
                </c:pt>
                <c:pt idx="203">
                  <c:v>1059.2</c:v>
                </c:pt>
                <c:pt idx="204">
                  <c:v>1077.56</c:v>
                </c:pt>
                <c:pt idx="205">
                  <c:v>1066.77</c:v>
                </c:pt>
                <c:pt idx="206">
                  <c:v>1049.43</c:v>
                </c:pt>
                <c:pt idx="207">
                  <c:v>996.45</c:v>
                </c:pt>
                <c:pt idx="208">
                  <c:v>959.99</c:v>
                </c:pt>
                <c:pt idx="209">
                  <c:v>823.84</c:v>
                </c:pt>
                <c:pt idx="210">
                  <c:v>826.52</c:v>
                </c:pt>
                <c:pt idx="211">
                  <c:v>839.63</c:v>
                </c:pt>
                <c:pt idx="212">
                  <c:v>789.57</c:v>
                </c:pt>
                <c:pt idx="213">
                  <c:v>788.15</c:v>
                </c:pt>
                <c:pt idx="214">
                  <c:v>786.67</c:v>
                </c:pt>
                <c:pt idx="215">
                  <c:v>782.11</c:v>
                </c:pt>
                <c:pt idx="216">
                  <c:v>856.85</c:v>
                </c:pt>
                <c:pt idx="217">
                  <c:v>940.09</c:v>
                </c:pt>
                <c:pt idx="218">
                  <c:v>911.07</c:v>
                </c:pt>
                <c:pt idx="219">
                  <c:v>940.03</c:v>
                </c:pt>
                <c:pt idx="220">
                  <c:v>888.7</c:v>
                </c:pt>
                <c:pt idx="221">
                  <c:v>979.77</c:v>
                </c:pt>
                <c:pt idx="222">
                  <c:v>1177.1400000000001</c:v>
                </c:pt>
                <c:pt idx="223">
                  <c:v>1162.75</c:v>
                </c:pt>
                <c:pt idx="224">
                  <c:v>1146.95</c:v>
                </c:pt>
                <c:pt idx="225">
                  <c:v>1084.27</c:v>
                </c:pt>
                <c:pt idx="226">
                  <c:v>989.79</c:v>
                </c:pt>
                <c:pt idx="227">
                  <c:v>707.07</c:v>
                </c:pt>
                <c:pt idx="228">
                  <c:v>667.32</c:v>
                </c:pt>
                <c:pt idx="229">
                  <c:v>583.91999999999996</c:v>
                </c:pt>
                <c:pt idx="230">
                  <c:v>734.9</c:v>
                </c:pt>
                <c:pt idx="231">
                  <c:v>714.54</c:v>
                </c:pt>
                <c:pt idx="232">
                  <c:v>962.71</c:v>
                </c:pt>
                <c:pt idx="233">
                  <c:v>1228.28</c:v>
                </c:pt>
                <c:pt idx="234">
                  <c:v>1162.07</c:v>
                </c:pt>
                <c:pt idx="235">
                  <c:v>1122.33</c:v>
                </c:pt>
                <c:pt idx="236">
                  <c:v>1114.8900000000001</c:v>
                </c:pt>
                <c:pt idx="237">
                  <c:v>1113.3</c:v>
                </c:pt>
                <c:pt idx="238">
                  <c:v>1052.3499999999999</c:v>
                </c:pt>
                <c:pt idx="239">
                  <c:v>925.28</c:v>
                </c:pt>
                <c:pt idx="240">
                  <c:v>914.72</c:v>
                </c:pt>
                <c:pt idx="241">
                  <c:v>907.66</c:v>
                </c:pt>
                <c:pt idx="242">
                  <c:v>906.06</c:v>
                </c:pt>
                <c:pt idx="243">
                  <c:v>863.9</c:v>
                </c:pt>
                <c:pt idx="244">
                  <c:v>907.39</c:v>
                </c:pt>
                <c:pt idx="245">
                  <c:v>804.33</c:v>
                </c:pt>
                <c:pt idx="246">
                  <c:v>805.58</c:v>
                </c:pt>
                <c:pt idx="247">
                  <c:v>726.44</c:v>
                </c:pt>
                <c:pt idx="248">
                  <c:v>617.04</c:v>
                </c:pt>
                <c:pt idx="249">
                  <c:v>645.45000000000005</c:v>
                </c:pt>
                <c:pt idx="250">
                  <c:v>667.17</c:v>
                </c:pt>
                <c:pt idx="251">
                  <c:v>1031.05</c:v>
                </c:pt>
                <c:pt idx="252">
                  <c:v>1143.03</c:v>
                </c:pt>
                <c:pt idx="253">
                  <c:v>1149.19</c:v>
                </c:pt>
                <c:pt idx="254">
                  <c:v>1184.05</c:v>
                </c:pt>
                <c:pt idx="255">
                  <c:v>1264.25</c:v>
                </c:pt>
                <c:pt idx="256">
                  <c:v>1288.56</c:v>
                </c:pt>
                <c:pt idx="257">
                  <c:v>1368.04</c:v>
                </c:pt>
                <c:pt idx="258">
                  <c:v>1437.46</c:v>
                </c:pt>
                <c:pt idx="259">
                  <c:v>1507.01</c:v>
                </c:pt>
                <c:pt idx="260">
                  <c:v>1490.62</c:v>
                </c:pt>
                <c:pt idx="261">
                  <c:v>1442.74</c:v>
                </c:pt>
                <c:pt idx="262">
                  <c:v>1363.85</c:v>
                </c:pt>
                <c:pt idx="263">
                  <c:v>1352.12</c:v>
                </c:pt>
                <c:pt idx="264">
                  <c:v>1481.85</c:v>
                </c:pt>
                <c:pt idx="265">
                  <c:v>1570.65</c:v>
                </c:pt>
                <c:pt idx="266">
                  <c:v>1408.46</c:v>
                </c:pt>
                <c:pt idx="267">
                  <c:v>1588.21</c:v>
                </c:pt>
                <c:pt idx="268">
                  <c:v>1510.71</c:v>
                </c:pt>
                <c:pt idx="269">
                  <c:v>1457.04</c:v>
                </c:pt>
                <c:pt idx="270">
                  <c:v>1511.17</c:v>
                </c:pt>
                <c:pt idx="271">
                  <c:v>1536.81</c:v>
                </c:pt>
                <c:pt idx="272">
                  <c:v>1496.86</c:v>
                </c:pt>
                <c:pt idx="273">
                  <c:v>1417.78</c:v>
                </c:pt>
                <c:pt idx="274">
                  <c:v>1450.46</c:v>
                </c:pt>
                <c:pt idx="275">
                  <c:v>1265.78</c:v>
                </c:pt>
                <c:pt idx="276">
                  <c:v>1204.83</c:v>
                </c:pt>
                <c:pt idx="277">
                  <c:v>1077.33</c:v>
                </c:pt>
                <c:pt idx="278">
                  <c:v>1339.87</c:v>
                </c:pt>
                <c:pt idx="279">
                  <c:v>1200.06</c:v>
                </c:pt>
                <c:pt idx="280">
                  <c:v>1182.24</c:v>
                </c:pt>
                <c:pt idx="281">
                  <c:v>1013.79</c:v>
                </c:pt>
                <c:pt idx="282">
                  <c:v>1046.6300000000001</c:v>
                </c:pt>
                <c:pt idx="283">
                  <c:v>964.61</c:v>
                </c:pt>
                <c:pt idx="284">
                  <c:v>899.33</c:v>
                </c:pt>
                <c:pt idx="285">
                  <c:v>960.5</c:v>
                </c:pt>
                <c:pt idx="286">
                  <c:v>861.21</c:v>
                </c:pt>
                <c:pt idx="287">
                  <c:v>715.38</c:v>
                </c:pt>
                <c:pt idx="288">
                  <c:v>752.23</c:v>
                </c:pt>
                <c:pt idx="289">
                  <c:v>795.81</c:v>
                </c:pt>
                <c:pt idx="290">
                  <c:v>825.72</c:v>
                </c:pt>
                <c:pt idx="291">
                  <c:v>801.68</c:v>
                </c:pt>
                <c:pt idx="292">
                  <c:v>796.69</c:v>
                </c:pt>
                <c:pt idx="293">
                  <c:v>819.58</c:v>
                </c:pt>
                <c:pt idx="294">
                  <c:v>780.88</c:v>
                </c:pt>
                <c:pt idx="295">
                  <c:v>805.28</c:v>
                </c:pt>
                <c:pt idx="296">
                  <c:v>893.14</c:v>
                </c:pt>
                <c:pt idx="297">
                  <c:v>931.81</c:v>
                </c:pt>
                <c:pt idx="298">
                  <c:v>952.48</c:v>
                </c:pt>
                <c:pt idx="299">
                  <c:v>1048.56</c:v>
                </c:pt>
                <c:pt idx="300">
                  <c:v>1203.54</c:v>
                </c:pt>
                <c:pt idx="301">
                  <c:v>1320.33</c:v>
                </c:pt>
                <c:pt idx="302">
                  <c:v>1351.63</c:v>
                </c:pt>
                <c:pt idx="303">
                  <c:v>1331.13</c:v>
                </c:pt>
                <c:pt idx="304">
                  <c:v>1338.94</c:v>
                </c:pt>
                <c:pt idx="305">
                  <c:v>1324.47</c:v>
                </c:pt>
                <c:pt idx="306">
                  <c:v>1249.76</c:v>
                </c:pt>
                <c:pt idx="307">
                  <c:v>1112.75</c:v>
                </c:pt>
                <c:pt idx="308">
                  <c:v>1004.62</c:v>
                </c:pt>
                <c:pt idx="309">
                  <c:v>934.67</c:v>
                </c:pt>
                <c:pt idx="310">
                  <c:v>903.45</c:v>
                </c:pt>
                <c:pt idx="311">
                  <c:v>956.18</c:v>
                </c:pt>
                <c:pt idx="312">
                  <c:v>731.18</c:v>
                </c:pt>
                <c:pt idx="313">
                  <c:v>570.51</c:v>
                </c:pt>
                <c:pt idx="314">
                  <c:v>567.84</c:v>
                </c:pt>
                <c:pt idx="315">
                  <c:v>523.20000000000005</c:v>
                </c:pt>
                <c:pt idx="316">
                  <c:v>459.56</c:v>
                </c:pt>
                <c:pt idx="317">
                  <c:v>457.41</c:v>
                </c:pt>
                <c:pt idx="318">
                  <c:v>461.84</c:v>
                </c:pt>
                <c:pt idx="319">
                  <c:v>336.68</c:v>
                </c:pt>
                <c:pt idx="320">
                  <c:v>316.18</c:v>
                </c:pt>
                <c:pt idx="321">
                  <c:v>316.49</c:v>
                </c:pt>
                <c:pt idx="322">
                  <c:v>279.83</c:v>
                </c:pt>
                <c:pt idx="323">
                  <c:v>217.05</c:v>
                </c:pt>
                <c:pt idx="324">
                  <c:v>340.96</c:v>
                </c:pt>
                <c:pt idx="325">
                  <c:v>431.06</c:v>
                </c:pt>
                <c:pt idx="326">
                  <c:v>514.67999999999995</c:v>
                </c:pt>
                <c:pt idx="327">
                  <c:v>380.35</c:v>
                </c:pt>
                <c:pt idx="328">
                  <c:v>352.23</c:v>
                </c:pt>
                <c:pt idx="329">
                  <c:v>421.08</c:v>
                </c:pt>
                <c:pt idx="330">
                  <c:v>503.39</c:v>
                </c:pt>
                <c:pt idx="331">
                  <c:v>589.14</c:v>
                </c:pt>
                <c:pt idx="332">
                  <c:v>527.89</c:v>
                </c:pt>
                <c:pt idx="333">
                  <c:v>445.49</c:v>
                </c:pt>
                <c:pt idx="334">
                  <c:v>743.35</c:v>
                </c:pt>
                <c:pt idx="335">
                  <c:v>1170.92</c:v>
                </c:pt>
                <c:pt idx="336">
                  <c:v>1156.31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E-324D-BBBA-554C11E2A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scatterChart>
        <c:scatterStyle val="smoothMarker"/>
        <c:varyColors val="0"/>
        <c:ser>
          <c:idx val="2"/>
          <c:order val="2"/>
          <c:tx>
            <c:strRef>
              <c:f>'Data exploration'!$W$1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'Data exploration'!$W$2:$W$338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2E-324D-BBBA-554C11E2A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90864"/>
        <c:axId val="1064601840"/>
      </c:scatterChart>
      <c:dateAx>
        <c:axId val="13368061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0646018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90864"/>
        <c:crosses val="max"/>
        <c:crossBetween val="midCat"/>
      </c:valAx>
      <c:valAx>
        <c:axId val="106459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64601840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'Data exploration'!$J$1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'Data exploration'!$J$2:$J$338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AF1-274D-8B40-5327AFD78363}"/>
            </c:ext>
          </c:extLst>
        </c:ser>
        <c:ser>
          <c:idx val="0"/>
          <c:order val="1"/>
          <c:tx>
            <c:strRef>
              <c:f>'Data exploration'!$K$1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'Data exploration'!$K$2:$K$338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AF1-274D-8B40-5327AFD78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'Data exploration'!$W$1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AF1-274D-8B40-5327AFD78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1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'Data exploration'!$B$1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'Data exploration'!$B$2:$B$338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6-9E46-B657-D00F196128B4}"/>
            </c:ext>
          </c:extLst>
        </c:ser>
        <c:ser>
          <c:idx val="0"/>
          <c:order val="1"/>
          <c:tx>
            <c:strRef>
              <c:f>'Data exploration'!$C$1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'Data exploration'!$C$2:$C$338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F6-9E46-B657-D00F1961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'Data exploration'!$W$1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6-9E46-B657-D00F1961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50"/>
          <c:min val="-5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</a:t>
            </a:r>
            <a:r>
              <a:rPr lang="en-US" baseline="0"/>
              <a:t> Firming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'Data exploration'!$B$1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'Data exploration'!$B$2:$B$338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F-2E4A-86B4-73CAE4EAA214}"/>
            </c:ext>
          </c:extLst>
        </c:ser>
        <c:ser>
          <c:idx val="2"/>
          <c:order val="1"/>
          <c:tx>
            <c:strRef>
              <c:f>'Data exploration'!$J$1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'Data exploration'!$J$2:$J$338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F-2E4A-86B4-73CAE4EAA214}"/>
            </c:ext>
          </c:extLst>
        </c:ser>
        <c:ser>
          <c:idx val="0"/>
          <c:order val="2"/>
          <c:tx>
            <c:strRef>
              <c:f>'Data exploration'!$C$1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'Data exploration'!$C$2:$C$338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F-2E4A-86B4-73CAE4EAA214}"/>
            </c:ext>
          </c:extLst>
        </c:ser>
        <c:ser>
          <c:idx val="3"/>
          <c:order val="3"/>
          <c:tx>
            <c:strRef>
              <c:f>'Data exploration'!$K$1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'Data exploration'!$K$2:$K$338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8F-2E4A-86B4-73CAE4EAA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4"/>
          <c:tx>
            <c:strRef>
              <c:f>'Data exploration'!$W$1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8F-2E4A-86B4-73CAE4EAA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[1]Prices!$F$1</c:f>
              <c:strCache>
                <c:ptCount val="1"/>
                <c:pt idx="0">
                  <c:v>Coal (Black)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[1]Prices!$F$2:$F$338</c:f>
              <c:numCache>
                <c:formatCode>General</c:formatCode>
                <c:ptCount val="337"/>
                <c:pt idx="0">
                  <c:v>3381.98</c:v>
                </c:pt>
                <c:pt idx="1">
                  <c:v>3430.37</c:v>
                </c:pt>
                <c:pt idx="2">
                  <c:v>3463.22</c:v>
                </c:pt>
                <c:pt idx="3">
                  <c:v>3444.6</c:v>
                </c:pt>
                <c:pt idx="4">
                  <c:v>3513.54</c:v>
                </c:pt>
                <c:pt idx="5">
                  <c:v>3972.11</c:v>
                </c:pt>
                <c:pt idx="6">
                  <c:v>4521.03</c:v>
                </c:pt>
                <c:pt idx="7">
                  <c:v>5370.25</c:v>
                </c:pt>
                <c:pt idx="8">
                  <c:v>6233.9</c:v>
                </c:pt>
                <c:pt idx="9">
                  <c:v>6792.19</c:v>
                </c:pt>
                <c:pt idx="10">
                  <c:v>7173.65</c:v>
                </c:pt>
                <c:pt idx="11">
                  <c:v>7371.04</c:v>
                </c:pt>
                <c:pt idx="12">
                  <c:v>7404.26</c:v>
                </c:pt>
                <c:pt idx="13">
                  <c:v>7406.87</c:v>
                </c:pt>
                <c:pt idx="14">
                  <c:v>7405.12</c:v>
                </c:pt>
                <c:pt idx="15">
                  <c:v>7406.79</c:v>
                </c:pt>
                <c:pt idx="16">
                  <c:v>7394.76</c:v>
                </c:pt>
                <c:pt idx="17">
                  <c:v>7400.16</c:v>
                </c:pt>
                <c:pt idx="18">
                  <c:v>7394.61</c:v>
                </c:pt>
                <c:pt idx="19">
                  <c:v>7344.47</c:v>
                </c:pt>
                <c:pt idx="20">
                  <c:v>7331.12</c:v>
                </c:pt>
                <c:pt idx="21">
                  <c:v>7136.3</c:v>
                </c:pt>
                <c:pt idx="22">
                  <c:v>6924.32</c:v>
                </c:pt>
                <c:pt idx="23">
                  <c:v>6706.91</c:v>
                </c:pt>
                <c:pt idx="24">
                  <c:v>6653.65</c:v>
                </c:pt>
                <c:pt idx="25">
                  <c:v>6514.32</c:v>
                </c:pt>
                <c:pt idx="26">
                  <c:v>6333.29</c:v>
                </c:pt>
                <c:pt idx="27">
                  <c:v>6183.43</c:v>
                </c:pt>
                <c:pt idx="28">
                  <c:v>6012.58</c:v>
                </c:pt>
                <c:pt idx="29">
                  <c:v>5886.86</c:v>
                </c:pt>
                <c:pt idx="30">
                  <c:v>5576.23</c:v>
                </c:pt>
                <c:pt idx="31">
                  <c:v>5208.9399999999996</c:v>
                </c:pt>
                <c:pt idx="32">
                  <c:v>4885.05</c:v>
                </c:pt>
                <c:pt idx="33">
                  <c:v>4551.1000000000004</c:v>
                </c:pt>
                <c:pt idx="34">
                  <c:v>4439.37</c:v>
                </c:pt>
                <c:pt idx="35">
                  <c:v>4467.91</c:v>
                </c:pt>
                <c:pt idx="36">
                  <c:v>4683.13</c:v>
                </c:pt>
                <c:pt idx="37">
                  <c:v>4935.49</c:v>
                </c:pt>
                <c:pt idx="38">
                  <c:v>5117.78</c:v>
                </c:pt>
                <c:pt idx="39">
                  <c:v>5303.66</c:v>
                </c:pt>
                <c:pt idx="40">
                  <c:v>5316.74</c:v>
                </c:pt>
                <c:pt idx="41">
                  <c:v>4978.33</c:v>
                </c:pt>
                <c:pt idx="42">
                  <c:v>4610.5200000000004</c:v>
                </c:pt>
                <c:pt idx="43">
                  <c:v>4159.3</c:v>
                </c:pt>
                <c:pt idx="44">
                  <c:v>3605.46</c:v>
                </c:pt>
                <c:pt idx="45">
                  <c:v>3174.08</c:v>
                </c:pt>
                <c:pt idx="46">
                  <c:v>3001.72</c:v>
                </c:pt>
                <c:pt idx="47">
                  <c:v>2956.86</c:v>
                </c:pt>
                <c:pt idx="48">
                  <c:v>2976.78</c:v>
                </c:pt>
                <c:pt idx="49">
                  <c:v>2954.66</c:v>
                </c:pt>
                <c:pt idx="50">
                  <c:v>2922.89</c:v>
                </c:pt>
                <c:pt idx="51">
                  <c:v>2930.97</c:v>
                </c:pt>
                <c:pt idx="52">
                  <c:v>2953.08</c:v>
                </c:pt>
                <c:pt idx="53">
                  <c:v>3081.65</c:v>
                </c:pt>
                <c:pt idx="54">
                  <c:v>3254.49</c:v>
                </c:pt>
                <c:pt idx="55">
                  <c:v>3737.21</c:v>
                </c:pt>
                <c:pt idx="56">
                  <c:v>4544.6099999999997</c:v>
                </c:pt>
                <c:pt idx="57">
                  <c:v>5435.55</c:v>
                </c:pt>
                <c:pt idx="58">
                  <c:v>6348.36</c:v>
                </c:pt>
                <c:pt idx="59">
                  <c:v>6998.02</c:v>
                </c:pt>
                <c:pt idx="60">
                  <c:v>7255.17</c:v>
                </c:pt>
                <c:pt idx="61">
                  <c:v>7304.28</c:v>
                </c:pt>
                <c:pt idx="62">
                  <c:v>7304.57</c:v>
                </c:pt>
                <c:pt idx="63">
                  <c:v>7305.94</c:v>
                </c:pt>
                <c:pt idx="64">
                  <c:v>7345.75</c:v>
                </c:pt>
                <c:pt idx="65">
                  <c:v>7322.64</c:v>
                </c:pt>
                <c:pt idx="66">
                  <c:v>7337.44</c:v>
                </c:pt>
                <c:pt idx="67">
                  <c:v>7279.91</c:v>
                </c:pt>
                <c:pt idx="68">
                  <c:v>7283.77</c:v>
                </c:pt>
                <c:pt idx="69">
                  <c:v>7263.7</c:v>
                </c:pt>
                <c:pt idx="70">
                  <c:v>7253.23</c:v>
                </c:pt>
                <c:pt idx="71">
                  <c:v>7003.96</c:v>
                </c:pt>
                <c:pt idx="72">
                  <c:v>6735.58</c:v>
                </c:pt>
                <c:pt idx="73">
                  <c:v>6466.19</c:v>
                </c:pt>
                <c:pt idx="74">
                  <c:v>6103.18</c:v>
                </c:pt>
                <c:pt idx="75">
                  <c:v>5914.4</c:v>
                </c:pt>
                <c:pt idx="76">
                  <c:v>5907.53</c:v>
                </c:pt>
                <c:pt idx="77">
                  <c:v>5740.51</c:v>
                </c:pt>
                <c:pt idx="78">
                  <c:v>5590.23</c:v>
                </c:pt>
                <c:pt idx="79">
                  <c:v>5569.67</c:v>
                </c:pt>
                <c:pt idx="80">
                  <c:v>5769.39</c:v>
                </c:pt>
                <c:pt idx="81">
                  <c:v>5952.8</c:v>
                </c:pt>
                <c:pt idx="82">
                  <c:v>6074.21</c:v>
                </c:pt>
                <c:pt idx="83">
                  <c:v>6290</c:v>
                </c:pt>
                <c:pt idx="84">
                  <c:v>6564.67</c:v>
                </c:pt>
                <c:pt idx="85">
                  <c:v>6830.02</c:v>
                </c:pt>
                <c:pt idx="86">
                  <c:v>6744.1</c:v>
                </c:pt>
                <c:pt idx="87">
                  <c:v>5955.03</c:v>
                </c:pt>
                <c:pt idx="88">
                  <c:v>4894.42</c:v>
                </c:pt>
                <c:pt idx="89">
                  <c:v>4349.53</c:v>
                </c:pt>
                <c:pt idx="90">
                  <c:v>4108.16</c:v>
                </c:pt>
                <c:pt idx="91">
                  <c:v>3656.04</c:v>
                </c:pt>
                <c:pt idx="92">
                  <c:v>2964.61</c:v>
                </c:pt>
                <c:pt idx="93">
                  <c:v>2519.48</c:v>
                </c:pt>
                <c:pt idx="94">
                  <c:v>2448.65</c:v>
                </c:pt>
                <c:pt idx="95">
                  <c:v>2458.89</c:v>
                </c:pt>
                <c:pt idx="96">
                  <c:v>2389.2800000000002</c:v>
                </c:pt>
                <c:pt idx="97">
                  <c:v>2388.5500000000002</c:v>
                </c:pt>
                <c:pt idx="98">
                  <c:v>2374.46</c:v>
                </c:pt>
                <c:pt idx="99">
                  <c:v>2492.27</c:v>
                </c:pt>
                <c:pt idx="100">
                  <c:v>2708.77</c:v>
                </c:pt>
                <c:pt idx="101">
                  <c:v>3432.06</c:v>
                </c:pt>
                <c:pt idx="102">
                  <c:v>4114.53</c:v>
                </c:pt>
                <c:pt idx="103">
                  <c:v>4724.3100000000004</c:v>
                </c:pt>
                <c:pt idx="104">
                  <c:v>5543.33</c:v>
                </c:pt>
                <c:pt idx="105">
                  <c:v>6377.1</c:v>
                </c:pt>
                <c:pt idx="106">
                  <c:v>6798.69</c:v>
                </c:pt>
                <c:pt idx="107">
                  <c:v>6926.95</c:v>
                </c:pt>
                <c:pt idx="108">
                  <c:v>6945.25</c:v>
                </c:pt>
                <c:pt idx="109">
                  <c:v>6942.21</c:v>
                </c:pt>
                <c:pt idx="110">
                  <c:v>6938.83</c:v>
                </c:pt>
                <c:pt idx="111">
                  <c:v>6935.89</c:v>
                </c:pt>
                <c:pt idx="112">
                  <c:v>6948.12</c:v>
                </c:pt>
                <c:pt idx="113">
                  <c:v>6973.47</c:v>
                </c:pt>
                <c:pt idx="114">
                  <c:v>6949.76</c:v>
                </c:pt>
                <c:pt idx="115">
                  <c:v>6692.86</c:v>
                </c:pt>
                <c:pt idx="116">
                  <c:v>6625.97</c:v>
                </c:pt>
                <c:pt idx="117">
                  <c:v>6276.39</c:v>
                </c:pt>
                <c:pt idx="118">
                  <c:v>5983.07</c:v>
                </c:pt>
                <c:pt idx="119">
                  <c:v>5820.55</c:v>
                </c:pt>
                <c:pt idx="120">
                  <c:v>5517.03</c:v>
                </c:pt>
                <c:pt idx="121">
                  <c:v>5349.02</c:v>
                </c:pt>
                <c:pt idx="122">
                  <c:v>5143.7</c:v>
                </c:pt>
                <c:pt idx="123">
                  <c:v>4920.88</c:v>
                </c:pt>
                <c:pt idx="124">
                  <c:v>4781.75</c:v>
                </c:pt>
                <c:pt idx="125">
                  <c:v>4703</c:v>
                </c:pt>
                <c:pt idx="126">
                  <c:v>4627.54</c:v>
                </c:pt>
                <c:pt idx="127">
                  <c:v>4765.43</c:v>
                </c:pt>
                <c:pt idx="128">
                  <c:v>5265.24</c:v>
                </c:pt>
                <c:pt idx="129">
                  <c:v>5618.82</c:v>
                </c:pt>
                <c:pt idx="130">
                  <c:v>6309.23</c:v>
                </c:pt>
                <c:pt idx="131">
                  <c:v>6751.5</c:v>
                </c:pt>
                <c:pt idx="132">
                  <c:v>7123.99</c:v>
                </c:pt>
                <c:pt idx="133">
                  <c:v>7297.42</c:v>
                </c:pt>
                <c:pt idx="134">
                  <c:v>7328.85</c:v>
                </c:pt>
                <c:pt idx="135">
                  <c:v>6969.81</c:v>
                </c:pt>
                <c:pt idx="136">
                  <c:v>5979.68</c:v>
                </c:pt>
                <c:pt idx="137">
                  <c:v>5028.6499999999996</c:v>
                </c:pt>
                <c:pt idx="138">
                  <c:v>4242.24</c:v>
                </c:pt>
                <c:pt idx="139">
                  <c:v>3632.09</c:v>
                </c:pt>
                <c:pt idx="140">
                  <c:v>3455.68</c:v>
                </c:pt>
                <c:pt idx="141">
                  <c:v>3370.09</c:v>
                </c:pt>
                <c:pt idx="142">
                  <c:v>3416</c:v>
                </c:pt>
                <c:pt idx="143">
                  <c:v>3325.91</c:v>
                </c:pt>
                <c:pt idx="144">
                  <c:v>3347.89</c:v>
                </c:pt>
                <c:pt idx="145">
                  <c:v>3353.05</c:v>
                </c:pt>
                <c:pt idx="146">
                  <c:v>3321.31</c:v>
                </c:pt>
                <c:pt idx="147">
                  <c:v>3353.2</c:v>
                </c:pt>
                <c:pt idx="148">
                  <c:v>3396.13</c:v>
                </c:pt>
                <c:pt idx="149">
                  <c:v>3611.65</c:v>
                </c:pt>
                <c:pt idx="150">
                  <c:v>4298.8100000000004</c:v>
                </c:pt>
                <c:pt idx="151">
                  <c:v>5171.8599999999997</c:v>
                </c:pt>
                <c:pt idx="152">
                  <c:v>6325.23</c:v>
                </c:pt>
                <c:pt idx="153">
                  <c:v>7169.81</c:v>
                </c:pt>
                <c:pt idx="154">
                  <c:v>7371.24</c:v>
                </c:pt>
                <c:pt idx="155">
                  <c:v>7437.64</c:v>
                </c:pt>
                <c:pt idx="156">
                  <c:v>7437.2</c:v>
                </c:pt>
                <c:pt idx="157">
                  <c:v>7414.18</c:v>
                </c:pt>
                <c:pt idx="158">
                  <c:v>7423.35</c:v>
                </c:pt>
                <c:pt idx="159">
                  <c:v>7430.95</c:v>
                </c:pt>
                <c:pt idx="160">
                  <c:v>7436</c:v>
                </c:pt>
                <c:pt idx="161">
                  <c:v>7435.9</c:v>
                </c:pt>
                <c:pt idx="162">
                  <c:v>7432.86</c:v>
                </c:pt>
                <c:pt idx="163">
                  <c:v>7398.19</c:v>
                </c:pt>
                <c:pt idx="164">
                  <c:v>7405.01</c:v>
                </c:pt>
                <c:pt idx="165">
                  <c:v>7391.56</c:v>
                </c:pt>
                <c:pt idx="166">
                  <c:v>7296.79</c:v>
                </c:pt>
                <c:pt idx="167">
                  <c:v>7146.93</c:v>
                </c:pt>
                <c:pt idx="168">
                  <c:v>7147.07</c:v>
                </c:pt>
                <c:pt idx="169">
                  <c:v>7127.96</c:v>
                </c:pt>
                <c:pt idx="170">
                  <c:v>7094.64</c:v>
                </c:pt>
                <c:pt idx="171">
                  <c:v>6718.34</c:v>
                </c:pt>
                <c:pt idx="172">
                  <c:v>6540.19</c:v>
                </c:pt>
                <c:pt idx="173">
                  <c:v>6419.66</c:v>
                </c:pt>
                <c:pt idx="174">
                  <c:v>6256.13</c:v>
                </c:pt>
                <c:pt idx="175">
                  <c:v>6318.02</c:v>
                </c:pt>
                <c:pt idx="176">
                  <c:v>6334.44</c:v>
                </c:pt>
                <c:pt idx="177">
                  <c:v>6376.07</c:v>
                </c:pt>
                <c:pt idx="178">
                  <c:v>6874.18</c:v>
                </c:pt>
                <c:pt idx="179">
                  <c:v>7283</c:v>
                </c:pt>
                <c:pt idx="180">
                  <c:v>7400.33</c:v>
                </c:pt>
                <c:pt idx="181">
                  <c:v>7453.31</c:v>
                </c:pt>
                <c:pt idx="182">
                  <c:v>7456.8</c:v>
                </c:pt>
                <c:pt idx="183">
                  <c:v>7457.68</c:v>
                </c:pt>
                <c:pt idx="184">
                  <c:v>7406.16</c:v>
                </c:pt>
                <c:pt idx="185">
                  <c:v>7310.86</c:v>
                </c:pt>
                <c:pt idx="186">
                  <c:v>7183.54</c:v>
                </c:pt>
                <c:pt idx="187">
                  <c:v>7298.68</c:v>
                </c:pt>
                <c:pt idx="188">
                  <c:v>7071.56</c:v>
                </c:pt>
                <c:pt idx="189">
                  <c:v>6796.41</c:v>
                </c:pt>
                <c:pt idx="190">
                  <c:v>6706.88</c:v>
                </c:pt>
                <c:pt idx="191">
                  <c:v>6683.2</c:v>
                </c:pt>
                <c:pt idx="192">
                  <c:v>6809.4</c:v>
                </c:pt>
                <c:pt idx="193">
                  <c:v>6867.09</c:v>
                </c:pt>
                <c:pt idx="194">
                  <c:v>6861.4</c:v>
                </c:pt>
                <c:pt idx="195">
                  <c:v>6880.14</c:v>
                </c:pt>
                <c:pt idx="196">
                  <c:v>6908.09</c:v>
                </c:pt>
                <c:pt idx="197">
                  <c:v>6977.79</c:v>
                </c:pt>
                <c:pt idx="198">
                  <c:v>7024.53</c:v>
                </c:pt>
                <c:pt idx="199">
                  <c:v>7192.34</c:v>
                </c:pt>
                <c:pt idx="200">
                  <c:v>7361.76</c:v>
                </c:pt>
                <c:pt idx="201">
                  <c:v>7430.85</c:v>
                </c:pt>
                <c:pt idx="202">
                  <c:v>7425.79</c:v>
                </c:pt>
                <c:pt idx="203">
                  <c:v>7285.92</c:v>
                </c:pt>
                <c:pt idx="204">
                  <c:v>7043.9</c:v>
                </c:pt>
                <c:pt idx="205">
                  <c:v>7031.93</c:v>
                </c:pt>
                <c:pt idx="206">
                  <c:v>7010.03</c:v>
                </c:pt>
                <c:pt idx="207">
                  <c:v>6974.25</c:v>
                </c:pt>
                <c:pt idx="208">
                  <c:v>7001.03</c:v>
                </c:pt>
                <c:pt idx="209">
                  <c:v>6981.95</c:v>
                </c:pt>
                <c:pt idx="210">
                  <c:v>6969.56</c:v>
                </c:pt>
                <c:pt idx="211">
                  <c:v>6924.38</c:v>
                </c:pt>
                <c:pt idx="212">
                  <c:v>6895.02</c:v>
                </c:pt>
                <c:pt idx="213">
                  <c:v>6891.76</c:v>
                </c:pt>
                <c:pt idx="214">
                  <c:v>6848.61</c:v>
                </c:pt>
                <c:pt idx="215">
                  <c:v>6764.92</c:v>
                </c:pt>
                <c:pt idx="216">
                  <c:v>6589.13</c:v>
                </c:pt>
                <c:pt idx="217">
                  <c:v>6365.28</c:v>
                </c:pt>
                <c:pt idx="218">
                  <c:v>6234.07</c:v>
                </c:pt>
                <c:pt idx="219">
                  <c:v>6096.22</c:v>
                </c:pt>
                <c:pt idx="220">
                  <c:v>6098.62</c:v>
                </c:pt>
                <c:pt idx="221">
                  <c:v>5986.73</c:v>
                </c:pt>
                <c:pt idx="222">
                  <c:v>5813.57</c:v>
                </c:pt>
                <c:pt idx="223">
                  <c:v>5836.79</c:v>
                </c:pt>
                <c:pt idx="224">
                  <c:v>5783.17</c:v>
                </c:pt>
                <c:pt idx="225">
                  <c:v>5928.17</c:v>
                </c:pt>
                <c:pt idx="226">
                  <c:v>6183.11</c:v>
                </c:pt>
                <c:pt idx="227">
                  <c:v>6584.98</c:v>
                </c:pt>
                <c:pt idx="228">
                  <c:v>6800.91</c:v>
                </c:pt>
                <c:pt idx="229">
                  <c:v>6816.89</c:v>
                </c:pt>
                <c:pt idx="230">
                  <c:v>6875.66</c:v>
                </c:pt>
                <c:pt idx="231">
                  <c:v>6884.99</c:v>
                </c:pt>
                <c:pt idx="232">
                  <c:v>6740.14</c:v>
                </c:pt>
                <c:pt idx="233">
                  <c:v>6353.45</c:v>
                </c:pt>
                <c:pt idx="234">
                  <c:v>6027.26</c:v>
                </c:pt>
                <c:pt idx="235">
                  <c:v>5381.56</c:v>
                </c:pt>
                <c:pt idx="236">
                  <c:v>4791.59</c:v>
                </c:pt>
                <c:pt idx="237">
                  <c:v>4094.45</c:v>
                </c:pt>
                <c:pt idx="238">
                  <c:v>3594.12</c:v>
                </c:pt>
                <c:pt idx="239">
                  <c:v>3480.66</c:v>
                </c:pt>
                <c:pt idx="240">
                  <c:v>3401.49</c:v>
                </c:pt>
                <c:pt idx="241">
                  <c:v>3382.89</c:v>
                </c:pt>
                <c:pt idx="242">
                  <c:v>3391.47</c:v>
                </c:pt>
                <c:pt idx="243">
                  <c:v>3393.65</c:v>
                </c:pt>
                <c:pt idx="244">
                  <c:v>3576.46</c:v>
                </c:pt>
                <c:pt idx="245">
                  <c:v>3890.8</c:v>
                </c:pt>
                <c:pt idx="246">
                  <c:v>4338.79</c:v>
                </c:pt>
                <c:pt idx="247">
                  <c:v>5004.04</c:v>
                </c:pt>
                <c:pt idx="248">
                  <c:v>6023.8</c:v>
                </c:pt>
                <c:pt idx="249">
                  <c:v>6450.83</c:v>
                </c:pt>
                <c:pt idx="250">
                  <c:v>6796.95</c:v>
                </c:pt>
                <c:pt idx="251">
                  <c:v>6879</c:v>
                </c:pt>
                <c:pt idx="252">
                  <c:v>6902.17</c:v>
                </c:pt>
                <c:pt idx="253">
                  <c:v>6929.51</c:v>
                </c:pt>
                <c:pt idx="254">
                  <c:v>6949.18</c:v>
                </c:pt>
                <c:pt idx="255">
                  <c:v>6958.2</c:v>
                </c:pt>
                <c:pt idx="256">
                  <c:v>6928.49</c:v>
                </c:pt>
                <c:pt idx="257">
                  <c:v>6979.48</c:v>
                </c:pt>
                <c:pt idx="258">
                  <c:v>7052.77</c:v>
                </c:pt>
                <c:pt idx="259">
                  <c:v>7089.3</c:v>
                </c:pt>
                <c:pt idx="260">
                  <c:v>7103.07</c:v>
                </c:pt>
                <c:pt idx="261">
                  <c:v>7103.03</c:v>
                </c:pt>
                <c:pt idx="262">
                  <c:v>7075.44</c:v>
                </c:pt>
                <c:pt idx="263">
                  <c:v>6928.5</c:v>
                </c:pt>
                <c:pt idx="264">
                  <c:v>6704.77</c:v>
                </c:pt>
                <c:pt idx="265">
                  <c:v>6563.28</c:v>
                </c:pt>
                <c:pt idx="266">
                  <c:v>6593.27</c:v>
                </c:pt>
                <c:pt idx="267">
                  <c:v>6335.81</c:v>
                </c:pt>
                <c:pt idx="268">
                  <c:v>6186.98</c:v>
                </c:pt>
                <c:pt idx="269">
                  <c:v>6094.46</c:v>
                </c:pt>
                <c:pt idx="270">
                  <c:v>6042.81</c:v>
                </c:pt>
                <c:pt idx="271">
                  <c:v>6084.84</c:v>
                </c:pt>
                <c:pt idx="272">
                  <c:v>6235.52</c:v>
                </c:pt>
                <c:pt idx="273">
                  <c:v>6404.62</c:v>
                </c:pt>
                <c:pt idx="274">
                  <c:v>6728.24</c:v>
                </c:pt>
                <c:pt idx="275">
                  <c:v>7186.1</c:v>
                </c:pt>
                <c:pt idx="276">
                  <c:v>7720.06</c:v>
                </c:pt>
                <c:pt idx="277">
                  <c:v>7916.34</c:v>
                </c:pt>
                <c:pt idx="278">
                  <c:v>7991.77</c:v>
                </c:pt>
                <c:pt idx="279">
                  <c:v>7934.04</c:v>
                </c:pt>
                <c:pt idx="280">
                  <c:v>7701.28</c:v>
                </c:pt>
                <c:pt idx="281">
                  <c:v>7238.66</c:v>
                </c:pt>
                <c:pt idx="282">
                  <c:v>6365.08</c:v>
                </c:pt>
                <c:pt idx="283">
                  <c:v>5709.09</c:v>
                </c:pt>
                <c:pt idx="284">
                  <c:v>5334.09</c:v>
                </c:pt>
                <c:pt idx="285">
                  <c:v>4956.08</c:v>
                </c:pt>
                <c:pt idx="286">
                  <c:v>4581.97</c:v>
                </c:pt>
                <c:pt idx="287">
                  <c:v>4220.4799999999996</c:v>
                </c:pt>
                <c:pt idx="288">
                  <c:v>3998.16</c:v>
                </c:pt>
                <c:pt idx="289">
                  <c:v>4020.32</c:v>
                </c:pt>
                <c:pt idx="290">
                  <c:v>4073.91</c:v>
                </c:pt>
                <c:pt idx="291">
                  <c:v>4130.7700000000004</c:v>
                </c:pt>
                <c:pt idx="292">
                  <c:v>4290.54</c:v>
                </c:pt>
                <c:pt idx="293">
                  <c:v>4915.79</c:v>
                </c:pt>
                <c:pt idx="294">
                  <c:v>5674.82</c:v>
                </c:pt>
                <c:pt idx="295">
                  <c:v>6816.53</c:v>
                </c:pt>
                <c:pt idx="296">
                  <c:v>7710.41</c:v>
                </c:pt>
                <c:pt idx="297">
                  <c:v>7965.6</c:v>
                </c:pt>
                <c:pt idx="298">
                  <c:v>7969.07</c:v>
                </c:pt>
                <c:pt idx="299">
                  <c:v>7997.94</c:v>
                </c:pt>
                <c:pt idx="300">
                  <c:v>8078.78</c:v>
                </c:pt>
                <c:pt idx="301">
                  <c:v>8130.66</c:v>
                </c:pt>
                <c:pt idx="302">
                  <c:v>8129.35</c:v>
                </c:pt>
                <c:pt idx="303">
                  <c:v>8134.41</c:v>
                </c:pt>
                <c:pt idx="304">
                  <c:v>8147.78</c:v>
                </c:pt>
                <c:pt idx="305">
                  <c:v>8145.84</c:v>
                </c:pt>
                <c:pt idx="306">
                  <c:v>8129.83</c:v>
                </c:pt>
                <c:pt idx="307">
                  <c:v>8061.09</c:v>
                </c:pt>
                <c:pt idx="308">
                  <c:v>8073.74</c:v>
                </c:pt>
                <c:pt idx="309">
                  <c:v>8119.62</c:v>
                </c:pt>
                <c:pt idx="310">
                  <c:v>8122.02</c:v>
                </c:pt>
                <c:pt idx="311">
                  <c:v>8067.67</c:v>
                </c:pt>
                <c:pt idx="312">
                  <c:v>7973.44</c:v>
                </c:pt>
                <c:pt idx="313">
                  <c:v>7814.07</c:v>
                </c:pt>
                <c:pt idx="314">
                  <c:v>7627.58</c:v>
                </c:pt>
                <c:pt idx="315">
                  <c:v>7425.33</c:v>
                </c:pt>
                <c:pt idx="316">
                  <c:v>7290</c:v>
                </c:pt>
                <c:pt idx="317">
                  <c:v>7203.53</c:v>
                </c:pt>
                <c:pt idx="318">
                  <c:v>7227.16</c:v>
                </c:pt>
                <c:pt idx="319">
                  <c:v>7270.43</c:v>
                </c:pt>
                <c:pt idx="320">
                  <c:v>7289.57</c:v>
                </c:pt>
                <c:pt idx="321">
                  <c:v>7449.21</c:v>
                </c:pt>
                <c:pt idx="322">
                  <c:v>7844.03</c:v>
                </c:pt>
                <c:pt idx="323">
                  <c:v>8092.69</c:v>
                </c:pt>
                <c:pt idx="324">
                  <c:v>8143.84</c:v>
                </c:pt>
                <c:pt idx="325">
                  <c:v>8100.52</c:v>
                </c:pt>
                <c:pt idx="326">
                  <c:v>8064.88</c:v>
                </c:pt>
                <c:pt idx="327">
                  <c:v>8133.81</c:v>
                </c:pt>
                <c:pt idx="328">
                  <c:v>8086.29</c:v>
                </c:pt>
                <c:pt idx="329">
                  <c:v>7942.53</c:v>
                </c:pt>
                <c:pt idx="330">
                  <c:v>7744.28</c:v>
                </c:pt>
                <c:pt idx="331">
                  <c:v>7298.85</c:v>
                </c:pt>
                <c:pt idx="332">
                  <c:v>6846.27</c:v>
                </c:pt>
                <c:pt idx="333">
                  <c:v>6486.45</c:v>
                </c:pt>
                <c:pt idx="334">
                  <c:v>5928.26</c:v>
                </c:pt>
                <c:pt idx="335">
                  <c:v>5705.43</c:v>
                </c:pt>
                <c:pt idx="336">
                  <c:v>5653.77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E-3F48-B4A4-58D759A59DFA}"/>
            </c:ext>
          </c:extLst>
        </c:ser>
        <c:ser>
          <c:idx val="1"/>
          <c:order val="1"/>
          <c:tx>
            <c:strRef>
              <c:f>[1]Prices!$G$1</c:f>
              <c:strCache>
                <c:ptCount val="1"/>
                <c:pt idx="0">
                  <c:v>Bioenergy (Biomass) -  MW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[1]Prices!$G$2:$G$338</c:f>
              <c:numCache>
                <c:formatCode>General</c:formatCode>
                <c:ptCount val="337"/>
                <c:pt idx="0">
                  <c:v>28.92</c:v>
                </c:pt>
                <c:pt idx="1">
                  <c:v>29.64</c:v>
                </c:pt>
                <c:pt idx="2">
                  <c:v>20.71</c:v>
                </c:pt>
                <c:pt idx="3">
                  <c:v>11.93</c:v>
                </c:pt>
                <c:pt idx="4">
                  <c:v>11.22</c:v>
                </c:pt>
                <c:pt idx="5">
                  <c:v>12.25</c:v>
                </c:pt>
                <c:pt idx="6">
                  <c:v>11.73</c:v>
                </c:pt>
                <c:pt idx="7">
                  <c:v>13.43</c:v>
                </c:pt>
                <c:pt idx="8">
                  <c:v>1.38</c:v>
                </c:pt>
                <c:pt idx="9">
                  <c:v>-0.54</c:v>
                </c:pt>
                <c:pt idx="10">
                  <c:v>-1.78</c:v>
                </c:pt>
                <c:pt idx="11">
                  <c:v>-1.23</c:v>
                </c:pt>
                <c:pt idx="12">
                  <c:v>-0.77</c:v>
                </c:pt>
                <c:pt idx="13">
                  <c:v>-0.91</c:v>
                </c:pt>
                <c:pt idx="14">
                  <c:v>-0.89</c:v>
                </c:pt>
                <c:pt idx="15">
                  <c:v>-0.47</c:v>
                </c:pt>
                <c:pt idx="16">
                  <c:v>-0.82</c:v>
                </c:pt>
                <c:pt idx="17">
                  <c:v>-1.1000000000000001</c:v>
                </c:pt>
                <c:pt idx="18">
                  <c:v>-0.79</c:v>
                </c:pt>
                <c:pt idx="19">
                  <c:v>-0.79</c:v>
                </c:pt>
                <c:pt idx="20">
                  <c:v>-0.99</c:v>
                </c:pt>
                <c:pt idx="21">
                  <c:v>-0.71</c:v>
                </c:pt>
                <c:pt idx="22">
                  <c:v>-1.29</c:v>
                </c:pt>
                <c:pt idx="23">
                  <c:v>-1.49</c:v>
                </c:pt>
                <c:pt idx="24">
                  <c:v>-0.83</c:v>
                </c:pt>
                <c:pt idx="25">
                  <c:v>-0.99</c:v>
                </c:pt>
                <c:pt idx="26">
                  <c:v>-0.74</c:v>
                </c:pt>
                <c:pt idx="27">
                  <c:v>-0.75</c:v>
                </c:pt>
                <c:pt idx="28">
                  <c:v>-0.76</c:v>
                </c:pt>
                <c:pt idx="29">
                  <c:v>-0.85</c:v>
                </c:pt>
                <c:pt idx="30">
                  <c:v>-0.73</c:v>
                </c:pt>
                <c:pt idx="31">
                  <c:v>-1.29</c:v>
                </c:pt>
                <c:pt idx="32">
                  <c:v>-0.95</c:v>
                </c:pt>
                <c:pt idx="33">
                  <c:v>-0.84</c:v>
                </c:pt>
                <c:pt idx="34">
                  <c:v>-1.22</c:v>
                </c:pt>
                <c:pt idx="35">
                  <c:v>-1.65</c:v>
                </c:pt>
                <c:pt idx="36">
                  <c:v>-0.77</c:v>
                </c:pt>
                <c:pt idx="37">
                  <c:v>-0.84</c:v>
                </c:pt>
                <c:pt idx="38">
                  <c:v>-0.57999999999999996</c:v>
                </c:pt>
                <c:pt idx="39">
                  <c:v>-0.16</c:v>
                </c:pt>
                <c:pt idx="40">
                  <c:v>-0.73</c:v>
                </c:pt>
                <c:pt idx="41">
                  <c:v>-0.99</c:v>
                </c:pt>
                <c:pt idx="42">
                  <c:v>-1.86</c:v>
                </c:pt>
                <c:pt idx="43">
                  <c:v>-4.28</c:v>
                </c:pt>
                <c:pt idx="44">
                  <c:v>-5.28</c:v>
                </c:pt>
                <c:pt idx="45">
                  <c:v>-2.37</c:v>
                </c:pt>
                <c:pt idx="46">
                  <c:v>1.53</c:v>
                </c:pt>
                <c:pt idx="47">
                  <c:v>1.76</c:v>
                </c:pt>
                <c:pt idx="48">
                  <c:v>2.52</c:v>
                </c:pt>
                <c:pt idx="49">
                  <c:v>8.02</c:v>
                </c:pt>
                <c:pt idx="50">
                  <c:v>8.64</c:v>
                </c:pt>
                <c:pt idx="51">
                  <c:v>9.1</c:v>
                </c:pt>
                <c:pt idx="52">
                  <c:v>8.36</c:v>
                </c:pt>
                <c:pt idx="53">
                  <c:v>8.32</c:v>
                </c:pt>
                <c:pt idx="54">
                  <c:v>9.65</c:v>
                </c:pt>
                <c:pt idx="55">
                  <c:v>5.32</c:v>
                </c:pt>
                <c:pt idx="56">
                  <c:v>1.41</c:v>
                </c:pt>
                <c:pt idx="57">
                  <c:v>-1.76</c:v>
                </c:pt>
                <c:pt idx="58">
                  <c:v>-1.57</c:v>
                </c:pt>
                <c:pt idx="59">
                  <c:v>-1.22</c:v>
                </c:pt>
                <c:pt idx="60">
                  <c:v>-0.99</c:v>
                </c:pt>
                <c:pt idx="61">
                  <c:v>-0.62</c:v>
                </c:pt>
                <c:pt idx="62">
                  <c:v>-0.75</c:v>
                </c:pt>
                <c:pt idx="63">
                  <c:v>-1.31</c:v>
                </c:pt>
                <c:pt idx="64">
                  <c:v>-0.97</c:v>
                </c:pt>
                <c:pt idx="65">
                  <c:v>-1.25</c:v>
                </c:pt>
                <c:pt idx="66">
                  <c:v>-1.28</c:v>
                </c:pt>
                <c:pt idx="67">
                  <c:v>-1.21</c:v>
                </c:pt>
                <c:pt idx="68">
                  <c:v>-1.43</c:v>
                </c:pt>
                <c:pt idx="69">
                  <c:v>-1.1299999999999999</c:v>
                </c:pt>
                <c:pt idx="70">
                  <c:v>-1.45</c:v>
                </c:pt>
                <c:pt idx="71">
                  <c:v>-1.01</c:v>
                </c:pt>
                <c:pt idx="72">
                  <c:v>-1.24</c:v>
                </c:pt>
                <c:pt idx="73">
                  <c:v>-3.77</c:v>
                </c:pt>
                <c:pt idx="74">
                  <c:v>-1.63</c:v>
                </c:pt>
                <c:pt idx="75">
                  <c:v>-1.05</c:v>
                </c:pt>
                <c:pt idx="76">
                  <c:v>-1.07</c:v>
                </c:pt>
                <c:pt idx="77">
                  <c:v>-2.63</c:v>
                </c:pt>
                <c:pt idx="78">
                  <c:v>-0.85</c:v>
                </c:pt>
                <c:pt idx="79">
                  <c:v>-1.02</c:v>
                </c:pt>
                <c:pt idx="80">
                  <c:v>-1.77</c:v>
                </c:pt>
                <c:pt idx="81">
                  <c:v>-0.21</c:v>
                </c:pt>
                <c:pt idx="82">
                  <c:v>-0.14000000000000001</c:v>
                </c:pt>
                <c:pt idx="83">
                  <c:v>-2.2200000000000002</c:v>
                </c:pt>
                <c:pt idx="84">
                  <c:v>-0.64</c:v>
                </c:pt>
                <c:pt idx="85">
                  <c:v>-0.47</c:v>
                </c:pt>
                <c:pt idx="86">
                  <c:v>-1.1599999999999999</c:v>
                </c:pt>
                <c:pt idx="87">
                  <c:v>-0.05</c:v>
                </c:pt>
                <c:pt idx="88">
                  <c:v>-0.27</c:v>
                </c:pt>
                <c:pt idx="89">
                  <c:v>0.14000000000000001</c:v>
                </c:pt>
                <c:pt idx="90">
                  <c:v>9.33</c:v>
                </c:pt>
                <c:pt idx="91">
                  <c:v>9.5399999999999991</c:v>
                </c:pt>
                <c:pt idx="92">
                  <c:v>9.11</c:v>
                </c:pt>
                <c:pt idx="93">
                  <c:v>7.68</c:v>
                </c:pt>
                <c:pt idx="94">
                  <c:v>4.12</c:v>
                </c:pt>
                <c:pt idx="95">
                  <c:v>1.95</c:v>
                </c:pt>
                <c:pt idx="96">
                  <c:v>0.11</c:v>
                </c:pt>
                <c:pt idx="97">
                  <c:v>-0.12</c:v>
                </c:pt>
                <c:pt idx="98">
                  <c:v>-0.39</c:v>
                </c:pt>
                <c:pt idx="99">
                  <c:v>-0.02</c:v>
                </c:pt>
                <c:pt idx="100">
                  <c:v>-0.12</c:v>
                </c:pt>
                <c:pt idx="101">
                  <c:v>-0.49</c:v>
                </c:pt>
                <c:pt idx="102">
                  <c:v>0.55000000000000004</c:v>
                </c:pt>
                <c:pt idx="103">
                  <c:v>7.25</c:v>
                </c:pt>
                <c:pt idx="104">
                  <c:v>3.33</c:v>
                </c:pt>
                <c:pt idx="105">
                  <c:v>-1.0900000000000001</c:v>
                </c:pt>
                <c:pt idx="106">
                  <c:v>-2.9</c:v>
                </c:pt>
                <c:pt idx="107">
                  <c:v>-3.66</c:v>
                </c:pt>
                <c:pt idx="108">
                  <c:v>-2.25</c:v>
                </c:pt>
                <c:pt idx="109">
                  <c:v>-2.2599999999999998</c:v>
                </c:pt>
                <c:pt idx="110">
                  <c:v>-2.15</c:v>
                </c:pt>
                <c:pt idx="111">
                  <c:v>-0.85</c:v>
                </c:pt>
                <c:pt idx="112">
                  <c:v>-0.95</c:v>
                </c:pt>
                <c:pt idx="113">
                  <c:v>-1.49</c:v>
                </c:pt>
                <c:pt idx="114">
                  <c:v>-0.97</c:v>
                </c:pt>
                <c:pt idx="115">
                  <c:v>-0.57999999999999996</c:v>
                </c:pt>
                <c:pt idx="116">
                  <c:v>-0.85</c:v>
                </c:pt>
                <c:pt idx="117">
                  <c:v>1.53</c:v>
                </c:pt>
                <c:pt idx="118">
                  <c:v>2.4</c:v>
                </c:pt>
                <c:pt idx="119">
                  <c:v>1.32</c:v>
                </c:pt>
                <c:pt idx="120">
                  <c:v>-0.23</c:v>
                </c:pt>
                <c:pt idx="121">
                  <c:v>0.21</c:v>
                </c:pt>
                <c:pt idx="122">
                  <c:v>0.69</c:v>
                </c:pt>
                <c:pt idx="123">
                  <c:v>0.38</c:v>
                </c:pt>
                <c:pt idx="124">
                  <c:v>0.89</c:v>
                </c:pt>
                <c:pt idx="125">
                  <c:v>-0.04</c:v>
                </c:pt>
                <c:pt idx="126">
                  <c:v>-0.24</c:v>
                </c:pt>
                <c:pt idx="127">
                  <c:v>-1.26</c:v>
                </c:pt>
                <c:pt idx="128">
                  <c:v>-0.54</c:v>
                </c:pt>
                <c:pt idx="129">
                  <c:v>0.56999999999999995</c:v>
                </c:pt>
                <c:pt idx="130">
                  <c:v>-0.28999999999999998</c:v>
                </c:pt>
                <c:pt idx="131">
                  <c:v>-1.1299999999999999</c:v>
                </c:pt>
                <c:pt idx="132">
                  <c:v>-3.58</c:v>
                </c:pt>
                <c:pt idx="133">
                  <c:v>-1.92</c:v>
                </c:pt>
                <c:pt idx="134">
                  <c:v>-3.31</c:v>
                </c:pt>
                <c:pt idx="135">
                  <c:v>-3.44</c:v>
                </c:pt>
                <c:pt idx="136">
                  <c:v>-3.45</c:v>
                </c:pt>
                <c:pt idx="137">
                  <c:v>0.96</c:v>
                </c:pt>
                <c:pt idx="138">
                  <c:v>11.53</c:v>
                </c:pt>
                <c:pt idx="139">
                  <c:v>13.54</c:v>
                </c:pt>
                <c:pt idx="140">
                  <c:v>13.92</c:v>
                </c:pt>
                <c:pt idx="141">
                  <c:v>13.54</c:v>
                </c:pt>
                <c:pt idx="142">
                  <c:v>13.34</c:v>
                </c:pt>
                <c:pt idx="143">
                  <c:v>9.8000000000000007</c:v>
                </c:pt>
                <c:pt idx="144">
                  <c:v>7.17</c:v>
                </c:pt>
                <c:pt idx="145">
                  <c:v>6.59</c:v>
                </c:pt>
                <c:pt idx="146">
                  <c:v>6.74</c:v>
                </c:pt>
                <c:pt idx="147">
                  <c:v>6.09</c:v>
                </c:pt>
                <c:pt idx="148">
                  <c:v>6.7</c:v>
                </c:pt>
                <c:pt idx="149">
                  <c:v>6.89</c:v>
                </c:pt>
                <c:pt idx="150">
                  <c:v>8.69</c:v>
                </c:pt>
                <c:pt idx="151">
                  <c:v>0.46</c:v>
                </c:pt>
                <c:pt idx="152">
                  <c:v>-1.73</c:v>
                </c:pt>
                <c:pt idx="153">
                  <c:v>-1.71</c:v>
                </c:pt>
                <c:pt idx="154">
                  <c:v>-1.51</c:v>
                </c:pt>
                <c:pt idx="155">
                  <c:v>-1.55</c:v>
                </c:pt>
                <c:pt idx="156">
                  <c:v>-1.6</c:v>
                </c:pt>
                <c:pt idx="157">
                  <c:v>-1.92</c:v>
                </c:pt>
                <c:pt idx="158">
                  <c:v>-1.74</c:v>
                </c:pt>
                <c:pt idx="159">
                  <c:v>-2.23</c:v>
                </c:pt>
                <c:pt idx="160">
                  <c:v>-0.23</c:v>
                </c:pt>
                <c:pt idx="161">
                  <c:v>-0.18</c:v>
                </c:pt>
                <c:pt idx="162">
                  <c:v>-0.37</c:v>
                </c:pt>
                <c:pt idx="163">
                  <c:v>0.05</c:v>
                </c:pt>
                <c:pt idx="164">
                  <c:v>-0.48</c:v>
                </c:pt>
                <c:pt idx="165">
                  <c:v>-0.56000000000000005</c:v>
                </c:pt>
                <c:pt idx="166">
                  <c:v>-0.33</c:v>
                </c:pt>
                <c:pt idx="167">
                  <c:v>-0.41</c:v>
                </c:pt>
                <c:pt idx="168">
                  <c:v>-0.94</c:v>
                </c:pt>
                <c:pt idx="169">
                  <c:v>-0.92</c:v>
                </c:pt>
                <c:pt idx="170">
                  <c:v>-0.83</c:v>
                </c:pt>
                <c:pt idx="171">
                  <c:v>-0.88</c:v>
                </c:pt>
                <c:pt idx="172">
                  <c:v>-0.84</c:v>
                </c:pt>
                <c:pt idx="173">
                  <c:v>-0.62</c:v>
                </c:pt>
                <c:pt idx="174">
                  <c:v>-0.88</c:v>
                </c:pt>
                <c:pt idx="175">
                  <c:v>-0.7</c:v>
                </c:pt>
                <c:pt idx="176">
                  <c:v>-0.88</c:v>
                </c:pt>
                <c:pt idx="177">
                  <c:v>-0.74</c:v>
                </c:pt>
                <c:pt idx="178">
                  <c:v>-0.11</c:v>
                </c:pt>
                <c:pt idx="179">
                  <c:v>-0.3</c:v>
                </c:pt>
                <c:pt idx="180">
                  <c:v>-2.27</c:v>
                </c:pt>
                <c:pt idx="181">
                  <c:v>-1.19</c:v>
                </c:pt>
                <c:pt idx="182">
                  <c:v>-0.82</c:v>
                </c:pt>
                <c:pt idx="183">
                  <c:v>-0.18</c:v>
                </c:pt>
                <c:pt idx="184">
                  <c:v>-2.0099999999999998</c:v>
                </c:pt>
                <c:pt idx="185">
                  <c:v>-3.12</c:v>
                </c:pt>
                <c:pt idx="186">
                  <c:v>4.5</c:v>
                </c:pt>
                <c:pt idx="187">
                  <c:v>10.39</c:v>
                </c:pt>
                <c:pt idx="188">
                  <c:v>13.03</c:v>
                </c:pt>
                <c:pt idx="189">
                  <c:v>10.81</c:v>
                </c:pt>
                <c:pt idx="190">
                  <c:v>8.76</c:v>
                </c:pt>
                <c:pt idx="191">
                  <c:v>10.55</c:v>
                </c:pt>
                <c:pt idx="192">
                  <c:v>11.8</c:v>
                </c:pt>
                <c:pt idx="193">
                  <c:v>10.96</c:v>
                </c:pt>
                <c:pt idx="194">
                  <c:v>8.0399999999999991</c:v>
                </c:pt>
                <c:pt idx="195">
                  <c:v>8.73</c:v>
                </c:pt>
                <c:pt idx="196">
                  <c:v>8.48</c:v>
                </c:pt>
                <c:pt idx="197">
                  <c:v>8.2899999999999991</c:v>
                </c:pt>
                <c:pt idx="198">
                  <c:v>8.23</c:v>
                </c:pt>
                <c:pt idx="199">
                  <c:v>5.2</c:v>
                </c:pt>
                <c:pt idx="200">
                  <c:v>-2.56</c:v>
                </c:pt>
                <c:pt idx="201">
                  <c:v>-1.78</c:v>
                </c:pt>
                <c:pt idx="202">
                  <c:v>-2.58</c:v>
                </c:pt>
                <c:pt idx="203">
                  <c:v>-2.46</c:v>
                </c:pt>
                <c:pt idx="204">
                  <c:v>-1.97</c:v>
                </c:pt>
                <c:pt idx="205">
                  <c:v>-2.2599999999999998</c:v>
                </c:pt>
                <c:pt idx="206">
                  <c:v>-1.56</c:v>
                </c:pt>
                <c:pt idx="207">
                  <c:v>-2.63</c:v>
                </c:pt>
                <c:pt idx="208">
                  <c:v>-2.11</c:v>
                </c:pt>
                <c:pt idx="209">
                  <c:v>-2.66</c:v>
                </c:pt>
                <c:pt idx="210">
                  <c:v>-2.46</c:v>
                </c:pt>
                <c:pt idx="211">
                  <c:v>-1.59</c:v>
                </c:pt>
                <c:pt idx="212">
                  <c:v>-2.08</c:v>
                </c:pt>
                <c:pt idx="213">
                  <c:v>-1.45</c:v>
                </c:pt>
                <c:pt idx="214">
                  <c:v>-2.06</c:v>
                </c:pt>
                <c:pt idx="215">
                  <c:v>-2.4500000000000002</c:v>
                </c:pt>
                <c:pt idx="216">
                  <c:v>-0.92</c:v>
                </c:pt>
                <c:pt idx="217">
                  <c:v>-0.75</c:v>
                </c:pt>
                <c:pt idx="218">
                  <c:v>-2.37</c:v>
                </c:pt>
                <c:pt idx="219">
                  <c:v>-4.2699999999999996</c:v>
                </c:pt>
                <c:pt idx="220">
                  <c:v>-4.49</c:v>
                </c:pt>
                <c:pt idx="221">
                  <c:v>-4.3600000000000003</c:v>
                </c:pt>
                <c:pt idx="222">
                  <c:v>-4.25</c:v>
                </c:pt>
                <c:pt idx="223">
                  <c:v>5.95</c:v>
                </c:pt>
                <c:pt idx="224">
                  <c:v>21.02</c:v>
                </c:pt>
                <c:pt idx="225">
                  <c:v>20.59</c:v>
                </c:pt>
                <c:pt idx="226">
                  <c:v>20.440000000000001</c:v>
                </c:pt>
                <c:pt idx="227">
                  <c:v>21.97</c:v>
                </c:pt>
                <c:pt idx="228">
                  <c:v>22.15</c:v>
                </c:pt>
                <c:pt idx="229">
                  <c:v>23.93</c:v>
                </c:pt>
                <c:pt idx="230">
                  <c:v>26.83</c:v>
                </c:pt>
                <c:pt idx="231">
                  <c:v>28.03</c:v>
                </c:pt>
                <c:pt idx="232">
                  <c:v>28.17</c:v>
                </c:pt>
                <c:pt idx="233">
                  <c:v>26.62</c:v>
                </c:pt>
                <c:pt idx="234">
                  <c:v>7.14</c:v>
                </c:pt>
                <c:pt idx="235">
                  <c:v>-0.23</c:v>
                </c:pt>
                <c:pt idx="236">
                  <c:v>-0.13</c:v>
                </c:pt>
                <c:pt idx="237">
                  <c:v>-0.03</c:v>
                </c:pt>
                <c:pt idx="238">
                  <c:v>-0.05</c:v>
                </c:pt>
                <c:pt idx="239">
                  <c:v>-0.81</c:v>
                </c:pt>
                <c:pt idx="240">
                  <c:v>-0.89</c:v>
                </c:pt>
                <c:pt idx="241">
                  <c:v>5.98</c:v>
                </c:pt>
                <c:pt idx="242">
                  <c:v>17.32</c:v>
                </c:pt>
                <c:pt idx="243">
                  <c:v>16.13</c:v>
                </c:pt>
                <c:pt idx="244">
                  <c:v>14.86</c:v>
                </c:pt>
                <c:pt idx="245">
                  <c:v>14.82</c:v>
                </c:pt>
                <c:pt idx="246">
                  <c:v>15.96</c:v>
                </c:pt>
                <c:pt idx="247">
                  <c:v>15.33</c:v>
                </c:pt>
                <c:pt idx="248">
                  <c:v>5.85</c:v>
                </c:pt>
                <c:pt idx="249">
                  <c:v>-4.87</c:v>
                </c:pt>
                <c:pt idx="250">
                  <c:v>-6.02</c:v>
                </c:pt>
                <c:pt idx="251">
                  <c:v>-4.0199999999999996</c:v>
                </c:pt>
                <c:pt idx="252">
                  <c:v>-2.09</c:v>
                </c:pt>
                <c:pt idx="253">
                  <c:v>-2.2000000000000002</c:v>
                </c:pt>
                <c:pt idx="254">
                  <c:v>-0.41</c:v>
                </c:pt>
                <c:pt idx="255">
                  <c:v>-1.6</c:v>
                </c:pt>
                <c:pt idx="256">
                  <c:v>-1.25</c:v>
                </c:pt>
                <c:pt idx="257">
                  <c:v>-0.04</c:v>
                </c:pt>
                <c:pt idx="258">
                  <c:v>-1.1499999999999999</c:v>
                </c:pt>
                <c:pt idx="259">
                  <c:v>-0.57999999999999996</c:v>
                </c:pt>
                <c:pt idx="260">
                  <c:v>0.47</c:v>
                </c:pt>
                <c:pt idx="261">
                  <c:v>3.5</c:v>
                </c:pt>
                <c:pt idx="262">
                  <c:v>4.43</c:v>
                </c:pt>
                <c:pt idx="263">
                  <c:v>3.16</c:v>
                </c:pt>
                <c:pt idx="264">
                  <c:v>0.84</c:v>
                </c:pt>
                <c:pt idx="265">
                  <c:v>-1.02</c:v>
                </c:pt>
                <c:pt idx="266">
                  <c:v>-0.79</c:v>
                </c:pt>
                <c:pt idx="267">
                  <c:v>-1.03</c:v>
                </c:pt>
                <c:pt idx="268">
                  <c:v>-0.9</c:v>
                </c:pt>
                <c:pt idx="269">
                  <c:v>-0.59</c:v>
                </c:pt>
                <c:pt idx="270">
                  <c:v>-0.97</c:v>
                </c:pt>
                <c:pt idx="271">
                  <c:v>-0.6</c:v>
                </c:pt>
                <c:pt idx="272">
                  <c:v>-1.36</c:v>
                </c:pt>
                <c:pt idx="273">
                  <c:v>-0.95</c:v>
                </c:pt>
                <c:pt idx="274">
                  <c:v>-1.57</c:v>
                </c:pt>
                <c:pt idx="275">
                  <c:v>-0.95</c:v>
                </c:pt>
                <c:pt idx="276">
                  <c:v>0.36</c:v>
                </c:pt>
                <c:pt idx="277">
                  <c:v>3.42</c:v>
                </c:pt>
                <c:pt idx="278">
                  <c:v>1.62</c:v>
                </c:pt>
                <c:pt idx="279">
                  <c:v>-0.55000000000000004</c:v>
                </c:pt>
                <c:pt idx="280">
                  <c:v>1.71</c:v>
                </c:pt>
                <c:pt idx="281">
                  <c:v>12.53</c:v>
                </c:pt>
                <c:pt idx="282">
                  <c:v>10.27</c:v>
                </c:pt>
                <c:pt idx="283">
                  <c:v>5.35</c:v>
                </c:pt>
                <c:pt idx="284">
                  <c:v>6.48</c:v>
                </c:pt>
                <c:pt idx="285">
                  <c:v>9.8800000000000008</c:v>
                </c:pt>
                <c:pt idx="286">
                  <c:v>9.6</c:v>
                </c:pt>
                <c:pt idx="287">
                  <c:v>9.5399999999999991</c:v>
                </c:pt>
                <c:pt idx="288">
                  <c:v>9.18</c:v>
                </c:pt>
                <c:pt idx="289">
                  <c:v>8.73</c:v>
                </c:pt>
                <c:pt idx="290">
                  <c:v>8.4</c:v>
                </c:pt>
                <c:pt idx="291">
                  <c:v>8.9700000000000006</c:v>
                </c:pt>
                <c:pt idx="292">
                  <c:v>9.51</c:v>
                </c:pt>
                <c:pt idx="293">
                  <c:v>9.5399999999999991</c:v>
                </c:pt>
                <c:pt idx="294">
                  <c:v>10.43</c:v>
                </c:pt>
                <c:pt idx="295">
                  <c:v>9.0299999999999994</c:v>
                </c:pt>
                <c:pt idx="296">
                  <c:v>-0.04</c:v>
                </c:pt>
                <c:pt idx="297">
                  <c:v>-0.95</c:v>
                </c:pt>
                <c:pt idx="298">
                  <c:v>-0.15</c:v>
                </c:pt>
                <c:pt idx="299">
                  <c:v>0.25</c:v>
                </c:pt>
                <c:pt idx="300">
                  <c:v>-0.3</c:v>
                </c:pt>
                <c:pt idx="301">
                  <c:v>-0.02</c:v>
                </c:pt>
                <c:pt idx="302">
                  <c:v>-0.18</c:v>
                </c:pt>
                <c:pt idx="303">
                  <c:v>0.51</c:v>
                </c:pt>
                <c:pt idx="304">
                  <c:v>0.03</c:v>
                </c:pt>
                <c:pt idx="305">
                  <c:v>-0.2</c:v>
                </c:pt>
                <c:pt idx="306">
                  <c:v>0.27</c:v>
                </c:pt>
                <c:pt idx="307">
                  <c:v>-2.5499999999999998</c:v>
                </c:pt>
                <c:pt idx="308">
                  <c:v>-2.5099999999999998</c:v>
                </c:pt>
                <c:pt idx="309">
                  <c:v>-0.33</c:v>
                </c:pt>
                <c:pt idx="310">
                  <c:v>-0.5</c:v>
                </c:pt>
                <c:pt idx="311">
                  <c:v>-0.74</c:v>
                </c:pt>
                <c:pt idx="312">
                  <c:v>-2.65</c:v>
                </c:pt>
                <c:pt idx="313">
                  <c:v>-1.69</c:v>
                </c:pt>
                <c:pt idx="314">
                  <c:v>-1.04</c:v>
                </c:pt>
                <c:pt idx="315">
                  <c:v>-1.43</c:v>
                </c:pt>
                <c:pt idx="316">
                  <c:v>-2.1800000000000002</c:v>
                </c:pt>
                <c:pt idx="317">
                  <c:v>-2.29</c:v>
                </c:pt>
                <c:pt idx="318">
                  <c:v>-2.92</c:v>
                </c:pt>
                <c:pt idx="319">
                  <c:v>-2.83</c:v>
                </c:pt>
                <c:pt idx="320">
                  <c:v>-2.35</c:v>
                </c:pt>
                <c:pt idx="321">
                  <c:v>-3.22</c:v>
                </c:pt>
                <c:pt idx="322">
                  <c:v>-0.92</c:v>
                </c:pt>
                <c:pt idx="323">
                  <c:v>-1.32</c:v>
                </c:pt>
                <c:pt idx="324">
                  <c:v>0.45</c:v>
                </c:pt>
                <c:pt idx="325">
                  <c:v>-0.76</c:v>
                </c:pt>
                <c:pt idx="326">
                  <c:v>-0.59</c:v>
                </c:pt>
                <c:pt idx="327">
                  <c:v>-0.13</c:v>
                </c:pt>
                <c:pt idx="328">
                  <c:v>2.06</c:v>
                </c:pt>
                <c:pt idx="329">
                  <c:v>12.36</c:v>
                </c:pt>
                <c:pt idx="330">
                  <c:v>12.89</c:v>
                </c:pt>
                <c:pt idx="331">
                  <c:v>10.83</c:v>
                </c:pt>
                <c:pt idx="332">
                  <c:v>10.45</c:v>
                </c:pt>
                <c:pt idx="333">
                  <c:v>10.32</c:v>
                </c:pt>
                <c:pt idx="334">
                  <c:v>10.49</c:v>
                </c:pt>
                <c:pt idx="335">
                  <c:v>10.53</c:v>
                </c:pt>
                <c:pt idx="336">
                  <c:v>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E-3F48-B4A4-58D759A59DFA}"/>
            </c:ext>
          </c:extLst>
        </c:ser>
        <c:ser>
          <c:idx val="2"/>
          <c:order val="2"/>
          <c:tx>
            <c:strRef>
              <c:f>[1]Prices!$H$1</c:f>
              <c:strCache>
                <c:ptCount val="1"/>
                <c:pt idx="0">
                  <c:v>Gas (CCGT) -  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[1]Prices!$H$2:$H$338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1.17</c:v>
                </c:pt>
                <c:pt idx="4">
                  <c:v>52.33</c:v>
                </c:pt>
                <c:pt idx="5">
                  <c:v>179.83</c:v>
                </c:pt>
                <c:pt idx="6">
                  <c:v>190</c:v>
                </c:pt>
                <c:pt idx="7">
                  <c:v>199.67</c:v>
                </c:pt>
                <c:pt idx="8">
                  <c:v>345.83</c:v>
                </c:pt>
                <c:pt idx="9">
                  <c:v>447.33</c:v>
                </c:pt>
                <c:pt idx="10">
                  <c:v>445.5</c:v>
                </c:pt>
                <c:pt idx="11">
                  <c:v>445.5</c:v>
                </c:pt>
                <c:pt idx="12">
                  <c:v>445.33</c:v>
                </c:pt>
                <c:pt idx="13">
                  <c:v>446</c:v>
                </c:pt>
                <c:pt idx="14">
                  <c:v>445.83</c:v>
                </c:pt>
                <c:pt idx="15">
                  <c:v>446</c:v>
                </c:pt>
                <c:pt idx="16">
                  <c:v>448.33</c:v>
                </c:pt>
                <c:pt idx="17">
                  <c:v>446.83</c:v>
                </c:pt>
                <c:pt idx="18">
                  <c:v>445.67</c:v>
                </c:pt>
                <c:pt idx="19">
                  <c:v>437.5</c:v>
                </c:pt>
                <c:pt idx="20">
                  <c:v>448.67</c:v>
                </c:pt>
                <c:pt idx="21">
                  <c:v>440.5</c:v>
                </c:pt>
                <c:pt idx="22">
                  <c:v>443</c:v>
                </c:pt>
                <c:pt idx="23">
                  <c:v>357.83</c:v>
                </c:pt>
                <c:pt idx="24">
                  <c:v>300.5</c:v>
                </c:pt>
                <c:pt idx="25">
                  <c:v>291.83</c:v>
                </c:pt>
                <c:pt idx="26">
                  <c:v>194.17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199</c:v>
                </c:pt>
                <c:pt idx="32">
                  <c:v>208.33</c:v>
                </c:pt>
                <c:pt idx="33">
                  <c:v>258.33</c:v>
                </c:pt>
                <c:pt idx="34">
                  <c:v>308</c:v>
                </c:pt>
                <c:pt idx="35">
                  <c:v>442.17</c:v>
                </c:pt>
                <c:pt idx="36">
                  <c:v>444.67</c:v>
                </c:pt>
                <c:pt idx="37">
                  <c:v>445.83</c:v>
                </c:pt>
                <c:pt idx="38">
                  <c:v>444.83</c:v>
                </c:pt>
                <c:pt idx="39">
                  <c:v>443.83</c:v>
                </c:pt>
                <c:pt idx="40">
                  <c:v>429.67</c:v>
                </c:pt>
                <c:pt idx="41">
                  <c:v>240</c:v>
                </c:pt>
                <c:pt idx="42">
                  <c:v>6.33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131</c:v>
                </c:pt>
                <c:pt idx="55">
                  <c:v>264.5</c:v>
                </c:pt>
                <c:pt idx="56">
                  <c:v>399.67</c:v>
                </c:pt>
                <c:pt idx="57">
                  <c:v>270.83</c:v>
                </c:pt>
                <c:pt idx="58">
                  <c:v>4</c:v>
                </c:pt>
                <c:pt idx="59">
                  <c:v>26.63</c:v>
                </c:pt>
                <c:pt idx="60">
                  <c:v>26.56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1.33</c:v>
                </c:pt>
                <c:pt idx="148">
                  <c:v>14.5</c:v>
                </c:pt>
                <c:pt idx="149">
                  <c:v>17.329999999999998</c:v>
                </c:pt>
                <c:pt idx="150">
                  <c:v>37</c:v>
                </c:pt>
                <c:pt idx="151">
                  <c:v>181.67</c:v>
                </c:pt>
                <c:pt idx="152">
                  <c:v>199.5</c:v>
                </c:pt>
                <c:pt idx="153">
                  <c:v>400</c:v>
                </c:pt>
                <c:pt idx="154">
                  <c:v>443.83</c:v>
                </c:pt>
                <c:pt idx="155">
                  <c:v>442.83</c:v>
                </c:pt>
                <c:pt idx="156">
                  <c:v>441.83</c:v>
                </c:pt>
                <c:pt idx="157">
                  <c:v>442.33</c:v>
                </c:pt>
                <c:pt idx="158">
                  <c:v>443.83</c:v>
                </c:pt>
                <c:pt idx="159">
                  <c:v>451.17</c:v>
                </c:pt>
                <c:pt idx="160">
                  <c:v>451.83</c:v>
                </c:pt>
                <c:pt idx="161">
                  <c:v>451.83</c:v>
                </c:pt>
                <c:pt idx="162">
                  <c:v>448.17</c:v>
                </c:pt>
                <c:pt idx="163">
                  <c:v>449.5</c:v>
                </c:pt>
                <c:pt idx="164">
                  <c:v>450.83</c:v>
                </c:pt>
                <c:pt idx="165">
                  <c:v>446.17</c:v>
                </c:pt>
                <c:pt idx="166">
                  <c:v>440</c:v>
                </c:pt>
                <c:pt idx="167">
                  <c:v>308.5</c:v>
                </c:pt>
                <c:pt idx="168">
                  <c:v>195.33</c:v>
                </c:pt>
                <c:pt idx="169">
                  <c:v>190</c:v>
                </c:pt>
                <c:pt idx="170">
                  <c:v>190.17</c:v>
                </c:pt>
                <c:pt idx="171">
                  <c:v>190.5</c:v>
                </c:pt>
                <c:pt idx="172">
                  <c:v>190.17</c:v>
                </c:pt>
                <c:pt idx="173">
                  <c:v>190.17</c:v>
                </c:pt>
                <c:pt idx="174">
                  <c:v>190.17</c:v>
                </c:pt>
                <c:pt idx="175">
                  <c:v>190.17</c:v>
                </c:pt>
                <c:pt idx="176">
                  <c:v>190.17</c:v>
                </c:pt>
                <c:pt idx="177">
                  <c:v>198.17</c:v>
                </c:pt>
                <c:pt idx="178">
                  <c:v>297.67</c:v>
                </c:pt>
                <c:pt idx="179">
                  <c:v>306.83</c:v>
                </c:pt>
                <c:pt idx="180">
                  <c:v>443.83</c:v>
                </c:pt>
                <c:pt idx="181">
                  <c:v>450</c:v>
                </c:pt>
                <c:pt idx="182">
                  <c:v>450</c:v>
                </c:pt>
                <c:pt idx="183">
                  <c:v>449.67</c:v>
                </c:pt>
                <c:pt idx="184">
                  <c:v>449.83</c:v>
                </c:pt>
                <c:pt idx="185">
                  <c:v>442.5</c:v>
                </c:pt>
                <c:pt idx="186">
                  <c:v>448.83</c:v>
                </c:pt>
                <c:pt idx="187">
                  <c:v>449.67</c:v>
                </c:pt>
                <c:pt idx="188">
                  <c:v>448.5</c:v>
                </c:pt>
                <c:pt idx="189">
                  <c:v>442.17</c:v>
                </c:pt>
                <c:pt idx="190">
                  <c:v>271.83</c:v>
                </c:pt>
                <c:pt idx="191">
                  <c:v>151.83000000000001</c:v>
                </c:pt>
                <c:pt idx="192">
                  <c:v>199.17</c:v>
                </c:pt>
                <c:pt idx="193">
                  <c:v>190.17</c:v>
                </c:pt>
                <c:pt idx="194">
                  <c:v>190</c:v>
                </c:pt>
                <c:pt idx="195">
                  <c:v>190.17</c:v>
                </c:pt>
                <c:pt idx="196">
                  <c:v>190.17</c:v>
                </c:pt>
                <c:pt idx="197">
                  <c:v>198.17</c:v>
                </c:pt>
                <c:pt idx="198">
                  <c:v>317.17</c:v>
                </c:pt>
                <c:pt idx="199">
                  <c:v>447.5</c:v>
                </c:pt>
                <c:pt idx="200">
                  <c:v>450</c:v>
                </c:pt>
                <c:pt idx="201">
                  <c:v>449.33</c:v>
                </c:pt>
                <c:pt idx="202">
                  <c:v>451.67</c:v>
                </c:pt>
                <c:pt idx="203">
                  <c:v>450.33</c:v>
                </c:pt>
                <c:pt idx="204">
                  <c:v>451.83</c:v>
                </c:pt>
                <c:pt idx="205">
                  <c:v>450.83</c:v>
                </c:pt>
                <c:pt idx="206">
                  <c:v>450.83</c:v>
                </c:pt>
                <c:pt idx="207">
                  <c:v>453</c:v>
                </c:pt>
                <c:pt idx="208">
                  <c:v>454.33</c:v>
                </c:pt>
                <c:pt idx="209">
                  <c:v>454.33</c:v>
                </c:pt>
                <c:pt idx="210">
                  <c:v>453</c:v>
                </c:pt>
                <c:pt idx="211">
                  <c:v>430.83</c:v>
                </c:pt>
                <c:pt idx="212">
                  <c:v>455</c:v>
                </c:pt>
                <c:pt idx="213">
                  <c:v>422.83</c:v>
                </c:pt>
                <c:pt idx="214">
                  <c:v>302.17</c:v>
                </c:pt>
                <c:pt idx="215">
                  <c:v>291</c:v>
                </c:pt>
                <c:pt idx="216">
                  <c:v>194</c:v>
                </c:pt>
                <c:pt idx="217">
                  <c:v>190</c:v>
                </c:pt>
                <c:pt idx="218">
                  <c:v>189.83</c:v>
                </c:pt>
                <c:pt idx="219">
                  <c:v>190</c:v>
                </c:pt>
                <c:pt idx="220">
                  <c:v>190.33</c:v>
                </c:pt>
                <c:pt idx="221">
                  <c:v>190</c:v>
                </c:pt>
                <c:pt idx="222">
                  <c:v>190</c:v>
                </c:pt>
                <c:pt idx="223">
                  <c:v>190.33</c:v>
                </c:pt>
                <c:pt idx="224">
                  <c:v>189.83</c:v>
                </c:pt>
                <c:pt idx="225">
                  <c:v>190.33</c:v>
                </c:pt>
                <c:pt idx="226">
                  <c:v>198.33</c:v>
                </c:pt>
                <c:pt idx="227">
                  <c:v>400.33</c:v>
                </c:pt>
                <c:pt idx="228">
                  <c:v>450.5</c:v>
                </c:pt>
                <c:pt idx="229">
                  <c:v>451</c:v>
                </c:pt>
                <c:pt idx="230">
                  <c:v>451.5</c:v>
                </c:pt>
                <c:pt idx="231">
                  <c:v>451.33</c:v>
                </c:pt>
                <c:pt idx="232">
                  <c:v>380.33</c:v>
                </c:pt>
                <c:pt idx="233">
                  <c:v>120.67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3.83</c:v>
                </c:pt>
                <c:pt idx="246">
                  <c:v>101.33</c:v>
                </c:pt>
                <c:pt idx="247">
                  <c:v>233.17</c:v>
                </c:pt>
                <c:pt idx="248">
                  <c:v>401.83</c:v>
                </c:pt>
                <c:pt idx="249">
                  <c:v>441.5</c:v>
                </c:pt>
                <c:pt idx="250">
                  <c:v>449</c:v>
                </c:pt>
                <c:pt idx="251">
                  <c:v>476.23</c:v>
                </c:pt>
                <c:pt idx="252">
                  <c:v>529.34</c:v>
                </c:pt>
                <c:pt idx="253">
                  <c:v>530.91999999999996</c:v>
                </c:pt>
                <c:pt idx="254">
                  <c:v>530.16999999999996</c:v>
                </c:pt>
                <c:pt idx="255">
                  <c:v>531.04999999999995</c:v>
                </c:pt>
                <c:pt idx="256">
                  <c:v>517.71</c:v>
                </c:pt>
                <c:pt idx="257">
                  <c:v>450</c:v>
                </c:pt>
                <c:pt idx="258">
                  <c:v>451.33</c:v>
                </c:pt>
                <c:pt idx="259">
                  <c:v>449.17</c:v>
                </c:pt>
                <c:pt idx="260">
                  <c:v>451.83</c:v>
                </c:pt>
                <c:pt idx="261">
                  <c:v>451.5</c:v>
                </c:pt>
                <c:pt idx="262">
                  <c:v>409.5</c:v>
                </c:pt>
                <c:pt idx="263">
                  <c:v>253.83</c:v>
                </c:pt>
                <c:pt idx="264">
                  <c:v>50.17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52.17</c:v>
                </c:pt>
                <c:pt idx="296">
                  <c:v>189.67</c:v>
                </c:pt>
                <c:pt idx="297">
                  <c:v>308.83</c:v>
                </c:pt>
                <c:pt idx="298">
                  <c:v>443.33</c:v>
                </c:pt>
                <c:pt idx="299">
                  <c:v>441.67</c:v>
                </c:pt>
                <c:pt idx="300">
                  <c:v>443.5</c:v>
                </c:pt>
                <c:pt idx="301">
                  <c:v>450.33</c:v>
                </c:pt>
                <c:pt idx="302">
                  <c:v>450.83</c:v>
                </c:pt>
                <c:pt idx="303">
                  <c:v>451.5</c:v>
                </c:pt>
                <c:pt idx="304">
                  <c:v>451.5</c:v>
                </c:pt>
                <c:pt idx="305">
                  <c:v>450.17</c:v>
                </c:pt>
                <c:pt idx="306">
                  <c:v>450.67</c:v>
                </c:pt>
                <c:pt idx="307">
                  <c:v>449.83</c:v>
                </c:pt>
                <c:pt idx="308">
                  <c:v>453.17</c:v>
                </c:pt>
                <c:pt idx="309">
                  <c:v>444.17</c:v>
                </c:pt>
                <c:pt idx="310">
                  <c:v>305.17</c:v>
                </c:pt>
                <c:pt idx="311">
                  <c:v>194.33</c:v>
                </c:pt>
                <c:pt idx="312">
                  <c:v>190</c:v>
                </c:pt>
                <c:pt idx="313">
                  <c:v>189.83</c:v>
                </c:pt>
                <c:pt idx="314">
                  <c:v>189.67</c:v>
                </c:pt>
                <c:pt idx="315">
                  <c:v>190</c:v>
                </c:pt>
                <c:pt idx="316">
                  <c:v>190.17</c:v>
                </c:pt>
                <c:pt idx="317">
                  <c:v>189.83</c:v>
                </c:pt>
                <c:pt idx="318">
                  <c:v>189.67</c:v>
                </c:pt>
                <c:pt idx="319">
                  <c:v>190</c:v>
                </c:pt>
                <c:pt idx="320">
                  <c:v>189.83</c:v>
                </c:pt>
                <c:pt idx="321">
                  <c:v>190.17</c:v>
                </c:pt>
                <c:pt idx="322">
                  <c:v>208.17</c:v>
                </c:pt>
                <c:pt idx="323">
                  <c:v>376.17</c:v>
                </c:pt>
                <c:pt idx="324">
                  <c:v>457.92</c:v>
                </c:pt>
                <c:pt idx="325">
                  <c:v>534.85</c:v>
                </c:pt>
                <c:pt idx="326">
                  <c:v>576.74</c:v>
                </c:pt>
                <c:pt idx="327">
                  <c:v>568.51</c:v>
                </c:pt>
                <c:pt idx="328">
                  <c:v>373.48</c:v>
                </c:pt>
                <c:pt idx="329">
                  <c:v>9.67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E-3F48-B4A4-58D759A59DFA}"/>
            </c:ext>
          </c:extLst>
        </c:ser>
        <c:ser>
          <c:idx val="3"/>
          <c:order val="3"/>
          <c:tx>
            <c:strRef>
              <c:f>[1]Prices!$I$1</c:f>
              <c:strCache>
                <c:ptCount val="1"/>
                <c:pt idx="0">
                  <c:v>Gas (OCGT) -  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[1]Prices!$I$2:$I$338</c:f>
              <c:numCache>
                <c:formatCode>General</c:formatCode>
                <c:ptCount val="337"/>
                <c:pt idx="0">
                  <c:v>37.35</c:v>
                </c:pt>
                <c:pt idx="1">
                  <c:v>37.369999999999997</c:v>
                </c:pt>
                <c:pt idx="2">
                  <c:v>37.19</c:v>
                </c:pt>
                <c:pt idx="3">
                  <c:v>38.090000000000003</c:v>
                </c:pt>
                <c:pt idx="4">
                  <c:v>38.33</c:v>
                </c:pt>
                <c:pt idx="5">
                  <c:v>37.979999999999997</c:v>
                </c:pt>
                <c:pt idx="6">
                  <c:v>38.64</c:v>
                </c:pt>
                <c:pt idx="7">
                  <c:v>40.81</c:v>
                </c:pt>
                <c:pt idx="8">
                  <c:v>41.5</c:v>
                </c:pt>
                <c:pt idx="9">
                  <c:v>159.38</c:v>
                </c:pt>
                <c:pt idx="10">
                  <c:v>207.84</c:v>
                </c:pt>
                <c:pt idx="11">
                  <c:v>208.9</c:v>
                </c:pt>
                <c:pt idx="12">
                  <c:v>208.73</c:v>
                </c:pt>
                <c:pt idx="13">
                  <c:v>207.75</c:v>
                </c:pt>
                <c:pt idx="14">
                  <c:v>208.19</c:v>
                </c:pt>
                <c:pt idx="15">
                  <c:v>202.7</c:v>
                </c:pt>
                <c:pt idx="16">
                  <c:v>134.81</c:v>
                </c:pt>
                <c:pt idx="17">
                  <c:v>43.05</c:v>
                </c:pt>
                <c:pt idx="18">
                  <c:v>42.96</c:v>
                </c:pt>
                <c:pt idx="19">
                  <c:v>43.81</c:v>
                </c:pt>
                <c:pt idx="20">
                  <c:v>44.19</c:v>
                </c:pt>
                <c:pt idx="21">
                  <c:v>44.26</c:v>
                </c:pt>
                <c:pt idx="22">
                  <c:v>43.43</c:v>
                </c:pt>
                <c:pt idx="23">
                  <c:v>43.2</c:v>
                </c:pt>
                <c:pt idx="24">
                  <c:v>43.07</c:v>
                </c:pt>
                <c:pt idx="25">
                  <c:v>43.06</c:v>
                </c:pt>
                <c:pt idx="26">
                  <c:v>43.13</c:v>
                </c:pt>
                <c:pt idx="27">
                  <c:v>43.12</c:v>
                </c:pt>
                <c:pt idx="28">
                  <c:v>43.23</c:v>
                </c:pt>
                <c:pt idx="29">
                  <c:v>43.27</c:v>
                </c:pt>
                <c:pt idx="30">
                  <c:v>43.26</c:v>
                </c:pt>
                <c:pt idx="31">
                  <c:v>43.36</c:v>
                </c:pt>
                <c:pt idx="32">
                  <c:v>43.29</c:v>
                </c:pt>
                <c:pt idx="33">
                  <c:v>43.34</c:v>
                </c:pt>
                <c:pt idx="34">
                  <c:v>188.84</c:v>
                </c:pt>
                <c:pt idx="35">
                  <c:v>276.87</c:v>
                </c:pt>
                <c:pt idx="36">
                  <c:v>366.33</c:v>
                </c:pt>
                <c:pt idx="37">
                  <c:v>398.12</c:v>
                </c:pt>
                <c:pt idx="38">
                  <c:v>470.75</c:v>
                </c:pt>
                <c:pt idx="39">
                  <c:v>526.64</c:v>
                </c:pt>
                <c:pt idx="40">
                  <c:v>443.49</c:v>
                </c:pt>
                <c:pt idx="41">
                  <c:v>272.06</c:v>
                </c:pt>
                <c:pt idx="42">
                  <c:v>138.19999999999999</c:v>
                </c:pt>
                <c:pt idx="43">
                  <c:v>44.13</c:v>
                </c:pt>
                <c:pt idx="44">
                  <c:v>41.45</c:v>
                </c:pt>
                <c:pt idx="45">
                  <c:v>45.3</c:v>
                </c:pt>
                <c:pt idx="46">
                  <c:v>44.94</c:v>
                </c:pt>
                <c:pt idx="47">
                  <c:v>44.95</c:v>
                </c:pt>
                <c:pt idx="48">
                  <c:v>44.78</c:v>
                </c:pt>
                <c:pt idx="49">
                  <c:v>44.91</c:v>
                </c:pt>
                <c:pt idx="50">
                  <c:v>38.96</c:v>
                </c:pt>
                <c:pt idx="51">
                  <c:v>37.880000000000003</c:v>
                </c:pt>
                <c:pt idx="52">
                  <c:v>37.840000000000003</c:v>
                </c:pt>
                <c:pt idx="53">
                  <c:v>37.83</c:v>
                </c:pt>
                <c:pt idx="54">
                  <c:v>37.880000000000003</c:v>
                </c:pt>
                <c:pt idx="55">
                  <c:v>42.68</c:v>
                </c:pt>
                <c:pt idx="56">
                  <c:v>45.07</c:v>
                </c:pt>
                <c:pt idx="57">
                  <c:v>121.89</c:v>
                </c:pt>
                <c:pt idx="58">
                  <c:v>512.5</c:v>
                </c:pt>
                <c:pt idx="59">
                  <c:v>570.39</c:v>
                </c:pt>
                <c:pt idx="60">
                  <c:v>581.52</c:v>
                </c:pt>
                <c:pt idx="61">
                  <c:v>659.66</c:v>
                </c:pt>
                <c:pt idx="62">
                  <c:v>579.75</c:v>
                </c:pt>
                <c:pt idx="63">
                  <c:v>496.44</c:v>
                </c:pt>
                <c:pt idx="64">
                  <c:v>273.85000000000002</c:v>
                </c:pt>
                <c:pt idx="65">
                  <c:v>43.6</c:v>
                </c:pt>
                <c:pt idx="66">
                  <c:v>43.97</c:v>
                </c:pt>
                <c:pt idx="67">
                  <c:v>43.78</c:v>
                </c:pt>
                <c:pt idx="68">
                  <c:v>43.82</c:v>
                </c:pt>
                <c:pt idx="69">
                  <c:v>43.54</c:v>
                </c:pt>
                <c:pt idx="70">
                  <c:v>43.46</c:v>
                </c:pt>
                <c:pt idx="71">
                  <c:v>43.51</c:v>
                </c:pt>
                <c:pt idx="72">
                  <c:v>43.54</c:v>
                </c:pt>
                <c:pt idx="73">
                  <c:v>43.1</c:v>
                </c:pt>
                <c:pt idx="74">
                  <c:v>43.18</c:v>
                </c:pt>
                <c:pt idx="75">
                  <c:v>42.7</c:v>
                </c:pt>
                <c:pt idx="76">
                  <c:v>42.92</c:v>
                </c:pt>
                <c:pt idx="77">
                  <c:v>42.79</c:v>
                </c:pt>
                <c:pt idx="78">
                  <c:v>42.66</c:v>
                </c:pt>
                <c:pt idx="79">
                  <c:v>42.41</c:v>
                </c:pt>
                <c:pt idx="80">
                  <c:v>43.34</c:v>
                </c:pt>
                <c:pt idx="81">
                  <c:v>44.17</c:v>
                </c:pt>
                <c:pt idx="82">
                  <c:v>44.79</c:v>
                </c:pt>
                <c:pt idx="83">
                  <c:v>44.89</c:v>
                </c:pt>
                <c:pt idx="84">
                  <c:v>44.66</c:v>
                </c:pt>
                <c:pt idx="85">
                  <c:v>44.76</c:v>
                </c:pt>
                <c:pt idx="86">
                  <c:v>44.81</c:v>
                </c:pt>
                <c:pt idx="87">
                  <c:v>42.18</c:v>
                </c:pt>
                <c:pt idx="88">
                  <c:v>37.869999999999997</c:v>
                </c:pt>
                <c:pt idx="89">
                  <c:v>37.840000000000003</c:v>
                </c:pt>
                <c:pt idx="90">
                  <c:v>37.83</c:v>
                </c:pt>
                <c:pt idx="91">
                  <c:v>37.89</c:v>
                </c:pt>
                <c:pt idx="92">
                  <c:v>37.880000000000003</c:v>
                </c:pt>
                <c:pt idx="93">
                  <c:v>37.83</c:v>
                </c:pt>
                <c:pt idx="94">
                  <c:v>37.840000000000003</c:v>
                </c:pt>
                <c:pt idx="95">
                  <c:v>37.89</c:v>
                </c:pt>
                <c:pt idx="96">
                  <c:v>37.840000000000003</c:v>
                </c:pt>
                <c:pt idx="97">
                  <c:v>37.81</c:v>
                </c:pt>
                <c:pt idx="98">
                  <c:v>37.82</c:v>
                </c:pt>
                <c:pt idx="99">
                  <c:v>37.880000000000003</c:v>
                </c:pt>
                <c:pt idx="100">
                  <c:v>37.82</c:v>
                </c:pt>
                <c:pt idx="101">
                  <c:v>37.83</c:v>
                </c:pt>
                <c:pt idx="102">
                  <c:v>37.869999999999997</c:v>
                </c:pt>
                <c:pt idx="103">
                  <c:v>39.4</c:v>
                </c:pt>
                <c:pt idx="104">
                  <c:v>42.78</c:v>
                </c:pt>
                <c:pt idx="105">
                  <c:v>42.55</c:v>
                </c:pt>
                <c:pt idx="106">
                  <c:v>71.83</c:v>
                </c:pt>
                <c:pt idx="107">
                  <c:v>341.22</c:v>
                </c:pt>
                <c:pt idx="108">
                  <c:v>354.04</c:v>
                </c:pt>
                <c:pt idx="109">
                  <c:v>353.65</c:v>
                </c:pt>
                <c:pt idx="110">
                  <c:v>330.67</c:v>
                </c:pt>
                <c:pt idx="111">
                  <c:v>305.45</c:v>
                </c:pt>
                <c:pt idx="112">
                  <c:v>187.96</c:v>
                </c:pt>
                <c:pt idx="113">
                  <c:v>42.95</c:v>
                </c:pt>
                <c:pt idx="114">
                  <c:v>43.15</c:v>
                </c:pt>
                <c:pt idx="115">
                  <c:v>43.14</c:v>
                </c:pt>
                <c:pt idx="116">
                  <c:v>42.51</c:v>
                </c:pt>
                <c:pt idx="117">
                  <c:v>42.52</c:v>
                </c:pt>
                <c:pt idx="118">
                  <c:v>43.16</c:v>
                </c:pt>
                <c:pt idx="119">
                  <c:v>43.36</c:v>
                </c:pt>
                <c:pt idx="120">
                  <c:v>43.19</c:v>
                </c:pt>
                <c:pt idx="121">
                  <c:v>42.53</c:v>
                </c:pt>
                <c:pt idx="122">
                  <c:v>42.41</c:v>
                </c:pt>
                <c:pt idx="123">
                  <c:v>42.87</c:v>
                </c:pt>
                <c:pt idx="124">
                  <c:v>43.16</c:v>
                </c:pt>
                <c:pt idx="125">
                  <c:v>43.29</c:v>
                </c:pt>
                <c:pt idx="126">
                  <c:v>43.32</c:v>
                </c:pt>
                <c:pt idx="127">
                  <c:v>43.3</c:v>
                </c:pt>
                <c:pt idx="128">
                  <c:v>43.4</c:v>
                </c:pt>
                <c:pt idx="129">
                  <c:v>42.88</c:v>
                </c:pt>
                <c:pt idx="130">
                  <c:v>42.53</c:v>
                </c:pt>
                <c:pt idx="131">
                  <c:v>43</c:v>
                </c:pt>
                <c:pt idx="132">
                  <c:v>43.75</c:v>
                </c:pt>
                <c:pt idx="133">
                  <c:v>43.23</c:v>
                </c:pt>
                <c:pt idx="134">
                  <c:v>43.32</c:v>
                </c:pt>
                <c:pt idx="135">
                  <c:v>43.3</c:v>
                </c:pt>
                <c:pt idx="136">
                  <c:v>43.44</c:v>
                </c:pt>
                <c:pt idx="137">
                  <c:v>42.44</c:v>
                </c:pt>
                <c:pt idx="138">
                  <c:v>40.770000000000003</c:v>
                </c:pt>
                <c:pt idx="139">
                  <c:v>38.119999999999997</c:v>
                </c:pt>
                <c:pt idx="140">
                  <c:v>40.619999999999997</c:v>
                </c:pt>
                <c:pt idx="141">
                  <c:v>38.700000000000003</c:v>
                </c:pt>
                <c:pt idx="142">
                  <c:v>38.369999999999997</c:v>
                </c:pt>
                <c:pt idx="143">
                  <c:v>38.18</c:v>
                </c:pt>
                <c:pt idx="144">
                  <c:v>37.9</c:v>
                </c:pt>
                <c:pt idx="145">
                  <c:v>37.869999999999997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37.86</c:v>
                </c:pt>
                <c:pt idx="149">
                  <c:v>37.880000000000003</c:v>
                </c:pt>
                <c:pt idx="150">
                  <c:v>37.799999999999997</c:v>
                </c:pt>
                <c:pt idx="151">
                  <c:v>39.65</c:v>
                </c:pt>
                <c:pt idx="152">
                  <c:v>47.35</c:v>
                </c:pt>
                <c:pt idx="153">
                  <c:v>475.02</c:v>
                </c:pt>
                <c:pt idx="154">
                  <c:v>980.74</c:v>
                </c:pt>
                <c:pt idx="155">
                  <c:v>1022.08</c:v>
                </c:pt>
                <c:pt idx="156">
                  <c:v>1039.98</c:v>
                </c:pt>
                <c:pt idx="157">
                  <c:v>1035.82</c:v>
                </c:pt>
                <c:pt idx="158">
                  <c:v>1023.49</c:v>
                </c:pt>
                <c:pt idx="159">
                  <c:v>963.58</c:v>
                </c:pt>
                <c:pt idx="160">
                  <c:v>822.62</c:v>
                </c:pt>
                <c:pt idx="161">
                  <c:v>641.17999999999995</c:v>
                </c:pt>
                <c:pt idx="162">
                  <c:v>359.13</c:v>
                </c:pt>
                <c:pt idx="163">
                  <c:v>340.06</c:v>
                </c:pt>
                <c:pt idx="164">
                  <c:v>56.61</c:v>
                </c:pt>
                <c:pt idx="165">
                  <c:v>44.47</c:v>
                </c:pt>
                <c:pt idx="166">
                  <c:v>44.39</c:v>
                </c:pt>
                <c:pt idx="167">
                  <c:v>44.6</c:v>
                </c:pt>
                <c:pt idx="168">
                  <c:v>44.65</c:v>
                </c:pt>
                <c:pt idx="169">
                  <c:v>44.75</c:v>
                </c:pt>
                <c:pt idx="170">
                  <c:v>44.91</c:v>
                </c:pt>
                <c:pt idx="171">
                  <c:v>44.97</c:v>
                </c:pt>
                <c:pt idx="172">
                  <c:v>45.02</c:v>
                </c:pt>
                <c:pt idx="173">
                  <c:v>44.9</c:v>
                </c:pt>
                <c:pt idx="174">
                  <c:v>44.78</c:v>
                </c:pt>
                <c:pt idx="175">
                  <c:v>43.49</c:v>
                </c:pt>
                <c:pt idx="176">
                  <c:v>43.71</c:v>
                </c:pt>
                <c:pt idx="177">
                  <c:v>44.22</c:v>
                </c:pt>
                <c:pt idx="178">
                  <c:v>44.19</c:v>
                </c:pt>
                <c:pt idx="179">
                  <c:v>42.77</c:v>
                </c:pt>
                <c:pt idx="180">
                  <c:v>173.25</c:v>
                </c:pt>
                <c:pt idx="181">
                  <c:v>389.81</c:v>
                </c:pt>
                <c:pt idx="182">
                  <c:v>526.04999999999995</c:v>
                </c:pt>
                <c:pt idx="183">
                  <c:v>525.49</c:v>
                </c:pt>
                <c:pt idx="184">
                  <c:v>430.01</c:v>
                </c:pt>
                <c:pt idx="185">
                  <c:v>322.52999999999997</c:v>
                </c:pt>
                <c:pt idx="186">
                  <c:v>202.9</c:v>
                </c:pt>
                <c:pt idx="187">
                  <c:v>57.49</c:v>
                </c:pt>
                <c:pt idx="188">
                  <c:v>41.71</c:v>
                </c:pt>
                <c:pt idx="189">
                  <c:v>41.62</c:v>
                </c:pt>
                <c:pt idx="190">
                  <c:v>41.34</c:v>
                </c:pt>
                <c:pt idx="191">
                  <c:v>42.69</c:v>
                </c:pt>
                <c:pt idx="192">
                  <c:v>43.52</c:v>
                </c:pt>
                <c:pt idx="193">
                  <c:v>43.74</c:v>
                </c:pt>
                <c:pt idx="194">
                  <c:v>44.38</c:v>
                </c:pt>
                <c:pt idx="195">
                  <c:v>43.81</c:v>
                </c:pt>
                <c:pt idx="196">
                  <c:v>44.02</c:v>
                </c:pt>
                <c:pt idx="197">
                  <c:v>43.92</c:v>
                </c:pt>
                <c:pt idx="198">
                  <c:v>43.44</c:v>
                </c:pt>
                <c:pt idx="199">
                  <c:v>87.34</c:v>
                </c:pt>
                <c:pt idx="200">
                  <c:v>435.09</c:v>
                </c:pt>
                <c:pt idx="201">
                  <c:v>861.28</c:v>
                </c:pt>
                <c:pt idx="202">
                  <c:v>1037.73</c:v>
                </c:pt>
                <c:pt idx="203">
                  <c:v>1035.6199999999999</c:v>
                </c:pt>
                <c:pt idx="204">
                  <c:v>1038.24</c:v>
                </c:pt>
                <c:pt idx="205">
                  <c:v>1037.17</c:v>
                </c:pt>
                <c:pt idx="206">
                  <c:v>1036</c:v>
                </c:pt>
                <c:pt idx="207">
                  <c:v>1028.56</c:v>
                </c:pt>
                <c:pt idx="208">
                  <c:v>1028.19</c:v>
                </c:pt>
                <c:pt idx="209">
                  <c:v>998.64</c:v>
                </c:pt>
                <c:pt idx="210">
                  <c:v>656.22</c:v>
                </c:pt>
                <c:pt idx="211">
                  <c:v>551.91999999999996</c:v>
                </c:pt>
                <c:pt idx="212">
                  <c:v>334.57</c:v>
                </c:pt>
                <c:pt idx="213">
                  <c:v>67.81</c:v>
                </c:pt>
                <c:pt idx="214">
                  <c:v>45.33</c:v>
                </c:pt>
                <c:pt idx="215">
                  <c:v>45.1</c:v>
                </c:pt>
                <c:pt idx="216">
                  <c:v>44.54</c:v>
                </c:pt>
                <c:pt idx="217">
                  <c:v>44.21</c:v>
                </c:pt>
                <c:pt idx="218">
                  <c:v>42.96</c:v>
                </c:pt>
                <c:pt idx="219">
                  <c:v>43</c:v>
                </c:pt>
                <c:pt idx="220">
                  <c:v>43.36</c:v>
                </c:pt>
                <c:pt idx="221">
                  <c:v>43.2</c:v>
                </c:pt>
                <c:pt idx="222">
                  <c:v>43.31</c:v>
                </c:pt>
                <c:pt idx="223">
                  <c:v>42.78</c:v>
                </c:pt>
                <c:pt idx="224">
                  <c:v>42.48</c:v>
                </c:pt>
                <c:pt idx="225">
                  <c:v>41.28</c:v>
                </c:pt>
                <c:pt idx="226">
                  <c:v>40.58</c:v>
                </c:pt>
                <c:pt idx="227">
                  <c:v>62.36</c:v>
                </c:pt>
                <c:pt idx="228">
                  <c:v>353.98</c:v>
                </c:pt>
                <c:pt idx="229">
                  <c:v>795.02</c:v>
                </c:pt>
                <c:pt idx="230">
                  <c:v>871.8</c:v>
                </c:pt>
                <c:pt idx="231">
                  <c:v>852.25</c:v>
                </c:pt>
                <c:pt idx="232">
                  <c:v>609.87</c:v>
                </c:pt>
                <c:pt idx="233">
                  <c:v>370.52</c:v>
                </c:pt>
                <c:pt idx="234">
                  <c:v>71.680000000000007</c:v>
                </c:pt>
                <c:pt idx="235">
                  <c:v>36.799999999999997</c:v>
                </c:pt>
                <c:pt idx="236">
                  <c:v>36.56</c:v>
                </c:pt>
                <c:pt idx="237">
                  <c:v>36.17</c:v>
                </c:pt>
                <c:pt idx="238">
                  <c:v>35.770000000000003</c:v>
                </c:pt>
                <c:pt idx="239">
                  <c:v>35.65</c:v>
                </c:pt>
                <c:pt idx="240">
                  <c:v>36.44</c:v>
                </c:pt>
                <c:pt idx="241">
                  <c:v>37.31</c:v>
                </c:pt>
                <c:pt idx="242">
                  <c:v>36.93</c:v>
                </c:pt>
                <c:pt idx="243">
                  <c:v>36.880000000000003</c:v>
                </c:pt>
                <c:pt idx="244">
                  <c:v>37.08</c:v>
                </c:pt>
                <c:pt idx="245">
                  <c:v>37.17</c:v>
                </c:pt>
                <c:pt idx="246">
                  <c:v>37.840000000000003</c:v>
                </c:pt>
                <c:pt idx="247">
                  <c:v>103.98</c:v>
                </c:pt>
                <c:pt idx="248">
                  <c:v>544.23</c:v>
                </c:pt>
                <c:pt idx="249">
                  <c:v>727.54</c:v>
                </c:pt>
                <c:pt idx="250">
                  <c:v>1026.98</c:v>
                </c:pt>
                <c:pt idx="251">
                  <c:v>1039.6400000000001</c:v>
                </c:pt>
                <c:pt idx="252">
                  <c:v>1032.6600000000001</c:v>
                </c:pt>
                <c:pt idx="253">
                  <c:v>1023.79</c:v>
                </c:pt>
                <c:pt idx="254">
                  <c:v>1042.5</c:v>
                </c:pt>
                <c:pt idx="255">
                  <c:v>1036.0999999999999</c:v>
                </c:pt>
                <c:pt idx="256">
                  <c:v>1030.04</c:v>
                </c:pt>
                <c:pt idx="257">
                  <c:v>855.34</c:v>
                </c:pt>
                <c:pt idx="258">
                  <c:v>687.79</c:v>
                </c:pt>
                <c:pt idx="259">
                  <c:v>359.53</c:v>
                </c:pt>
                <c:pt idx="260">
                  <c:v>155.96</c:v>
                </c:pt>
                <c:pt idx="261">
                  <c:v>46.71</c:v>
                </c:pt>
                <c:pt idx="262">
                  <c:v>41.68</c:v>
                </c:pt>
                <c:pt idx="263">
                  <c:v>41.52</c:v>
                </c:pt>
                <c:pt idx="264">
                  <c:v>41.75</c:v>
                </c:pt>
                <c:pt idx="265">
                  <c:v>41.97</c:v>
                </c:pt>
                <c:pt idx="266">
                  <c:v>42.18</c:v>
                </c:pt>
                <c:pt idx="267">
                  <c:v>41.86</c:v>
                </c:pt>
                <c:pt idx="268">
                  <c:v>41.82</c:v>
                </c:pt>
                <c:pt idx="269">
                  <c:v>41.55</c:v>
                </c:pt>
                <c:pt idx="270">
                  <c:v>41.79</c:v>
                </c:pt>
                <c:pt idx="271">
                  <c:v>41.67</c:v>
                </c:pt>
                <c:pt idx="272">
                  <c:v>41.39</c:v>
                </c:pt>
                <c:pt idx="273">
                  <c:v>41.15</c:v>
                </c:pt>
                <c:pt idx="274">
                  <c:v>41.32</c:v>
                </c:pt>
                <c:pt idx="275">
                  <c:v>40.590000000000003</c:v>
                </c:pt>
                <c:pt idx="276">
                  <c:v>136.79</c:v>
                </c:pt>
                <c:pt idx="277">
                  <c:v>388.59</c:v>
                </c:pt>
                <c:pt idx="278">
                  <c:v>374.39</c:v>
                </c:pt>
                <c:pt idx="279">
                  <c:v>374.46</c:v>
                </c:pt>
                <c:pt idx="280">
                  <c:v>256.95</c:v>
                </c:pt>
                <c:pt idx="281">
                  <c:v>41.48</c:v>
                </c:pt>
                <c:pt idx="282">
                  <c:v>41.56</c:v>
                </c:pt>
                <c:pt idx="283">
                  <c:v>41.74</c:v>
                </c:pt>
                <c:pt idx="284">
                  <c:v>40.880000000000003</c:v>
                </c:pt>
                <c:pt idx="285">
                  <c:v>40.71</c:v>
                </c:pt>
                <c:pt idx="286">
                  <c:v>39.68</c:v>
                </c:pt>
                <c:pt idx="287">
                  <c:v>37.090000000000003</c:v>
                </c:pt>
                <c:pt idx="288">
                  <c:v>34.85</c:v>
                </c:pt>
                <c:pt idx="289">
                  <c:v>34.19</c:v>
                </c:pt>
                <c:pt idx="290">
                  <c:v>32.159999999999997</c:v>
                </c:pt>
                <c:pt idx="291">
                  <c:v>30.94</c:v>
                </c:pt>
                <c:pt idx="292">
                  <c:v>32.28</c:v>
                </c:pt>
                <c:pt idx="293">
                  <c:v>33.39</c:v>
                </c:pt>
                <c:pt idx="294">
                  <c:v>34.92</c:v>
                </c:pt>
                <c:pt idx="295">
                  <c:v>36.58</c:v>
                </c:pt>
                <c:pt idx="296">
                  <c:v>36.67</c:v>
                </c:pt>
                <c:pt idx="297">
                  <c:v>163.5</c:v>
                </c:pt>
                <c:pt idx="298">
                  <c:v>500.54</c:v>
                </c:pt>
                <c:pt idx="299">
                  <c:v>699.88</c:v>
                </c:pt>
                <c:pt idx="300">
                  <c:v>701.87</c:v>
                </c:pt>
                <c:pt idx="301">
                  <c:v>704.97</c:v>
                </c:pt>
                <c:pt idx="302">
                  <c:v>703.35</c:v>
                </c:pt>
                <c:pt idx="303">
                  <c:v>703.88</c:v>
                </c:pt>
                <c:pt idx="304">
                  <c:v>704.96</c:v>
                </c:pt>
                <c:pt idx="305">
                  <c:v>621.1</c:v>
                </c:pt>
                <c:pt idx="306">
                  <c:v>350.09</c:v>
                </c:pt>
                <c:pt idx="307">
                  <c:v>195.03</c:v>
                </c:pt>
                <c:pt idx="308">
                  <c:v>52.8</c:v>
                </c:pt>
                <c:pt idx="309">
                  <c:v>42.55</c:v>
                </c:pt>
                <c:pt idx="310">
                  <c:v>42.53</c:v>
                </c:pt>
                <c:pt idx="311">
                  <c:v>42.68</c:v>
                </c:pt>
                <c:pt idx="312">
                  <c:v>42.71</c:v>
                </c:pt>
                <c:pt idx="313">
                  <c:v>42.84</c:v>
                </c:pt>
                <c:pt idx="314">
                  <c:v>42.78</c:v>
                </c:pt>
                <c:pt idx="315">
                  <c:v>42.9</c:v>
                </c:pt>
                <c:pt idx="316">
                  <c:v>43.32</c:v>
                </c:pt>
                <c:pt idx="317">
                  <c:v>43</c:v>
                </c:pt>
                <c:pt idx="318">
                  <c:v>42.73</c:v>
                </c:pt>
                <c:pt idx="319">
                  <c:v>43.12</c:v>
                </c:pt>
                <c:pt idx="320">
                  <c:v>43.54</c:v>
                </c:pt>
                <c:pt idx="321">
                  <c:v>43.19</c:v>
                </c:pt>
                <c:pt idx="322">
                  <c:v>43.6</c:v>
                </c:pt>
                <c:pt idx="323">
                  <c:v>43.57</c:v>
                </c:pt>
                <c:pt idx="324">
                  <c:v>43.84</c:v>
                </c:pt>
                <c:pt idx="325">
                  <c:v>43.74</c:v>
                </c:pt>
                <c:pt idx="326">
                  <c:v>43.56</c:v>
                </c:pt>
                <c:pt idx="327">
                  <c:v>43.51</c:v>
                </c:pt>
                <c:pt idx="328">
                  <c:v>43.92</c:v>
                </c:pt>
                <c:pt idx="329">
                  <c:v>43.94</c:v>
                </c:pt>
                <c:pt idx="330">
                  <c:v>43.91</c:v>
                </c:pt>
                <c:pt idx="331">
                  <c:v>43.76</c:v>
                </c:pt>
                <c:pt idx="332">
                  <c:v>42.91</c:v>
                </c:pt>
                <c:pt idx="333">
                  <c:v>42.78</c:v>
                </c:pt>
                <c:pt idx="334">
                  <c:v>43.28</c:v>
                </c:pt>
                <c:pt idx="335">
                  <c:v>43.43</c:v>
                </c:pt>
                <c:pt idx="336">
                  <c:v>43.58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CE-3F48-B4A4-58D759A59DFA}"/>
            </c:ext>
          </c:extLst>
        </c:ser>
        <c:ser>
          <c:idx val="4"/>
          <c:order val="4"/>
          <c:tx>
            <c:strRef>
              <c:f>[1]Prices!$J$1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[1]Prices!$J$2:$J$338</c:f>
              <c:numCache>
                <c:formatCode>General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CE-3F48-B4A4-58D759A59DFA}"/>
            </c:ext>
          </c:extLst>
        </c:ser>
        <c:ser>
          <c:idx val="5"/>
          <c:order val="5"/>
          <c:tx>
            <c:strRef>
              <c:f>[1]Prices!$K$1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[1]Prices!$K$2:$K$338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CE-3F48-B4A4-58D759A59DFA}"/>
            </c:ext>
          </c:extLst>
        </c:ser>
        <c:ser>
          <c:idx val="6"/>
          <c:order val="6"/>
          <c:tx>
            <c:strRef>
              <c:f>[1]Prices!$L$1</c:f>
              <c:strCache>
                <c:ptCount val="1"/>
                <c:pt idx="0">
                  <c:v>Wind -  MW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[1]Prices!$L$2:$L$338</c:f>
              <c:numCache>
                <c:formatCode>General</c:formatCode>
                <c:ptCount val="337"/>
                <c:pt idx="0">
                  <c:v>1569.25</c:v>
                </c:pt>
                <c:pt idx="1">
                  <c:v>1626.93</c:v>
                </c:pt>
                <c:pt idx="2">
                  <c:v>1717.61</c:v>
                </c:pt>
                <c:pt idx="3">
                  <c:v>1735.37</c:v>
                </c:pt>
                <c:pt idx="4">
                  <c:v>1759.84</c:v>
                </c:pt>
                <c:pt idx="5">
                  <c:v>1832.99</c:v>
                </c:pt>
                <c:pt idx="6">
                  <c:v>1820.41</c:v>
                </c:pt>
                <c:pt idx="7">
                  <c:v>1870.99</c:v>
                </c:pt>
                <c:pt idx="8">
                  <c:v>1904.08</c:v>
                </c:pt>
                <c:pt idx="9">
                  <c:v>1924.31</c:v>
                </c:pt>
                <c:pt idx="10">
                  <c:v>1944.45</c:v>
                </c:pt>
                <c:pt idx="11">
                  <c:v>1999.15</c:v>
                </c:pt>
                <c:pt idx="12">
                  <c:v>2028.92</c:v>
                </c:pt>
                <c:pt idx="13">
                  <c:v>1986.17</c:v>
                </c:pt>
                <c:pt idx="14">
                  <c:v>1944.55</c:v>
                </c:pt>
                <c:pt idx="15">
                  <c:v>1893.48</c:v>
                </c:pt>
                <c:pt idx="16">
                  <c:v>1840.63</c:v>
                </c:pt>
                <c:pt idx="17">
                  <c:v>1711.43</c:v>
                </c:pt>
                <c:pt idx="18">
                  <c:v>1597.28</c:v>
                </c:pt>
                <c:pt idx="19">
                  <c:v>1542.07</c:v>
                </c:pt>
                <c:pt idx="20">
                  <c:v>1524.18</c:v>
                </c:pt>
                <c:pt idx="21">
                  <c:v>1476.49</c:v>
                </c:pt>
                <c:pt idx="22">
                  <c:v>1382.8</c:v>
                </c:pt>
                <c:pt idx="23">
                  <c:v>1309.52</c:v>
                </c:pt>
                <c:pt idx="24">
                  <c:v>1326.11</c:v>
                </c:pt>
                <c:pt idx="25">
                  <c:v>1360.1</c:v>
                </c:pt>
                <c:pt idx="26">
                  <c:v>1420.98</c:v>
                </c:pt>
                <c:pt idx="27">
                  <c:v>1340.77</c:v>
                </c:pt>
                <c:pt idx="28">
                  <c:v>1443.86</c:v>
                </c:pt>
                <c:pt idx="29">
                  <c:v>1499.18</c:v>
                </c:pt>
                <c:pt idx="30">
                  <c:v>1488.17</c:v>
                </c:pt>
                <c:pt idx="31">
                  <c:v>1509.53</c:v>
                </c:pt>
                <c:pt idx="32">
                  <c:v>1425.83</c:v>
                </c:pt>
                <c:pt idx="33">
                  <c:v>1482.43</c:v>
                </c:pt>
                <c:pt idx="34">
                  <c:v>1371.53</c:v>
                </c:pt>
                <c:pt idx="35">
                  <c:v>1262.98</c:v>
                </c:pt>
                <c:pt idx="36">
                  <c:v>1211.46</c:v>
                </c:pt>
                <c:pt idx="37">
                  <c:v>1196.57</c:v>
                </c:pt>
                <c:pt idx="38">
                  <c:v>1088.75</c:v>
                </c:pt>
                <c:pt idx="39">
                  <c:v>1027.05</c:v>
                </c:pt>
                <c:pt idx="40">
                  <c:v>922.26</c:v>
                </c:pt>
                <c:pt idx="41">
                  <c:v>928.76</c:v>
                </c:pt>
                <c:pt idx="42">
                  <c:v>954.13</c:v>
                </c:pt>
                <c:pt idx="43">
                  <c:v>950.09</c:v>
                </c:pt>
                <c:pt idx="44">
                  <c:v>940.09</c:v>
                </c:pt>
                <c:pt idx="45">
                  <c:v>934</c:v>
                </c:pt>
                <c:pt idx="46">
                  <c:v>990.65</c:v>
                </c:pt>
                <c:pt idx="47">
                  <c:v>997.2</c:v>
                </c:pt>
                <c:pt idx="48">
                  <c:v>942.36</c:v>
                </c:pt>
                <c:pt idx="49">
                  <c:v>897.81</c:v>
                </c:pt>
                <c:pt idx="50">
                  <c:v>937.44</c:v>
                </c:pt>
                <c:pt idx="51">
                  <c:v>886.17</c:v>
                </c:pt>
                <c:pt idx="52">
                  <c:v>882.42</c:v>
                </c:pt>
                <c:pt idx="53">
                  <c:v>948.74</c:v>
                </c:pt>
                <c:pt idx="54">
                  <c:v>972.05</c:v>
                </c:pt>
                <c:pt idx="55">
                  <c:v>928.08</c:v>
                </c:pt>
                <c:pt idx="56">
                  <c:v>936.68</c:v>
                </c:pt>
                <c:pt idx="57">
                  <c:v>842.16</c:v>
                </c:pt>
                <c:pt idx="58">
                  <c:v>849.72</c:v>
                </c:pt>
                <c:pt idx="59">
                  <c:v>918.11</c:v>
                </c:pt>
                <c:pt idx="60">
                  <c:v>892.72</c:v>
                </c:pt>
                <c:pt idx="61">
                  <c:v>834.08</c:v>
                </c:pt>
                <c:pt idx="62">
                  <c:v>773.64</c:v>
                </c:pt>
                <c:pt idx="63">
                  <c:v>612.73</c:v>
                </c:pt>
                <c:pt idx="64">
                  <c:v>613.29999999999995</c:v>
                </c:pt>
                <c:pt idx="65">
                  <c:v>679.39</c:v>
                </c:pt>
                <c:pt idx="66">
                  <c:v>731.77</c:v>
                </c:pt>
                <c:pt idx="67">
                  <c:v>696.27</c:v>
                </c:pt>
                <c:pt idx="68">
                  <c:v>658.89</c:v>
                </c:pt>
                <c:pt idx="69">
                  <c:v>637.21</c:v>
                </c:pt>
                <c:pt idx="70">
                  <c:v>532.70000000000005</c:v>
                </c:pt>
                <c:pt idx="71">
                  <c:v>502.98</c:v>
                </c:pt>
                <c:pt idx="72">
                  <c:v>492.94</c:v>
                </c:pt>
                <c:pt idx="73">
                  <c:v>516.82000000000005</c:v>
                </c:pt>
                <c:pt idx="74">
                  <c:v>616.01</c:v>
                </c:pt>
                <c:pt idx="75">
                  <c:v>587.45000000000005</c:v>
                </c:pt>
                <c:pt idx="76">
                  <c:v>458.51</c:v>
                </c:pt>
                <c:pt idx="77">
                  <c:v>495.65</c:v>
                </c:pt>
                <c:pt idx="78">
                  <c:v>560.57000000000005</c:v>
                </c:pt>
                <c:pt idx="79">
                  <c:v>565.66999999999996</c:v>
                </c:pt>
                <c:pt idx="80">
                  <c:v>572.49</c:v>
                </c:pt>
                <c:pt idx="81">
                  <c:v>561.38</c:v>
                </c:pt>
                <c:pt idx="82">
                  <c:v>539.91999999999996</c:v>
                </c:pt>
                <c:pt idx="83">
                  <c:v>529.91</c:v>
                </c:pt>
                <c:pt idx="84">
                  <c:v>542.15</c:v>
                </c:pt>
                <c:pt idx="85">
                  <c:v>548.48</c:v>
                </c:pt>
                <c:pt idx="86">
                  <c:v>650.45000000000005</c:v>
                </c:pt>
                <c:pt idx="87">
                  <c:v>815.1</c:v>
                </c:pt>
                <c:pt idx="88">
                  <c:v>909.3</c:v>
                </c:pt>
                <c:pt idx="89">
                  <c:v>852.04</c:v>
                </c:pt>
                <c:pt idx="90">
                  <c:v>822.65</c:v>
                </c:pt>
                <c:pt idx="91">
                  <c:v>862.94</c:v>
                </c:pt>
                <c:pt idx="92">
                  <c:v>914.75</c:v>
                </c:pt>
                <c:pt idx="93">
                  <c:v>981.91</c:v>
                </c:pt>
                <c:pt idx="94">
                  <c:v>968.43</c:v>
                </c:pt>
                <c:pt idx="95">
                  <c:v>1108.4000000000001</c:v>
                </c:pt>
                <c:pt idx="96">
                  <c:v>1244.3499999999999</c:v>
                </c:pt>
                <c:pt idx="97">
                  <c:v>1347.9</c:v>
                </c:pt>
                <c:pt idx="98">
                  <c:v>1414.94</c:v>
                </c:pt>
                <c:pt idx="99">
                  <c:v>1447.94</c:v>
                </c:pt>
                <c:pt idx="100">
                  <c:v>1471.44</c:v>
                </c:pt>
                <c:pt idx="101">
                  <c:v>1450.15</c:v>
                </c:pt>
                <c:pt idx="102">
                  <c:v>1513.1</c:v>
                </c:pt>
                <c:pt idx="103">
                  <c:v>1592.88</c:v>
                </c:pt>
                <c:pt idx="104">
                  <c:v>1627.76</c:v>
                </c:pt>
                <c:pt idx="105">
                  <c:v>1637.74</c:v>
                </c:pt>
                <c:pt idx="106">
                  <c:v>1641.12</c:v>
                </c:pt>
                <c:pt idx="107">
                  <c:v>1690.78</c:v>
                </c:pt>
                <c:pt idx="108">
                  <c:v>1801.5</c:v>
                </c:pt>
                <c:pt idx="109">
                  <c:v>1949.97</c:v>
                </c:pt>
                <c:pt idx="110">
                  <c:v>2046.18</c:v>
                </c:pt>
                <c:pt idx="111">
                  <c:v>2096.2800000000002</c:v>
                </c:pt>
                <c:pt idx="112">
                  <c:v>2138.23</c:v>
                </c:pt>
                <c:pt idx="113">
                  <c:v>2158.5300000000002</c:v>
                </c:pt>
                <c:pt idx="114">
                  <c:v>2151.7600000000002</c:v>
                </c:pt>
                <c:pt idx="115">
                  <c:v>2106.94</c:v>
                </c:pt>
                <c:pt idx="116">
                  <c:v>2065.66</c:v>
                </c:pt>
                <c:pt idx="117">
                  <c:v>2095.64</c:v>
                </c:pt>
                <c:pt idx="118">
                  <c:v>2144.85</c:v>
                </c:pt>
                <c:pt idx="119">
                  <c:v>2190.79</c:v>
                </c:pt>
                <c:pt idx="120">
                  <c:v>2233.4299999999998</c:v>
                </c:pt>
                <c:pt idx="121">
                  <c:v>2282.92</c:v>
                </c:pt>
                <c:pt idx="122">
                  <c:v>2301.21</c:v>
                </c:pt>
                <c:pt idx="123">
                  <c:v>2267.08</c:v>
                </c:pt>
                <c:pt idx="124">
                  <c:v>2249.91</c:v>
                </c:pt>
                <c:pt idx="125">
                  <c:v>2264.0500000000002</c:v>
                </c:pt>
                <c:pt idx="126">
                  <c:v>2116.71</c:v>
                </c:pt>
                <c:pt idx="127">
                  <c:v>2004.46</c:v>
                </c:pt>
                <c:pt idx="128">
                  <c:v>1914.67</c:v>
                </c:pt>
                <c:pt idx="129">
                  <c:v>1963.07</c:v>
                </c:pt>
                <c:pt idx="130">
                  <c:v>1767.6</c:v>
                </c:pt>
                <c:pt idx="131">
                  <c:v>1750.97</c:v>
                </c:pt>
                <c:pt idx="132">
                  <c:v>1760.49</c:v>
                </c:pt>
                <c:pt idx="133">
                  <c:v>1750.08</c:v>
                </c:pt>
                <c:pt idx="134">
                  <c:v>1818.48</c:v>
                </c:pt>
                <c:pt idx="135">
                  <c:v>1670.48</c:v>
                </c:pt>
                <c:pt idx="136">
                  <c:v>1447.65</c:v>
                </c:pt>
                <c:pt idx="137">
                  <c:v>1171.56</c:v>
                </c:pt>
                <c:pt idx="138">
                  <c:v>1027.68</c:v>
                </c:pt>
                <c:pt idx="139">
                  <c:v>960.08</c:v>
                </c:pt>
                <c:pt idx="140">
                  <c:v>905.81</c:v>
                </c:pt>
                <c:pt idx="141">
                  <c:v>892.28</c:v>
                </c:pt>
                <c:pt idx="142">
                  <c:v>952.99</c:v>
                </c:pt>
                <c:pt idx="143">
                  <c:v>940.11</c:v>
                </c:pt>
                <c:pt idx="144">
                  <c:v>1044</c:v>
                </c:pt>
                <c:pt idx="145">
                  <c:v>1128.8499999999999</c:v>
                </c:pt>
                <c:pt idx="146">
                  <c:v>1011.38</c:v>
                </c:pt>
                <c:pt idx="147">
                  <c:v>910.82</c:v>
                </c:pt>
                <c:pt idx="148">
                  <c:v>911.78</c:v>
                </c:pt>
                <c:pt idx="149">
                  <c:v>948.64</c:v>
                </c:pt>
                <c:pt idx="150">
                  <c:v>981.61</c:v>
                </c:pt>
                <c:pt idx="151">
                  <c:v>954.63</c:v>
                </c:pt>
                <c:pt idx="152">
                  <c:v>873.6</c:v>
                </c:pt>
                <c:pt idx="153">
                  <c:v>806.58</c:v>
                </c:pt>
                <c:pt idx="154">
                  <c:v>735.13</c:v>
                </c:pt>
                <c:pt idx="155">
                  <c:v>698.01</c:v>
                </c:pt>
                <c:pt idx="156">
                  <c:v>757.01</c:v>
                </c:pt>
                <c:pt idx="157">
                  <c:v>899.33</c:v>
                </c:pt>
                <c:pt idx="158">
                  <c:v>982.25</c:v>
                </c:pt>
                <c:pt idx="159">
                  <c:v>906.66</c:v>
                </c:pt>
                <c:pt idx="160">
                  <c:v>958.46</c:v>
                </c:pt>
                <c:pt idx="161">
                  <c:v>938.8</c:v>
                </c:pt>
                <c:pt idx="162">
                  <c:v>1015.38</c:v>
                </c:pt>
                <c:pt idx="163">
                  <c:v>1087.1199999999999</c:v>
                </c:pt>
                <c:pt idx="164">
                  <c:v>1082.3599999999999</c:v>
                </c:pt>
                <c:pt idx="165">
                  <c:v>1114.56</c:v>
                </c:pt>
                <c:pt idx="166">
                  <c:v>1073.1500000000001</c:v>
                </c:pt>
                <c:pt idx="167">
                  <c:v>1072.5999999999999</c:v>
                </c:pt>
                <c:pt idx="168">
                  <c:v>911.54</c:v>
                </c:pt>
                <c:pt idx="169">
                  <c:v>777.82</c:v>
                </c:pt>
                <c:pt idx="170">
                  <c:v>699.34</c:v>
                </c:pt>
                <c:pt idx="171">
                  <c:v>808.09</c:v>
                </c:pt>
                <c:pt idx="172">
                  <c:v>800.59</c:v>
                </c:pt>
                <c:pt idx="173">
                  <c:v>717.32</c:v>
                </c:pt>
                <c:pt idx="174">
                  <c:v>700.78</c:v>
                </c:pt>
                <c:pt idx="175">
                  <c:v>777.11</c:v>
                </c:pt>
                <c:pt idx="176">
                  <c:v>955.64</c:v>
                </c:pt>
                <c:pt idx="177">
                  <c:v>1134.6600000000001</c:v>
                </c:pt>
                <c:pt idx="178">
                  <c:v>1342.23</c:v>
                </c:pt>
                <c:pt idx="179">
                  <c:v>1525.44</c:v>
                </c:pt>
                <c:pt idx="180">
                  <c:v>1567.48</c:v>
                </c:pt>
                <c:pt idx="181">
                  <c:v>1591.65</c:v>
                </c:pt>
                <c:pt idx="182">
                  <c:v>1593.9</c:v>
                </c:pt>
                <c:pt idx="183">
                  <c:v>1578.1</c:v>
                </c:pt>
                <c:pt idx="184">
                  <c:v>1422.89</c:v>
                </c:pt>
                <c:pt idx="185">
                  <c:v>1308.97</c:v>
                </c:pt>
                <c:pt idx="186">
                  <c:v>1227.52</c:v>
                </c:pt>
                <c:pt idx="187">
                  <c:v>1129.9100000000001</c:v>
                </c:pt>
                <c:pt idx="188">
                  <c:v>1128.6500000000001</c:v>
                </c:pt>
                <c:pt idx="189">
                  <c:v>1198.98</c:v>
                </c:pt>
                <c:pt idx="190">
                  <c:v>1211.49</c:v>
                </c:pt>
                <c:pt idx="191">
                  <c:v>1184.02</c:v>
                </c:pt>
                <c:pt idx="192">
                  <c:v>1205.7</c:v>
                </c:pt>
                <c:pt idx="193">
                  <c:v>1253.3800000000001</c:v>
                </c:pt>
                <c:pt idx="194">
                  <c:v>1200.22</c:v>
                </c:pt>
                <c:pt idx="195">
                  <c:v>1089.4000000000001</c:v>
                </c:pt>
                <c:pt idx="196">
                  <c:v>1085.81</c:v>
                </c:pt>
                <c:pt idx="197">
                  <c:v>1100.31</c:v>
                </c:pt>
                <c:pt idx="198">
                  <c:v>1028.5</c:v>
                </c:pt>
                <c:pt idx="199">
                  <c:v>1116.44</c:v>
                </c:pt>
                <c:pt idx="200">
                  <c:v>1114.25</c:v>
                </c:pt>
                <c:pt idx="201">
                  <c:v>1027.3699999999999</c:v>
                </c:pt>
                <c:pt idx="202">
                  <c:v>1008.6</c:v>
                </c:pt>
                <c:pt idx="203">
                  <c:v>1065.6500000000001</c:v>
                </c:pt>
                <c:pt idx="204">
                  <c:v>1164.3399999999999</c:v>
                </c:pt>
                <c:pt idx="205">
                  <c:v>1239.46</c:v>
                </c:pt>
                <c:pt idx="206">
                  <c:v>1337.7</c:v>
                </c:pt>
                <c:pt idx="207">
                  <c:v>1383.15</c:v>
                </c:pt>
                <c:pt idx="208">
                  <c:v>1214.76</c:v>
                </c:pt>
                <c:pt idx="209">
                  <c:v>1100</c:v>
                </c:pt>
                <c:pt idx="210">
                  <c:v>983.93</c:v>
                </c:pt>
                <c:pt idx="211">
                  <c:v>917.71</c:v>
                </c:pt>
                <c:pt idx="212">
                  <c:v>828.47</c:v>
                </c:pt>
                <c:pt idx="213">
                  <c:v>879.75</c:v>
                </c:pt>
                <c:pt idx="214">
                  <c:v>979.2</c:v>
                </c:pt>
                <c:pt idx="215">
                  <c:v>933.73</c:v>
                </c:pt>
                <c:pt idx="216">
                  <c:v>954.46</c:v>
                </c:pt>
                <c:pt idx="217">
                  <c:v>985.39</c:v>
                </c:pt>
                <c:pt idx="218">
                  <c:v>1041.4000000000001</c:v>
                </c:pt>
                <c:pt idx="219">
                  <c:v>1014.4</c:v>
                </c:pt>
                <c:pt idx="220">
                  <c:v>918.22</c:v>
                </c:pt>
                <c:pt idx="221">
                  <c:v>822.27</c:v>
                </c:pt>
                <c:pt idx="222">
                  <c:v>831.72</c:v>
                </c:pt>
                <c:pt idx="223">
                  <c:v>880.97</c:v>
                </c:pt>
                <c:pt idx="224">
                  <c:v>947.86</c:v>
                </c:pt>
                <c:pt idx="225">
                  <c:v>980.55</c:v>
                </c:pt>
                <c:pt idx="226">
                  <c:v>995.76</c:v>
                </c:pt>
                <c:pt idx="227">
                  <c:v>991.43</c:v>
                </c:pt>
                <c:pt idx="228">
                  <c:v>984.67</c:v>
                </c:pt>
                <c:pt idx="229">
                  <c:v>904.96</c:v>
                </c:pt>
                <c:pt idx="230">
                  <c:v>842.58</c:v>
                </c:pt>
                <c:pt idx="231">
                  <c:v>786.68</c:v>
                </c:pt>
                <c:pt idx="232">
                  <c:v>728.07</c:v>
                </c:pt>
                <c:pt idx="233">
                  <c:v>577.47</c:v>
                </c:pt>
                <c:pt idx="234">
                  <c:v>520.59</c:v>
                </c:pt>
                <c:pt idx="235">
                  <c:v>506.81</c:v>
                </c:pt>
                <c:pt idx="236">
                  <c:v>457.49</c:v>
                </c:pt>
                <c:pt idx="237">
                  <c:v>466.01</c:v>
                </c:pt>
                <c:pt idx="238">
                  <c:v>437.97</c:v>
                </c:pt>
                <c:pt idx="239">
                  <c:v>394.03</c:v>
                </c:pt>
                <c:pt idx="240">
                  <c:v>418.58</c:v>
                </c:pt>
                <c:pt idx="241">
                  <c:v>507.13</c:v>
                </c:pt>
                <c:pt idx="242">
                  <c:v>550.49</c:v>
                </c:pt>
                <c:pt idx="243">
                  <c:v>618.38</c:v>
                </c:pt>
                <c:pt idx="244">
                  <c:v>660.47</c:v>
                </c:pt>
                <c:pt idx="245">
                  <c:v>663.22</c:v>
                </c:pt>
                <c:pt idx="246">
                  <c:v>642.19000000000005</c:v>
                </c:pt>
                <c:pt idx="247">
                  <c:v>613.4</c:v>
                </c:pt>
                <c:pt idx="248">
                  <c:v>600.11</c:v>
                </c:pt>
                <c:pt idx="249">
                  <c:v>555.47</c:v>
                </c:pt>
                <c:pt idx="250">
                  <c:v>513.66999999999996</c:v>
                </c:pt>
                <c:pt idx="251">
                  <c:v>530.42999999999995</c:v>
                </c:pt>
                <c:pt idx="252">
                  <c:v>528.08000000000004</c:v>
                </c:pt>
                <c:pt idx="253">
                  <c:v>540.27</c:v>
                </c:pt>
                <c:pt idx="254">
                  <c:v>466.98</c:v>
                </c:pt>
                <c:pt idx="255">
                  <c:v>444.76</c:v>
                </c:pt>
                <c:pt idx="256">
                  <c:v>427.13</c:v>
                </c:pt>
                <c:pt idx="257">
                  <c:v>419.54</c:v>
                </c:pt>
                <c:pt idx="258">
                  <c:v>389.36</c:v>
                </c:pt>
                <c:pt idx="259">
                  <c:v>384.31</c:v>
                </c:pt>
                <c:pt idx="260">
                  <c:v>350.06</c:v>
                </c:pt>
                <c:pt idx="261">
                  <c:v>323.37</c:v>
                </c:pt>
                <c:pt idx="262">
                  <c:v>322.82</c:v>
                </c:pt>
                <c:pt idx="263">
                  <c:v>381.32</c:v>
                </c:pt>
                <c:pt idx="264">
                  <c:v>431.06</c:v>
                </c:pt>
                <c:pt idx="265">
                  <c:v>373.11</c:v>
                </c:pt>
                <c:pt idx="266">
                  <c:v>327.67</c:v>
                </c:pt>
                <c:pt idx="267">
                  <c:v>358.86</c:v>
                </c:pt>
                <c:pt idx="268">
                  <c:v>398.15</c:v>
                </c:pt>
                <c:pt idx="269">
                  <c:v>366.58</c:v>
                </c:pt>
                <c:pt idx="270">
                  <c:v>315.26</c:v>
                </c:pt>
                <c:pt idx="271">
                  <c:v>346.46</c:v>
                </c:pt>
                <c:pt idx="272">
                  <c:v>326.74</c:v>
                </c:pt>
                <c:pt idx="273">
                  <c:v>315.12</c:v>
                </c:pt>
                <c:pt idx="274">
                  <c:v>314.33</c:v>
                </c:pt>
                <c:pt idx="275">
                  <c:v>354.1</c:v>
                </c:pt>
                <c:pt idx="276">
                  <c:v>374.29</c:v>
                </c:pt>
                <c:pt idx="277">
                  <c:v>393.91</c:v>
                </c:pt>
                <c:pt idx="278">
                  <c:v>442.05</c:v>
                </c:pt>
                <c:pt idx="279">
                  <c:v>491.51</c:v>
                </c:pt>
                <c:pt idx="280">
                  <c:v>487.72</c:v>
                </c:pt>
                <c:pt idx="281">
                  <c:v>463.52</c:v>
                </c:pt>
                <c:pt idx="282">
                  <c:v>423.89</c:v>
                </c:pt>
                <c:pt idx="283">
                  <c:v>343.03</c:v>
                </c:pt>
                <c:pt idx="284">
                  <c:v>299.51</c:v>
                </c:pt>
                <c:pt idx="285">
                  <c:v>330.91</c:v>
                </c:pt>
                <c:pt idx="286">
                  <c:v>436.13</c:v>
                </c:pt>
                <c:pt idx="287">
                  <c:v>535.34</c:v>
                </c:pt>
                <c:pt idx="288">
                  <c:v>600.41</c:v>
                </c:pt>
                <c:pt idx="289">
                  <c:v>595.41999999999996</c:v>
                </c:pt>
                <c:pt idx="290">
                  <c:v>541.29999999999995</c:v>
                </c:pt>
                <c:pt idx="291">
                  <c:v>519.39</c:v>
                </c:pt>
                <c:pt idx="292">
                  <c:v>540.59</c:v>
                </c:pt>
                <c:pt idx="293">
                  <c:v>524.08000000000004</c:v>
                </c:pt>
                <c:pt idx="294">
                  <c:v>492.07</c:v>
                </c:pt>
                <c:pt idx="295">
                  <c:v>425.11</c:v>
                </c:pt>
                <c:pt idx="296">
                  <c:v>383.55</c:v>
                </c:pt>
                <c:pt idx="297">
                  <c:v>489.01</c:v>
                </c:pt>
                <c:pt idx="298">
                  <c:v>446.51</c:v>
                </c:pt>
                <c:pt idx="299">
                  <c:v>463.5</c:v>
                </c:pt>
                <c:pt idx="300">
                  <c:v>379.57</c:v>
                </c:pt>
                <c:pt idx="301">
                  <c:v>361.17</c:v>
                </c:pt>
                <c:pt idx="302">
                  <c:v>395.45</c:v>
                </c:pt>
                <c:pt idx="303">
                  <c:v>441.89</c:v>
                </c:pt>
                <c:pt idx="304">
                  <c:v>426.13</c:v>
                </c:pt>
                <c:pt idx="305">
                  <c:v>441.88</c:v>
                </c:pt>
                <c:pt idx="306">
                  <c:v>434.36</c:v>
                </c:pt>
                <c:pt idx="307">
                  <c:v>457.35</c:v>
                </c:pt>
                <c:pt idx="308">
                  <c:v>522.1</c:v>
                </c:pt>
                <c:pt idx="309">
                  <c:v>506.45</c:v>
                </c:pt>
                <c:pt idx="310">
                  <c:v>421.67</c:v>
                </c:pt>
                <c:pt idx="311">
                  <c:v>261.79000000000002</c:v>
                </c:pt>
                <c:pt idx="312">
                  <c:v>298.75</c:v>
                </c:pt>
                <c:pt idx="313">
                  <c:v>353.75</c:v>
                </c:pt>
                <c:pt idx="314">
                  <c:v>376.66</c:v>
                </c:pt>
                <c:pt idx="315">
                  <c:v>465.77</c:v>
                </c:pt>
                <c:pt idx="316">
                  <c:v>453.06</c:v>
                </c:pt>
                <c:pt idx="317">
                  <c:v>404.65</c:v>
                </c:pt>
                <c:pt idx="318">
                  <c:v>332.93</c:v>
                </c:pt>
                <c:pt idx="319">
                  <c:v>337.84</c:v>
                </c:pt>
                <c:pt idx="320">
                  <c:v>327.20999999999998</c:v>
                </c:pt>
                <c:pt idx="321">
                  <c:v>307.83</c:v>
                </c:pt>
                <c:pt idx="322">
                  <c:v>289.05</c:v>
                </c:pt>
                <c:pt idx="323">
                  <c:v>281.88</c:v>
                </c:pt>
                <c:pt idx="324">
                  <c:v>290.02999999999997</c:v>
                </c:pt>
                <c:pt idx="325">
                  <c:v>310.75</c:v>
                </c:pt>
                <c:pt idx="326">
                  <c:v>309.8</c:v>
                </c:pt>
                <c:pt idx="327">
                  <c:v>331.23</c:v>
                </c:pt>
                <c:pt idx="328">
                  <c:v>340.28</c:v>
                </c:pt>
                <c:pt idx="329">
                  <c:v>293.14</c:v>
                </c:pt>
                <c:pt idx="330">
                  <c:v>251.66</c:v>
                </c:pt>
                <c:pt idx="331">
                  <c:v>209.68</c:v>
                </c:pt>
                <c:pt idx="332">
                  <c:v>172.27</c:v>
                </c:pt>
                <c:pt idx="333">
                  <c:v>131.25</c:v>
                </c:pt>
                <c:pt idx="334">
                  <c:v>108.99</c:v>
                </c:pt>
                <c:pt idx="335">
                  <c:v>84.04</c:v>
                </c:pt>
                <c:pt idx="336">
                  <c:v>40.29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CE-3F48-B4A4-58D759A59DFA}"/>
            </c:ext>
          </c:extLst>
        </c:ser>
        <c:ser>
          <c:idx val="7"/>
          <c:order val="7"/>
          <c:tx>
            <c:strRef>
              <c:f>[1]Prices!$M$1</c:f>
              <c:strCache>
                <c:ptCount val="1"/>
                <c:pt idx="0">
                  <c:v>Solar (Utility) -  MW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[1]Prices!$M$2:$M$338</c:f>
              <c:numCache>
                <c:formatCode>General</c:formatCode>
                <c:ptCount val="337"/>
                <c:pt idx="0">
                  <c:v>1561.96</c:v>
                </c:pt>
                <c:pt idx="1">
                  <c:v>1760.86</c:v>
                </c:pt>
                <c:pt idx="2">
                  <c:v>1879.89</c:v>
                </c:pt>
                <c:pt idx="3">
                  <c:v>1686.57</c:v>
                </c:pt>
                <c:pt idx="4">
                  <c:v>1445.08</c:v>
                </c:pt>
                <c:pt idx="5">
                  <c:v>1392.68</c:v>
                </c:pt>
                <c:pt idx="6">
                  <c:v>1220.54</c:v>
                </c:pt>
                <c:pt idx="7">
                  <c:v>1049.7</c:v>
                </c:pt>
                <c:pt idx="8">
                  <c:v>592.71</c:v>
                </c:pt>
                <c:pt idx="9">
                  <c:v>166.79</c:v>
                </c:pt>
                <c:pt idx="10">
                  <c:v>8.5399999999999991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3.98</c:v>
                </c:pt>
                <c:pt idx="38">
                  <c:v>106.34</c:v>
                </c:pt>
                <c:pt idx="39">
                  <c:v>454.44</c:v>
                </c:pt>
                <c:pt idx="40">
                  <c:v>982.56</c:v>
                </c:pt>
                <c:pt idx="41">
                  <c:v>1604.72</c:v>
                </c:pt>
                <c:pt idx="42">
                  <c:v>1895.65</c:v>
                </c:pt>
                <c:pt idx="43">
                  <c:v>2152.4499999999998</c:v>
                </c:pt>
                <c:pt idx="44">
                  <c:v>2357.34</c:v>
                </c:pt>
                <c:pt idx="45">
                  <c:v>2465.61</c:v>
                </c:pt>
                <c:pt idx="46">
                  <c:v>2647.82</c:v>
                </c:pt>
                <c:pt idx="47">
                  <c:v>2598.02</c:v>
                </c:pt>
                <c:pt idx="48">
                  <c:v>2420.1799999999998</c:v>
                </c:pt>
                <c:pt idx="49">
                  <c:v>2357.1799999999998</c:v>
                </c:pt>
                <c:pt idx="50">
                  <c:v>2451.46</c:v>
                </c:pt>
                <c:pt idx="51">
                  <c:v>2589.39</c:v>
                </c:pt>
                <c:pt idx="52">
                  <c:v>2642.71</c:v>
                </c:pt>
                <c:pt idx="53">
                  <c:v>2595.16</c:v>
                </c:pt>
                <c:pt idx="54">
                  <c:v>2346.75</c:v>
                </c:pt>
                <c:pt idx="55">
                  <c:v>1809.05</c:v>
                </c:pt>
                <c:pt idx="56">
                  <c:v>1029.74</c:v>
                </c:pt>
                <c:pt idx="57">
                  <c:v>250.07</c:v>
                </c:pt>
                <c:pt idx="58">
                  <c:v>9.92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6.71</c:v>
                </c:pt>
                <c:pt idx="86">
                  <c:v>119.9</c:v>
                </c:pt>
                <c:pt idx="87">
                  <c:v>569.92999999999995</c:v>
                </c:pt>
                <c:pt idx="88">
                  <c:v>1379.32</c:v>
                </c:pt>
                <c:pt idx="89">
                  <c:v>2080.34</c:v>
                </c:pt>
                <c:pt idx="90">
                  <c:v>2160.31</c:v>
                </c:pt>
                <c:pt idx="91">
                  <c:v>2277.1799999999998</c:v>
                </c:pt>
                <c:pt idx="92">
                  <c:v>2061.91</c:v>
                </c:pt>
                <c:pt idx="93">
                  <c:v>2155.25</c:v>
                </c:pt>
                <c:pt idx="94">
                  <c:v>2332.9499999999998</c:v>
                </c:pt>
                <c:pt idx="95">
                  <c:v>2353.9499999999998</c:v>
                </c:pt>
                <c:pt idx="96">
                  <c:v>2246.4699999999998</c:v>
                </c:pt>
                <c:pt idx="97">
                  <c:v>2265.35</c:v>
                </c:pt>
                <c:pt idx="98">
                  <c:v>2192.02</c:v>
                </c:pt>
                <c:pt idx="99">
                  <c:v>2011.07</c:v>
                </c:pt>
                <c:pt idx="100">
                  <c:v>2257.34</c:v>
                </c:pt>
                <c:pt idx="101">
                  <c:v>2138.2399999999998</c:v>
                </c:pt>
                <c:pt idx="102">
                  <c:v>1908.83</c:v>
                </c:pt>
                <c:pt idx="103">
                  <c:v>1459.36</c:v>
                </c:pt>
                <c:pt idx="104">
                  <c:v>790.13</c:v>
                </c:pt>
                <c:pt idx="105">
                  <c:v>175.55</c:v>
                </c:pt>
                <c:pt idx="106">
                  <c:v>5.61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5.23</c:v>
                </c:pt>
                <c:pt idx="134">
                  <c:v>136.53</c:v>
                </c:pt>
                <c:pt idx="135">
                  <c:v>735.66</c:v>
                </c:pt>
                <c:pt idx="136">
                  <c:v>1700.98</c:v>
                </c:pt>
                <c:pt idx="137">
                  <c:v>2574.77</c:v>
                </c:pt>
                <c:pt idx="138">
                  <c:v>2910.9</c:v>
                </c:pt>
                <c:pt idx="139">
                  <c:v>3022.31</c:v>
                </c:pt>
                <c:pt idx="140">
                  <c:v>3084.05</c:v>
                </c:pt>
                <c:pt idx="141">
                  <c:v>2987.13</c:v>
                </c:pt>
                <c:pt idx="142">
                  <c:v>2926.51</c:v>
                </c:pt>
                <c:pt idx="143">
                  <c:v>2611.9499999999998</c:v>
                </c:pt>
                <c:pt idx="144">
                  <c:v>2359.9499999999998</c:v>
                </c:pt>
                <c:pt idx="145">
                  <c:v>2382.64</c:v>
                </c:pt>
                <c:pt idx="146">
                  <c:v>2442.44</c:v>
                </c:pt>
                <c:pt idx="147">
                  <c:v>2422.38</c:v>
                </c:pt>
                <c:pt idx="148">
                  <c:v>2449.9299999999998</c:v>
                </c:pt>
                <c:pt idx="149">
                  <c:v>2426.56</c:v>
                </c:pt>
                <c:pt idx="150">
                  <c:v>2378.91</c:v>
                </c:pt>
                <c:pt idx="151">
                  <c:v>2025.63</c:v>
                </c:pt>
                <c:pt idx="152">
                  <c:v>1067.3399999999999</c:v>
                </c:pt>
                <c:pt idx="153">
                  <c:v>212.16</c:v>
                </c:pt>
                <c:pt idx="154">
                  <c:v>5.21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0.04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0.04</c:v>
                </c:pt>
                <c:pt idx="176">
                  <c:v>0.04</c:v>
                </c:pt>
                <c:pt idx="177">
                  <c:v>0.04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1.56</c:v>
                </c:pt>
                <c:pt idx="182">
                  <c:v>31.01</c:v>
                </c:pt>
                <c:pt idx="183">
                  <c:v>266.44</c:v>
                </c:pt>
                <c:pt idx="184">
                  <c:v>634.34</c:v>
                </c:pt>
                <c:pt idx="185">
                  <c:v>1091.93</c:v>
                </c:pt>
                <c:pt idx="186">
                  <c:v>1213.27</c:v>
                </c:pt>
                <c:pt idx="187">
                  <c:v>1122.7</c:v>
                </c:pt>
                <c:pt idx="188">
                  <c:v>1278.72</c:v>
                </c:pt>
                <c:pt idx="189">
                  <c:v>1638.2</c:v>
                </c:pt>
                <c:pt idx="190">
                  <c:v>1456.71</c:v>
                </c:pt>
                <c:pt idx="191">
                  <c:v>1517.83</c:v>
                </c:pt>
                <c:pt idx="192">
                  <c:v>1423.55</c:v>
                </c:pt>
                <c:pt idx="193">
                  <c:v>1435.14</c:v>
                </c:pt>
                <c:pt idx="194">
                  <c:v>1227.99</c:v>
                </c:pt>
                <c:pt idx="195">
                  <c:v>1249.6300000000001</c:v>
                </c:pt>
                <c:pt idx="196">
                  <c:v>1174.49</c:v>
                </c:pt>
                <c:pt idx="197">
                  <c:v>1044.1500000000001</c:v>
                </c:pt>
                <c:pt idx="198">
                  <c:v>866.41</c:v>
                </c:pt>
                <c:pt idx="199">
                  <c:v>636.95000000000005</c:v>
                </c:pt>
                <c:pt idx="200">
                  <c:v>384.5</c:v>
                </c:pt>
                <c:pt idx="201">
                  <c:v>98.8</c:v>
                </c:pt>
                <c:pt idx="202">
                  <c:v>6.32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0.03</c:v>
                </c:pt>
                <c:pt idx="210">
                  <c:v>0.03</c:v>
                </c:pt>
                <c:pt idx="211">
                  <c:v>0.03</c:v>
                </c:pt>
                <c:pt idx="212">
                  <c:v>0.03</c:v>
                </c:pt>
                <c:pt idx="213">
                  <c:v>0.03</c:v>
                </c:pt>
                <c:pt idx="214">
                  <c:v>0.03</c:v>
                </c:pt>
                <c:pt idx="215">
                  <c:v>0.03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0.03</c:v>
                </c:pt>
                <c:pt idx="220">
                  <c:v>0.03</c:v>
                </c:pt>
                <c:pt idx="221">
                  <c:v>0.03</c:v>
                </c:pt>
                <c:pt idx="222">
                  <c:v>0.03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0.03</c:v>
                </c:pt>
                <c:pt idx="228">
                  <c:v>0.03</c:v>
                </c:pt>
                <c:pt idx="229">
                  <c:v>1.18</c:v>
                </c:pt>
                <c:pt idx="230">
                  <c:v>67.34</c:v>
                </c:pt>
                <c:pt idx="231">
                  <c:v>434.25</c:v>
                </c:pt>
                <c:pt idx="232">
                  <c:v>1038.1199999999999</c:v>
                </c:pt>
                <c:pt idx="233">
                  <c:v>1505.56</c:v>
                </c:pt>
                <c:pt idx="234">
                  <c:v>1840.47</c:v>
                </c:pt>
                <c:pt idx="235">
                  <c:v>2087.0500000000002</c:v>
                </c:pt>
                <c:pt idx="236">
                  <c:v>2175.84</c:v>
                </c:pt>
                <c:pt idx="237">
                  <c:v>2357.94</c:v>
                </c:pt>
                <c:pt idx="238">
                  <c:v>2518.3200000000002</c:v>
                </c:pt>
                <c:pt idx="239">
                  <c:v>2607.6</c:v>
                </c:pt>
                <c:pt idx="240">
                  <c:v>2571.08</c:v>
                </c:pt>
                <c:pt idx="241">
                  <c:v>2446.92</c:v>
                </c:pt>
                <c:pt idx="242">
                  <c:v>2344.6</c:v>
                </c:pt>
                <c:pt idx="243">
                  <c:v>2393.77</c:v>
                </c:pt>
                <c:pt idx="244">
                  <c:v>2390.09</c:v>
                </c:pt>
                <c:pt idx="245">
                  <c:v>2312.6</c:v>
                </c:pt>
                <c:pt idx="246">
                  <c:v>2153.73</c:v>
                </c:pt>
                <c:pt idx="247">
                  <c:v>1732.88</c:v>
                </c:pt>
                <c:pt idx="248">
                  <c:v>1049.21</c:v>
                </c:pt>
                <c:pt idx="249">
                  <c:v>294.99</c:v>
                </c:pt>
                <c:pt idx="250">
                  <c:v>12.64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7.53</c:v>
                </c:pt>
                <c:pt idx="278">
                  <c:v>167.44</c:v>
                </c:pt>
                <c:pt idx="279">
                  <c:v>626.09</c:v>
                </c:pt>
                <c:pt idx="280">
                  <c:v>1178.45</c:v>
                </c:pt>
                <c:pt idx="281">
                  <c:v>1704.69</c:v>
                </c:pt>
                <c:pt idx="282">
                  <c:v>2013.7</c:v>
                </c:pt>
                <c:pt idx="283">
                  <c:v>2277.38</c:v>
                </c:pt>
                <c:pt idx="284">
                  <c:v>2201.2199999999998</c:v>
                </c:pt>
                <c:pt idx="285">
                  <c:v>2164.7600000000002</c:v>
                </c:pt>
                <c:pt idx="286">
                  <c:v>2313.7600000000002</c:v>
                </c:pt>
                <c:pt idx="287">
                  <c:v>2350.3200000000002</c:v>
                </c:pt>
                <c:pt idx="288">
                  <c:v>2352.5700000000002</c:v>
                </c:pt>
                <c:pt idx="289">
                  <c:v>2336.7399999999998</c:v>
                </c:pt>
                <c:pt idx="290">
                  <c:v>2308.9299999999998</c:v>
                </c:pt>
                <c:pt idx="291">
                  <c:v>2385.1</c:v>
                </c:pt>
                <c:pt idx="292">
                  <c:v>2378.4299999999998</c:v>
                </c:pt>
                <c:pt idx="293">
                  <c:v>1984.17</c:v>
                </c:pt>
                <c:pt idx="294">
                  <c:v>1801.47</c:v>
                </c:pt>
                <c:pt idx="295">
                  <c:v>1142.27</c:v>
                </c:pt>
                <c:pt idx="296">
                  <c:v>459.69</c:v>
                </c:pt>
                <c:pt idx="297">
                  <c:v>115.34</c:v>
                </c:pt>
                <c:pt idx="298">
                  <c:v>10.119999999999999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1.51</c:v>
                </c:pt>
                <c:pt idx="326">
                  <c:v>70.709999999999994</c:v>
                </c:pt>
                <c:pt idx="327">
                  <c:v>451.78</c:v>
                </c:pt>
                <c:pt idx="328">
                  <c:v>1086.8599999999999</c:v>
                </c:pt>
                <c:pt idx="329">
                  <c:v>1599.19</c:v>
                </c:pt>
                <c:pt idx="330">
                  <c:v>1745.82</c:v>
                </c:pt>
                <c:pt idx="331">
                  <c:v>1869.52</c:v>
                </c:pt>
                <c:pt idx="332">
                  <c:v>1960.16</c:v>
                </c:pt>
                <c:pt idx="333">
                  <c:v>2070.46</c:v>
                </c:pt>
                <c:pt idx="334">
                  <c:v>2085.91</c:v>
                </c:pt>
                <c:pt idx="335">
                  <c:v>2225.7800000000002</c:v>
                </c:pt>
                <c:pt idx="336">
                  <c:v>2169.0700000000002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CE-3F48-B4A4-58D759A59DFA}"/>
            </c:ext>
          </c:extLst>
        </c:ser>
        <c:ser>
          <c:idx val="8"/>
          <c:order val="8"/>
          <c:tx>
            <c:strRef>
              <c:f>[1]Prices!$N$1</c:f>
              <c:strCache>
                <c:ptCount val="1"/>
                <c:pt idx="0">
                  <c:v>Solar (Rooftop) -  MW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[1]Prices!$N$2:$N$338</c:f>
              <c:numCache>
                <c:formatCode>General</c:formatCode>
                <c:ptCount val="337"/>
                <c:pt idx="0">
                  <c:v>0</c:v>
                </c:pt>
                <c:pt idx="1">
                  <c:v>1653.29</c:v>
                </c:pt>
                <c:pt idx="2">
                  <c:v>3109.92</c:v>
                </c:pt>
                <c:pt idx="3">
                  <c:v>2800.7</c:v>
                </c:pt>
                <c:pt idx="4">
                  <c:v>2425.0500000000002</c:v>
                </c:pt>
                <c:pt idx="5">
                  <c:v>1963.82</c:v>
                </c:pt>
                <c:pt idx="6">
                  <c:v>1440.64</c:v>
                </c:pt>
                <c:pt idx="7">
                  <c:v>914.26</c:v>
                </c:pt>
                <c:pt idx="8">
                  <c:v>440.91</c:v>
                </c:pt>
                <c:pt idx="9">
                  <c:v>116.99</c:v>
                </c:pt>
                <c:pt idx="10">
                  <c:v>12.03</c:v>
                </c:pt>
                <c:pt idx="11">
                  <c:v>0.09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0.12</c:v>
                </c:pt>
                <c:pt idx="37">
                  <c:v>7.55</c:v>
                </c:pt>
                <c:pt idx="38">
                  <c:v>90.41</c:v>
                </c:pt>
                <c:pt idx="39">
                  <c:v>375.8</c:v>
                </c:pt>
                <c:pt idx="40">
                  <c:v>830.33</c:v>
                </c:pt>
                <c:pt idx="41">
                  <c:v>1368.94</c:v>
                </c:pt>
                <c:pt idx="42">
                  <c:v>1912.81</c:v>
                </c:pt>
                <c:pt idx="43">
                  <c:v>2415.17</c:v>
                </c:pt>
                <c:pt idx="44">
                  <c:v>2838.32</c:v>
                </c:pt>
                <c:pt idx="45">
                  <c:v>3144.54</c:v>
                </c:pt>
                <c:pt idx="46">
                  <c:v>3349.84</c:v>
                </c:pt>
                <c:pt idx="47">
                  <c:v>3470.55</c:v>
                </c:pt>
                <c:pt idx="48">
                  <c:v>3475.53</c:v>
                </c:pt>
                <c:pt idx="49">
                  <c:v>3343.25</c:v>
                </c:pt>
                <c:pt idx="50">
                  <c:v>3122.3</c:v>
                </c:pt>
                <c:pt idx="51">
                  <c:v>2872.62</c:v>
                </c:pt>
                <c:pt idx="52">
                  <c:v>2499.4299999999998</c:v>
                </c:pt>
                <c:pt idx="53">
                  <c:v>2089.39</c:v>
                </c:pt>
                <c:pt idx="54">
                  <c:v>1577.29</c:v>
                </c:pt>
                <c:pt idx="55">
                  <c:v>1015.1</c:v>
                </c:pt>
                <c:pt idx="56">
                  <c:v>498.78</c:v>
                </c:pt>
                <c:pt idx="57">
                  <c:v>139.47</c:v>
                </c:pt>
                <c:pt idx="58">
                  <c:v>15.39</c:v>
                </c:pt>
                <c:pt idx="59">
                  <c:v>0.17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0.13</c:v>
                </c:pt>
                <c:pt idx="85">
                  <c:v>7.75</c:v>
                </c:pt>
                <c:pt idx="86">
                  <c:v>88.96</c:v>
                </c:pt>
                <c:pt idx="87">
                  <c:v>350.51</c:v>
                </c:pt>
                <c:pt idx="88">
                  <c:v>837.43</c:v>
                </c:pt>
                <c:pt idx="89">
                  <c:v>1337.7</c:v>
                </c:pt>
                <c:pt idx="90">
                  <c:v>1856.04</c:v>
                </c:pt>
                <c:pt idx="91">
                  <c:v>2278.65</c:v>
                </c:pt>
                <c:pt idx="92">
                  <c:v>2658.7</c:v>
                </c:pt>
                <c:pt idx="93">
                  <c:v>2927</c:v>
                </c:pt>
                <c:pt idx="94">
                  <c:v>3166.39</c:v>
                </c:pt>
                <c:pt idx="95">
                  <c:v>3250.92</c:v>
                </c:pt>
                <c:pt idx="96">
                  <c:v>3236.69</c:v>
                </c:pt>
                <c:pt idx="97">
                  <c:v>3104.69</c:v>
                </c:pt>
                <c:pt idx="98">
                  <c:v>2834.4</c:v>
                </c:pt>
                <c:pt idx="99">
                  <c:v>2495.69</c:v>
                </c:pt>
                <c:pt idx="100">
                  <c:v>1969.91</c:v>
                </c:pt>
                <c:pt idx="101">
                  <c:v>1472.47</c:v>
                </c:pt>
                <c:pt idx="102">
                  <c:v>1077.3599999999999</c:v>
                </c:pt>
                <c:pt idx="103">
                  <c:v>694.37</c:v>
                </c:pt>
                <c:pt idx="104">
                  <c:v>354.66</c:v>
                </c:pt>
                <c:pt idx="105">
                  <c:v>107.74</c:v>
                </c:pt>
                <c:pt idx="106">
                  <c:v>12.89</c:v>
                </c:pt>
                <c:pt idx="107">
                  <c:v>0.17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0.12</c:v>
                </c:pt>
                <c:pt idx="133">
                  <c:v>7.84</c:v>
                </c:pt>
                <c:pt idx="134">
                  <c:v>94.14</c:v>
                </c:pt>
                <c:pt idx="135">
                  <c:v>389.47</c:v>
                </c:pt>
                <c:pt idx="136">
                  <c:v>873.76</c:v>
                </c:pt>
                <c:pt idx="137">
                  <c:v>1457.97</c:v>
                </c:pt>
                <c:pt idx="138">
                  <c:v>2056.14</c:v>
                </c:pt>
                <c:pt idx="139">
                  <c:v>2593.56</c:v>
                </c:pt>
                <c:pt idx="140">
                  <c:v>3022.73</c:v>
                </c:pt>
                <c:pt idx="141">
                  <c:v>3352.07</c:v>
                </c:pt>
                <c:pt idx="142">
                  <c:v>3570.13</c:v>
                </c:pt>
                <c:pt idx="143">
                  <c:v>3687.66</c:v>
                </c:pt>
                <c:pt idx="144">
                  <c:v>3701.36</c:v>
                </c:pt>
                <c:pt idx="145">
                  <c:v>3594.25</c:v>
                </c:pt>
                <c:pt idx="146">
                  <c:v>3387.69</c:v>
                </c:pt>
                <c:pt idx="147">
                  <c:v>3085.14</c:v>
                </c:pt>
                <c:pt idx="148">
                  <c:v>2714.41</c:v>
                </c:pt>
                <c:pt idx="149">
                  <c:v>2221.29</c:v>
                </c:pt>
                <c:pt idx="150">
                  <c:v>1656.36</c:v>
                </c:pt>
                <c:pt idx="151">
                  <c:v>1067.83</c:v>
                </c:pt>
                <c:pt idx="152">
                  <c:v>535.07000000000005</c:v>
                </c:pt>
                <c:pt idx="153">
                  <c:v>156.63</c:v>
                </c:pt>
                <c:pt idx="154">
                  <c:v>18.329999999999998</c:v>
                </c:pt>
                <c:pt idx="155">
                  <c:v>0.27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0.18</c:v>
                </c:pt>
                <c:pt idx="181">
                  <c:v>4.2699999999999996</c:v>
                </c:pt>
                <c:pt idx="182">
                  <c:v>34.81</c:v>
                </c:pt>
                <c:pt idx="183">
                  <c:v>126.03</c:v>
                </c:pt>
                <c:pt idx="184">
                  <c:v>286.56</c:v>
                </c:pt>
                <c:pt idx="185">
                  <c:v>518.02</c:v>
                </c:pt>
                <c:pt idx="186">
                  <c:v>716.74</c:v>
                </c:pt>
                <c:pt idx="187">
                  <c:v>893.4</c:v>
                </c:pt>
                <c:pt idx="188">
                  <c:v>1046.19</c:v>
                </c:pt>
                <c:pt idx="189">
                  <c:v>1204.76</c:v>
                </c:pt>
                <c:pt idx="190">
                  <c:v>1330.27</c:v>
                </c:pt>
                <c:pt idx="191">
                  <c:v>1531.68</c:v>
                </c:pt>
                <c:pt idx="192">
                  <c:v>1862.29</c:v>
                </c:pt>
                <c:pt idx="193">
                  <c:v>2085.71</c:v>
                </c:pt>
                <c:pt idx="194">
                  <c:v>2080.25</c:v>
                </c:pt>
                <c:pt idx="195">
                  <c:v>1862.76</c:v>
                </c:pt>
                <c:pt idx="196">
                  <c:v>1496.72</c:v>
                </c:pt>
                <c:pt idx="197">
                  <c:v>1198.3900000000001</c:v>
                </c:pt>
                <c:pt idx="198">
                  <c:v>916.53</c:v>
                </c:pt>
                <c:pt idx="199">
                  <c:v>585.77</c:v>
                </c:pt>
                <c:pt idx="200">
                  <c:v>329.56</c:v>
                </c:pt>
                <c:pt idx="201">
                  <c:v>103.2</c:v>
                </c:pt>
                <c:pt idx="202">
                  <c:v>11.91</c:v>
                </c:pt>
                <c:pt idx="203">
                  <c:v>0.11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</c:v>
                </c:pt>
                <c:pt idx="229">
                  <c:v>7.98</c:v>
                </c:pt>
                <c:pt idx="230">
                  <c:v>96.5</c:v>
                </c:pt>
                <c:pt idx="231">
                  <c:v>401.36</c:v>
                </c:pt>
                <c:pt idx="232">
                  <c:v>889.76</c:v>
                </c:pt>
                <c:pt idx="233">
                  <c:v>1469.23</c:v>
                </c:pt>
                <c:pt idx="234">
                  <c:v>2052.06</c:v>
                </c:pt>
                <c:pt idx="235">
                  <c:v>2591.34</c:v>
                </c:pt>
                <c:pt idx="236">
                  <c:v>3025.77</c:v>
                </c:pt>
                <c:pt idx="237">
                  <c:v>3358.54</c:v>
                </c:pt>
                <c:pt idx="238">
                  <c:v>3578.98</c:v>
                </c:pt>
                <c:pt idx="239">
                  <c:v>3698.06</c:v>
                </c:pt>
                <c:pt idx="240">
                  <c:v>3708.24</c:v>
                </c:pt>
                <c:pt idx="241">
                  <c:v>3593.2</c:v>
                </c:pt>
                <c:pt idx="242">
                  <c:v>3386.53</c:v>
                </c:pt>
                <c:pt idx="243">
                  <c:v>3096.16</c:v>
                </c:pt>
                <c:pt idx="244">
                  <c:v>2720.09</c:v>
                </c:pt>
                <c:pt idx="245">
                  <c:v>2242.0500000000002</c:v>
                </c:pt>
                <c:pt idx="246">
                  <c:v>1667.16</c:v>
                </c:pt>
                <c:pt idx="247">
                  <c:v>1077.18</c:v>
                </c:pt>
                <c:pt idx="248">
                  <c:v>544.84</c:v>
                </c:pt>
                <c:pt idx="249">
                  <c:v>161.56</c:v>
                </c:pt>
                <c:pt idx="250">
                  <c:v>18.989999999999998</c:v>
                </c:pt>
                <c:pt idx="251">
                  <c:v>0.26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0.09</c:v>
                </c:pt>
                <c:pt idx="277">
                  <c:v>9.4600000000000009</c:v>
                </c:pt>
                <c:pt idx="278">
                  <c:v>114.83</c:v>
                </c:pt>
                <c:pt idx="279">
                  <c:v>422.41</c:v>
                </c:pt>
                <c:pt idx="280">
                  <c:v>822.95</c:v>
                </c:pt>
                <c:pt idx="281">
                  <c:v>1286.24</c:v>
                </c:pt>
                <c:pt idx="282">
                  <c:v>1870.36</c:v>
                </c:pt>
                <c:pt idx="283">
                  <c:v>2385.1</c:v>
                </c:pt>
                <c:pt idx="284">
                  <c:v>2805.63</c:v>
                </c:pt>
                <c:pt idx="285">
                  <c:v>3092</c:v>
                </c:pt>
                <c:pt idx="286">
                  <c:v>3264.92</c:v>
                </c:pt>
                <c:pt idx="287">
                  <c:v>3402.32</c:v>
                </c:pt>
                <c:pt idx="288">
                  <c:v>3411.24</c:v>
                </c:pt>
                <c:pt idx="289">
                  <c:v>3346.16</c:v>
                </c:pt>
                <c:pt idx="290">
                  <c:v>3132.37</c:v>
                </c:pt>
                <c:pt idx="291">
                  <c:v>2826.82</c:v>
                </c:pt>
                <c:pt idx="292">
                  <c:v>2414.62</c:v>
                </c:pt>
                <c:pt idx="293">
                  <c:v>1945.37</c:v>
                </c:pt>
                <c:pt idx="294">
                  <c:v>1469.53</c:v>
                </c:pt>
                <c:pt idx="295">
                  <c:v>1000.25</c:v>
                </c:pt>
                <c:pt idx="296">
                  <c:v>542.21</c:v>
                </c:pt>
                <c:pt idx="297">
                  <c:v>173.77</c:v>
                </c:pt>
                <c:pt idx="298">
                  <c:v>21.45</c:v>
                </c:pt>
                <c:pt idx="299">
                  <c:v>0.27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0.01</c:v>
                </c:pt>
                <c:pt idx="325">
                  <c:v>4.3099999999999996</c:v>
                </c:pt>
                <c:pt idx="326">
                  <c:v>62.82</c:v>
                </c:pt>
                <c:pt idx="327">
                  <c:v>284.2</c:v>
                </c:pt>
                <c:pt idx="328">
                  <c:v>607.22</c:v>
                </c:pt>
                <c:pt idx="329">
                  <c:v>1041.28</c:v>
                </c:pt>
                <c:pt idx="330">
                  <c:v>1387.69</c:v>
                </c:pt>
                <c:pt idx="331">
                  <c:v>1629.2</c:v>
                </c:pt>
                <c:pt idx="332">
                  <c:v>1810</c:v>
                </c:pt>
                <c:pt idx="333">
                  <c:v>1888.35</c:v>
                </c:pt>
                <c:pt idx="334">
                  <c:v>2083.17</c:v>
                </c:pt>
                <c:pt idx="335">
                  <c:v>2323.2600000000002</c:v>
                </c:pt>
                <c:pt idx="336">
                  <c:v>2342.9499999999998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CE-3F48-B4A4-58D759A5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cked"/>
        <c:varyColors val="0"/>
        <c:ser>
          <c:idx val="9"/>
          <c:order val="9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3CE-3F48-B4A4-58D759A59DFA}"/>
            </c:ext>
          </c:extLst>
        </c:ser>
        <c:ser>
          <c:idx val="10"/>
          <c:order val="10"/>
          <c:tx>
            <c:strRef>
              <c:f>Prices!#REF!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Prices!#REF!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CE-3F48-B4A4-58D759A5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093759"/>
        <c:axId val="687486095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687486095"/>
        <c:scaling>
          <c:orientation val="minMax"/>
          <c:max val="3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93759"/>
        <c:crosses val="max"/>
        <c:crossBetween val="between"/>
      </c:valAx>
      <c:catAx>
        <c:axId val="687093759"/>
        <c:scaling>
          <c:orientation val="minMax"/>
        </c:scaling>
        <c:delete val="1"/>
        <c:axPos val="b"/>
        <c:majorTickMark val="out"/>
        <c:minorTickMark val="none"/>
        <c:tickLblPos val="nextTo"/>
        <c:crossAx val="687486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cked"/>
        <c:varyColors val="0"/>
        <c:ser>
          <c:idx val="9"/>
          <c:order val="0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B6-6447-80D8-294C86BD8D30}"/>
            </c:ext>
          </c:extLst>
        </c:ser>
        <c:ser>
          <c:idx val="10"/>
          <c:order val="1"/>
          <c:tx>
            <c:strRef>
              <c:f>'Data exploration'!$V$1</c:f>
              <c:strCache>
                <c:ptCount val="1"/>
                <c:pt idx="0">
                  <c:v>Emissions Intensity - kgCO₂e/MWh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exploration'!$V$2:$V$338</c:f>
              <c:numCache>
                <c:formatCode>#,##0</c:formatCode>
                <c:ptCount val="337"/>
                <c:pt idx="0">
                  <c:v>443.49</c:v>
                </c:pt>
                <c:pt idx="1">
                  <c:v>364.25</c:v>
                </c:pt>
                <c:pt idx="2">
                  <c:v>315.14999999999998</c:v>
                </c:pt>
                <c:pt idx="3">
                  <c:v>315.64</c:v>
                </c:pt>
                <c:pt idx="4">
                  <c:v>329.07</c:v>
                </c:pt>
                <c:pt idx="5">
                  <c:v>384.44</c:v>
                </c:pt>
                <c:pt idx="6">
                  <c:v>430.63</c:v>
                </c:pt>
                <c:pt idx="7">
                  <c:v>503.02</c:v>
                </c:pt>
                <c:pt idx="8">
                  <c:v>573.92999999999995</c:v>
                </c:pt>
                <c:pt idx="9">
                  <c:v>609.23</c:v>
                </c:pt>
                <c:pt idx="10">
                  <c:v>614.98</c:v>
                </c:pt>
                <c:pt idx="11">
                  <c:v>626.9</c:v>
                </c:pt>
                <c:pt idx="12">
                  <c:v>628.27</c:v>
                </c:pt>
                <c:pt idx="13">
                  <c:v>635.47</c:v>
                </c:pt>
                <c:pt idx="14">
                  <c:v>641.4</c:v>
                </c:pt>
                <c:pt idx="15">
                  <c:v>647.57000000000005</c:v>
                </c:pt>
                <c:pt idx="16">
                  <c:v>652.88</c:v>
                </c:pt>
                <c:pt idx="17">
                  <c:v>661.86</c:v>
                </c:pt>
                <c:pt idx="18">
                  <c:v>684.04</c:v>
                </c:pt>
                <c:pt idx="19">
                  <c:v>697.6</c:v>
                </c:pt>
                <c:pt idx="20">
                  <c:v>704.69</c:v>
                </c:pt>
                <c:pt idx="21">
                  <c:v>704.45</c:v>
                </c:pt>
                <c:pt idx="22">
                  <c:v>714.69</c:v>
                </c:pt>
                <c:pt idx="23">
                  <c:v>721.88</c:v>
                </c:pt>
                <c:pt idx="24">
                  <c:v>724.24</c:v>
                </c:pt>
                <c:pt idx="25">
                  <c:v>715.83</c:v>
                </c:pt>
                <c:pt idx="26">
                  <c:v>713.37</c:v>
                </c:pt>
                <c:pt idx="27">
                  <c:v>714.98</c:v>
                </c:pt>
                <c:pt idx="28">
                  <c:v>707.48</c:v>
                </c:pt>
                <c:pt idx="29">
                  <c:v>711.47</c:v>
                </c:pt>
                <c:pt idx="30">
                  <c:v>687.09</c:v>
                </c:pt>
                <c:pt idx="31">
                  <c:v>659.92</c:v>
                </c:pt>
                <c:pt idx="32">
                  <c:v>625.37</c:v>
                </c:pt>
                <c:pt idx="33">
                  <c:v>586.72</c:v>
                </c:pt>
                <c:pt idx="34">
                  <c:v>573.44000000000005</c:v>
                </c:pt>
                <c:pt idx="35">
                  <c:v>573.99</c:v>
                </c:pt>
                <c:pt idx="36">
                  <c:v>578.44000000000005</c:v>
                </c:pt>
                <c:pt idx="37">
                  <c:v>581.19000000000005</c:v>
                </c:pt>
                <c:pt idx="38">
                  <c:v>572.15</c:v>
                </c:pt>
                <c:pt idx="39">
                  <c:v>564.29999999999995</c:v>
                </c:pt>
                <c:pt idx="40">
                  <c:v>543.76</c:v>
                </c:pt>
                <c:pt idx="41">
                  <c:v>490.36</c:v>
                </c:pt>
                <c:pt idx="42">
                  <c:v>436.75</c:v>
                </c:pt>
                <c:pt idx="43">
                  <c:v>392.73</c:v>
                </c:pt>
                <c:pt idx="44">
                  <c:v>341.29</c:v>
                </c:pt>
                <c:pt idx="45">
                  <c:v>304.85000000000002</c:v>
                </c:pt>
                <c:pt idx="46">
                  <c:v>290.74</c:v>
                </c:pt>
                <c:pt idx="47">
                  <c:v>293.8</c:v>
                </c:pt>
                <c:pt idx="48">
                  <c:v>300.2</c:v>
                </c:pt>
                <c:pt idx="49">
                  <c:v>300.94</c:v>
                </c:pt>
                <c:pt idx="50">
                  <c:v>302.08999999999997</c:v>
                </c:pt>
                <c:pt idx="51">
                  <c:v>304.57</c:v>
                </c:pt>
                <c:pt idx="52">
                  <c:v>310.42</c:v>
                </c:pt>
                <c:pt idx="53">
                  <c:v>328.01</c:v>
                </c:pt>
                <c:pt idx="54">
                  <c:v>353.78</c:v>
                </c:pt>
                <c:pt idx="55">
                  <c:v>417.02</c:v>
                </c:pt>
                <c:pt idx="56">
                  <c:v>499.64</c:v>
                </c:pt>
                <c:pt idx="57">
                  <c:v>572.96</c:v>
                </c:pt>
                <c:pt idx="58">
                  <c:v>633.65</c:v>
                </c:pt>
                <c:pt idx="59">
                  <c:v>657.28</c:v>
                </c:pt>
                <c:pt idx="60">
                  <c:v>670.74</c:v>
                </c:pt>
                <c:pt idx="61">
                  <c:v>683.09</c:v>
                </c:pt>
                <c:pt idx="62">
                  <c:v>693.51</c:v>
                </c:pt>
                <c:pt idx="63">
                  <c:v>698.56</c:v>
                </c:pt>
                <c:pt idx="64">
                  <c:v>697.54</c:v>
                </c:pt>
                <c:pt idx="65">
                  <c:v>674.87</c:v>
                </c:pt>
                <c:pt idx="66">
                  <c:v>683.04</c:v>
                </c:pt>
                <c:pt idx="67">
                  <c:v>690.09</c:v>
                </c:pt>
                <c:pt idx="68">
                  <c:v>695.38</c:v>
                </c:pt>
                <c:pt idx="69">
                  <c:v>700.43</c:v>
                </c:pt>
                <c:pt idx="70">
                  <c:v>717.73</c:v>
                </c:pt>
                <c:pt idx="71">
                  <c:v>729.83</c:v>
                </c:pt>
                <c:pt idx="72">
                  <c:v>724.8</c:v>
                </c:pt>
                <c:pt idx="73">
                  <c:v>715.75</c:v>
                </c:pt>
                <c:pt idx="74">
                  <c:v>697.65</c:v>
                </c:pt>
                <c:pt idx="75">
                  <c:v>694.23</c:v>
                </c:pt>
                <c:pt idx="76">
                  <c:v>707.14</c:v>
                </c:pt>
                <c:pt idx="77">
                  <c:v>696.27</c:v>
                </c:pt>
                <c:pt idx="78">
                  <c:v>682.52</c:v>
                </c:pt>
                <c:pt idx="79">
                  <c:v>690.77</c:v>
                </c:pt>
                <c:pt idx="80">
                  <c:v>705.29</c:v>
                </c:pt>
                <c:pt idx="81">
                  <c:v>708.82</c:v>
                </c:pt>
                <c:pt idx="82">
                  <c:v>721.01</c:v>
                </c:pt>
                <c:pt idx="83">
                  <c:v>740.17</c:v>
                </c:pt>
                <c:pt idx="84">
                  <c:v>743.1</c:v>
                </c:pt>
                <c:pt idx="85">
                  <c:v>741.47</c:v>
                </c:pt>
                <c:pt idx="86">
                  <c:v>707.27</c:v>
                </c:pt>
                <c:pt idx="87">
                  <c:v>608.14</c:v>
                </c:pt>
                <c:pt idx="88">
                  <c:v>475.71</c:v>
                </c:pt>
                <c:pt idx="89">
                  <c:v>395.02</c:v>
                </c:pt>
                <c:pt idx="90">
                  <c:v>364.66</c:v>
                </c:pt>
                <c:pt idx="91">
                  <c:v>324.04000000000002</c:v>
                </c:pt>
                <c:pt idx="92">
                  <c:v>274.77999999999997</c:v>
                </c:pt>
                <c:pt idx="93">
                  <c:v>235.61</c:v>
                </c:pt>
                <c:pt idx="94">
                  <c:v>229.77</c:v>
                </c:pt>
                <c:pt idx="95">
                  <c:v>230.5</c:v>
                </c:pt>
                <c:pt idx="96">
                  <c:v>227.63</c:v>
                </c:pt>
                <c:pt idx="97">
                  <c:v>228.83</c:v>
                </c:pt>
                <c:pt idx="98">
                  <c:v>233.83</c:v>
                </c:pt>
                <c:pt idx="99">
                  <c:v>252</c:v>
                </c:pt>
                <c:pt idx="100">
                  <c:v>272.45999999999998</c:v>
                </c:pt>
                <c:pt idx="101">
                  <c:v>341.71</c:v>
                </c:pt>
                <c:pt idx="102">
                  <c:v>401.78</c:v>
                </c:pt>
                <c:pt idx="103">
                  <c:v>457.98</c:v>
                </c:pt>
                <c:pt idx="104">
                  <c:v>519.25</c:v>
                </c:pt>
                <c:pt idx="105">
                  <c:v>568.15</c:v>
                </c:pt>
                <c:pt idx="106">
                  <c:v>577.61</c:v>
                </c:pt>
                <c:pt idx="107">
                  <c:v>599.34</c:v>
                </c:pt>
                <c:pt idx="108">
                  <c:v>601.29</c:v>
                </c:pt>
                <c:pt idx="109">
                  <c:v>604.6</c:v>
                </c:pt>
                <c:pt idx="110">
                  <c:v>608.45000000000005</c:v>
                </c:pt>
                <c:pt idx="111">
                  <c:v>615.91</c:v>
                </c:pt>
                <c:pt idx="112">
                  <c:v>617.55999999999995</c:v>
                </c:pt>
                <c:pt idx="113">
                  <c:v>627.37</c:v>
                </c:pt>
                <c:pt idx="114">
                  <c:v>644.39</c:v>
                </c:pt>
                <c:pt idx="115">
                  <c:v>643.58000000000004</c:v>
                </c:pt>
                <c:pt idx="116">
                  <c:v>651.41999999999996</c:v>
                </c:pt>
                <c:pt idx="117">
                  <c:v>636.44000000000005</c:v>
                </c:pt>
                <c:pt idx="118">
                  <c:v>626.87</c:v>
                </c:pt>
                <c:pt idx="119">
                  <c:v>630.85</c:v>
                </c:pt>
                <c:pt idx="120">
                  <c:v>623.04999999999995</c:v>
                </c:pt>
                <c:pt idx="121">
                  <c:v>612.92999999999995</c:v>
                </c:pt>
                <c:pt idx="122">
                  <c:v>606.24</c:v>
                </c:pt>
                <c:pt idx="123">
                  <c:v>599.12</c:v>
                </c:pt>
                <c:pt idx="124">
                  <c:v>596.54999999999995</c:v>
                </c:pt>
                <c:pt idx="125">
                  <c:v>593.12</c:v>
                </c:pt>
                <c:pt idx="126">
                  <c:v>596.32000000000005</c:v>
                </c:pt>
                <c:pt idx="127">
                  <c:v>611.67999999999995</c:v>
                </c:pt>
                <c:pt idx="128">
                  <c:v>656.22</c:v>
                </c:pt>
                <c:pt idx="129">
                  <c:v>673.33</c:v>
                </c:pt>
                <c:pt idx="130">
                  <c:v>726.13</c:v>
                </c:pt>
                <c:pt idx="131">
                  <c:v>741.62</c:v>
                </c:pt>
                <c:pt idx="132">
                  <c:v>733.6</c:v>
                </c:pt>
                <c:pt idx="133">
                  <c:v>710.58</c:v>
                </c:pt>
                <c:pt idx="134">
                  <c:v>681.96</c:v>
                </c:pt>
                <c:pt idx="135">
                  <c:v>636.20000000000005</c:v>
                </c:pt>
                <c:pt idx="136">
                  <c:v>538.37</c:v>
                </c:pt>
                <c:pt idx="137">
                  <c:v>435.2</c:v>
                </c:pt>
                <c:pt idx="138">
                  <c:v>366.65</c:v>
                </c:pt>
                <c:pt idx="139">
                  <c:v>321.01</c:v>
                </c:pt>
                <c:pt idx="140">
                  <c:v>305.45</c:v>
                </c:pt>
                <c:pt idx="141">
                  <c:v>302.77</c:v>
                </c:pt>
                <c:pt idx="142">
                  <c:v>307.39</c:v>
                </c:pt>
                <c:pt idx="143">
                  <c:v>301.51</c:v>
                </c:pt>
                <c:pt idx="144">
                  <c:v>311.52</c:v>
                </c:pt>
                <c:pt idx="145">
                  <c:v>315.52999999999997</c:v>
                </c:pt>
                <c:pt idx="146">
                  <c:v>316.29000000000002</c:v>
                </c:pt>
                <c:pt idx="147">
                  <c:v>324.19</c:v>
                </c:pt>
                <c:pt idx="148">
                  <c:v>332.66</c:v>
                </c:pt>
                <c:pt idx="149">
                  <c:v>352.13</c:v>
                </c:pt>
                <c:pt idx="150">
                  <c:v>416.43</c:v>
                </c:pt>
                <c:pt idx="151">
                  <c:v>508.66</c:v>
                </c:pt>
                <c:pt idx="152">
                  <c:v>615.54999999999995</c:v>
                </c:pt>
                <c:pt idx="153">
                  <c:v>693.83</c:v>
                </c:pt>
                <c:pt idx="154">
                  <c:v>699.96</c:v>
                </c:pt>
                <c:pt idx="155">
                  <c:v>674.88</c:v>
                </c:pt>
                <c:pt idx="156">
                  <c:v>662.51</c:v>
                </c:pt>
                <c:pt idx="157">
                  <c:v>660.89</c:v>
                </c:pt>
                <c:pt idx="158">
                  <c:v>664.58</c:v>
                </c:pt>
                <c:pt idx="159">
                  <c:v>673.31</c:v>
                </c:pt>
                <c:pt idx="160">
                  <c:v>681.48</c:v>
                </c:pt>
                <c:pt idx="161">
                  <c:v>685.66</c:v>
                </c:pt>
                <c:pt idx="162">
                  <c:v>684.2</c:v>
                </c:pt>
                <c:pt idx="163">
                  <c:v>700.19</c:v>
                </c:pt>
                <c:pt idx="164">
                  <c:v>689.89</c:v>
                </c:pt>
                <c:pt idx="165">
                  <c:v>709.39</c:v>
                </c:pt>
                <c:pt idx="166">
                  <c:v>719.65</c:v>
                </c:pt>
                <c:pt idx="167">
                  <c:v>734.5</c:v>
                </c:pt>
                <c:pt idx="168">
                  <c:v>762.21</c:v>
                </c:pt>
                <c:pt idx="169">
                  <c:v>772.45</c:v>
                </c:pt>
                <c:pt idx="170">
                  <c:v>788.86</c:v>
                </c:pt>
                <c:pt idx="171">
                  <c:v>777.86</c:v>
                </c:pt>
                <c:pt idx="172">
                  <c:v>779.84</c:v>
                </c:pt>
                <c:pt idx="173">
                  <c:v>779.3</c:v>
                </c:pt>
                <c:pt idx="174">
                  <c:v>755.73</c:v>
                </c:pt>
                <c:pt idx="175">
                  <c:v>765.52</c:v>
                </c:pt>
                <c:pt idx="176">
                  <c:v>756.28</c:v>
                </c:pt>
                <c:pt idx="177">
                  <c:v>732.36</c:v>
                </c:pt>
                <c:pt idx="178">
                  <c:v>749.61</c:v>
                </c:pt>
                <c:pt idx="179">
                  <c:v>754.62</c:v>
                </c:pt>
                <c:pt idx="180">
                  <c:v>715.79</c:v>
                </c:pt>
                <c:pt idx="181">
                  <c:v>699.03</c:v>
                </c:pt>
                <c:pt idx="182">
                  <c:v>678.76</c:v>
                </c:pt>
                <c:pt idx="183">
                  <c:v>656.74</c:v>
                </c:pt>
                <c:pt idx="184">
                  <c:v>636.16</c:v>
                </c:pt>
                <c:pt idx="185">
                  <c:v>595.63</c:v>
                </c:pt>
                <c:pt idx="186">
                  <c:v>577.78</c:v>
                </c:pt>
                <c:pt idx="187">
                  <c:v>580.69000000000005</c:v>
                </c:pt>
                <c:pt idx="188">
                  <c:v>561.13</c:v>
                </c:pt>
                <c:pt idx="189">
                  <c:v>531.16999999999996</c:v>
                </c:pt>
                <c:pt idx="190">
                  <c:v>527.54</c:v>
                </c:pt>
                <c:pt idx="191">
                  <c:v>533.58000000000004</c:v>
                </c:pt>
                <c:pt idx="192">
                  <c:v>542.70000000000005</c:v>
                </c:pt>
                <c:pt idx="193">
                  <c:v>540.28</c:v>
                </c:pt>
                <c:pt idx="194">
                  <c:v>547.36</c:v>
                </c:pt>
                <c:pt idx="195">
                  <c:v>559.02</c:v>
                </c:pt>
                <c:pt idx="196">
                  <c:v>576.35</c:v>
                </c:pt>
                <c:pt idx="197">
                  <c:v>597.51</c:v>
                </c:pt>
                <c:pt idx="198">
                  <c:v>611.04999999999995</c:v>
                </c:pt>
                <c:pt idx="199">
                  <c:v>625.98</c:v>
                </c:pt>
                <c:pt idx="200">
                  <c:v>642.69000000000005</c:v>
                </c:pt>
                <c:pt idx="201">
                  <c:v>655.51</c:v>
                </c:pt>
                <c:pt idx="202">
                  <c:v>641.49</c:v>
                </c:pt>
                <c:pt idx="203">
                  <c:v>602.54</c:v>
                </c:pt>
                <c:pt idx="204">
                  <c:v>582.14</c:v>
                </c:pt>
                <c:pt idx="205">
                  <c:v>586.45000000000005</c:v>
                </c:pt>
                <c:pt idx="206">
                  <c:v>592.34</c:v>
                </c:pt>
                <c:pt idx="207">
                  <c:v>596.9</c:v>
                </c:pt>
                <c:pt idx="208">
                  <c:v>609.66999999999996</c:v>
                </c:pt>
                <c:pt idx="209">
                  <c:v>630.21</c:v>
                </c:pt>
                <c:pt idx="210">
                  <c:v>638.36</c:v>
                </c:pt>
                <c:pt idx="211">
                  <c:v>657.28</c:v>
                </c:pt>
                <c:pt idx="212">
                  <c:v>662.11</c:v>
                </c:pt>
                <c:pt idx="213">
                  <c:v>671.53</c:v>
                </c:pt>
                <c:pt idx="214">
                  <c:v>680.68</c:v>
                </c:pt>
                <c:pt idx="215">
                  <c:v>691.08</c:v>
                </c:pt>
                <c:pt idx="216">
                  <c:v>691.52</c:v>
                </c:pt>
                <c:pt idx="217">
                  <c:v>693.03</c:v>
                </c:pt>
                <c:pt idx="218">
                  <c:v>692.37</c:v>
                </c:pt>
                <c:pt idx="219">
                  <c:v>690.94</c:v>
                </c:pt>
                <c:pt idx="220">
                  <c:v>703.71</c:v>
                </c:pt>
                <c:pt idx="221">
                  <c:v>705.44</c:v>
                </c:pt>
                <c:pt idx="222">
                  <c:v>684.04</c:v>
                </c:pt>
                <c:pt idx="223">
                  <c:v>678.07</c:v>
                </c:pt>
                <c:pt idx="224">
                  <c:v>666.91</c:v>
                </c:pt>
                <c:pt idx="225">
                  <c:v>665.61</c:v>
                </c:pt>
                <c:pt idx="226">
                  <c:v>663.35</c:v>
                </c:pt>
                <c:pt idx="227">
                  <c:v>669.39</c:v>
                </c:pt>
                <c:pt idx="228">
                  <c:v>650.82000000000005</c:v>
                </c:pt>
                <c:pt idx="229">
                  <c:v>641.27</c:v>
                </c:pt>
                <c:pt idx="230">
                  <c:v>624.39</c:v>
                </c:pt>
                <c:pt idx="231">
                  <c:v>603.71</c:v>
                </c:pt>
                <c:pt idx="232">
                  <c:v>570.99</c:v>
                </c:pt>
                <c:pt idx="233">
                  <c:v>522.41999999999996</c:v>
                </c:pt>
                <c:pt idx="234">
                  <c:v>479.77</c:v>
                </c:pt>
                <c:pt idx="235">
                  <c:v>429.14</c:v>
                </c:pt>
                <c:pt idx="236">
                  <c:v>388.83</c:v>
                </c:pt>
                <c:pt idx="237">
                  <c:v>336.52</c:v>
                </c:pt>
                <c:pt idx="238">
                  <c:v>304.37</c:v>
                </c:pt>
                <c:pt idx="239">
                  <c:v>301.12</c:v>
                </c:pt>
                <c:pt idx="240">
                  <c:v>297.99</c:v>
                </c:pt>
                <c:pt idx="241">
                  <c:v>304.44</c:v>
                </c:pt>
                <c:pt idx="242">
                  <c:v>311</c:v>
                </c:pt>
                <c:pt idx="243">
                  <c:v>314.89999999999998</c:v>
                </c:pt>
                <c:pt idx="244">
                  <c:v>336.7</c:v>
                </c:pt>
                <c:pt idx="245">
                  <c:v>375.52</c:v>
                </c:pt>
                <c:pt idx="246">
                  <c:v>422.45</c:v>
                </c:pt>
                <c:pt idx="247">
                  <c:v>500.48</c:v>
                </c:pt>
                <c:pt idx="248">
                  <c:v>603.44000000000005</c:v>
                </c:pt>
                <c:pt idx="249">
                  <c:v>629.61</c:v>
                </c:pt>
                <c:pt idx="250">
                  <c:v>645.51</c:v>
                </c:pt>
                <c:pt idx="251">
                  <c:v>617.16</c:v>
                </c:pt>
                <c:pt idx="252">
                  <c:v>606.67999999999995</c:v>
                </c:pt>
                <c:pt idx="253">
                  <c:v>607.01</c:v>
                </c:pt>
                <c:pt idx="254">
                  <c:v>617.54999999999995</c:v>
                </c:pt>
                <c:pt idx="255">
                  <c:v>627.69000000000005</c:v>
                </c:pt>
                <c:pt idx="256">
                  <c:v>631.39</c:v>
                </c:pt>
                <c:pt idx="257">
                  <c:v>634.24</c:v>
                </c:pt>
                <c:pt idx="258">
                  <c:v>647.15</c:v>
                </c:pt>
                <c:pt idx="259">
                  <c:v>661.09</c:v>
                </c:pt>
                <c:pt idx="260">
                  <c:v>664.81</c:v>
                </c:pt>
                <c:pt idx="261">
                  <c:v>682.42</c:v>
                </c:pt>
                <c:pt idx="262">
                  <c:v>694.56</c:v>
                </c:pt>
                <c:pt idx="263">
                  <c:v>695.16</c:v>
                </c:pt>
                <c:pt idx="264">
                  <c:v>685.27</c:v>
                </c:pt>
                <c:pt idx="265">
                  <c:v>678.12</c:v>
                </c:pt>
                <c:pt idx="266">
                  <c:v>700.44</c:v>
                </c:pt>
                <c:pt idx="267">
                  <c:v>689.28</c:v>
                </c:pt>
                <c:pt idx="268">
                  <c:v>688.5</c:v>
                </c:pt>
                <c:pt idx="269">
                  <c:v>690.08</c:v>
                </c:pt>
                <c:pt idx="270">
                  <c:v>694</c:v>
                </c:pt>
                <c:pt idx="271">
                  <c:v>692.2</c:v>
                </c:pt>
                <c:pt idx="272">
                  <c:v>694.5</c:v>
                </c:pt>
                <c:pt idx="273">
                  <c:v>706.52</c:v>
                </c:pt>
                <c:pt idx="274">
                  <c:v>706.53</c:v>
                </c:pt>
                <c:pt idx="275">
                  <c:v>719.08</c:v>
                </c:pt>
                <c:pt idx="276">
                  <c:v>714.64</c:v>
                </c:pt>
                <c:pt idx="277">
                  <c:v>704.7</c:v>
                </c:pt>
                <c:pt idx="278">
                  <c:v>668.35</c:v>
                </c:pt>
                <c:pt idx="279">
                  <c:v>639.45000000000005</c:v>
                </c:pt>
                <c:pt idx="280">
                  <c:v>596.95000000000005</c:v>
                </c:pt>
                <c:pt idx="281">
                  <c:v>547.64</c:v>
                </c:pt>
                <c:pt idx="282">
                  <c:v>489.5</c:v>
                </c:pt>
                <c:pt idx="283">
                  <c:v>445.83</c:v>
                </c:pt>
                <c:pt idx="284">
                  <c:v>423.65</c:v>
                </c:pt>
                <c:pt idx="285">
                  <c:v>398.47</c:v>
                </c:pt>
                <c:pt idx="286">
                  <c:v>373.48</c:v>
                </c:pt>
                <c:pt idx="287">
                  <c:v>354.52</c:v>
                </c:pt>
                <c:pt idx="288">
                  <c:v>340.62</c:v>
                </c:pt>
                <c:pt idx="289">
                  <c:v>352.55</c:v>
                </c:pt>
                <c:pt idx="290">
                  <c:v>364.57</c:v>
                </c:pt>
                <c:pt idx="291">
                  <c:v>376.69</c:v>
                </c:pt>
                <c:pt idx="292">
                  <c:v>396.33</c:v>
                </c:pt>
                <c:pt idx="293">
                  <c:v>455.02</c:v>
                </c:pt>
                <c:pt idx="294">
                  <c:v>521.45000000000005</c:v>
                </c:pt>
                <c:pt idx="295">
                  <c:v>624.63</c:v>
                </c:pt>
                <c:pt idx="296">
                  <c:v>701.6</c:v>
                </c:pt>
                <c:pt idx="297">
                  <c:v>704.62</c:v>
                </c:pt>
                <c:pt idx="298">
                  <c:v>691.78</c:v>
                </c:pt>
                <c:pt idx="299">
                  <c:v>675.28</c:v>
                </c:pt>
                <c:pt idx="300">
                  <c:v>667.56</c:v>
                </c:pt>
                <c:pt idx="301">
                  <c:v>660.52</c:v>
                </c:pt>
                <c:pt idx="302">
                  <c:v>666.03</c:v>
                </c:pt>
                <c:pt idx="303">
                  <c:v>668.98</c:v>
                </c:pt>
                <c:pt idx="304">
                  <c:v>677.29</c:v>
                </c:pt>
                <c:pt idx="305">
                  <c:v>686.96</c:v>
                </c:pt>
                <c:pt idx="306">
                  <c:v>701.57</c:v>
                </c:pt>
                <c:pt idx="307">
                  <c:v>731.74</c:v>
                </c:pt>
                <c:pt idx="308">
                  <c:v>746.91</c:v>
                </c:pt>
                <c:pt idx="309">
                  <c:v>762.92</c:v>
                </c:pt>
                <c:pt idx="310">
                  <c:v>778.09</c:v>
                </c:pt>
                <c:pt idx="311">
                  <c:v>794.03</c:v>
                </c:pt>
                <c:pt idx="312">
                  <c:v>808.34</c:v>
                </c:pt>
                <c:pt idx="313">
                  <c:v>816.13</c:v>
                </c:pt>
                <c:pt idx="314">
                  <c:v>818.05</c:v>
                </c:pt>
                <c:pt idx="315">
                  <c:v>812.24</c:v>
                </c:pt>
                <c:pt idx="316">
                  <c:v>819.98</c:v>
                </c:pt>
                <c:pt idx="317">
                  <c:v>823.11</c:v>
                </c:pt>
                <c:pt idx="318">
                  <c:v>832.06</c:v>
                </c:pt>
                <c:pt idx="319">
                  <c:v>849.05</c:v>
                </c:pt>
                <c:pt idx="320">
                  <c:v>838.66</c:v>
                </c:pt>
                <c:pt idx="321">
                  <c:v>828.38</c:v>
                </c:pt>
                <c:pt idx="322">
                  <c:v>829.51</c:v>
                </c:pt>
                <c:pt idx="323">
                  <c:v>818.49</c:v>
                </c:pt>
                <c:pt idx="324">
                  <c:v>785.99</c:v>
                </c:pt>
                <c:pt idx="325">
                  <c:v>753.72</c:v>
                </c:pt>
                <c:pt idx="326">
                  <c:v>723.94</c:v>
                </c:pt>
                <c:pt idx="327">
                  <c:v>684.47</c:v>
                </c:pt>
                <c:pt idx="328">
                  <c:v>655.82</c:v>
                </c:pt>
                <c:pt idx="329">
                  <c:v>640.59</c:v>
                </c:pt>
                <c:pt idx="330">
                  <c:v>634.54999999999995</c:v>
                </c:pt>
                <c:pt idx="331">
                  <c:v>630.08000000000004</c:v>
                </c:pt>
                <c:pt idx="332">
                  <c:v>616.4</c:v>
                </c:pt>
                <c:pt idx="333">
                  <c:v>607.76</c:v>
                </c:pt>
                <c:pt idx="334">
                  <c:v>577.79</c:v>
                </c:pt>
                <c:pt idx="335">
                  <c:v>457.13</c:v>
                </c:pt>
                <c:pt idx="336">
                  <c:v>461.23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B6-6447-80D8-294C86BD8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cked"/>
        <c:varyColors val="0"/>
        <c:ser>
          <c:idx val="9"/>
          <c:order val="0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0-5141-96FB-B5F76427C481}"/>
            </c:ext>
          </c:extLst>
        </c:ser>
        <c:ser>
          <c:idx val="10"/>
          <c:order val="1"/>
          <c:tx>
            <c:strRef>
              <c:f>'Data exploration'!$V$1</c:f>
              <c:strCache>
                <c:ptCount val="1"/>
                <c:pt idx="0">
                  <c:v>Emissions Intensity - kgCO₂e/MWh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exploration'!$V$2:$V$338</c:f>
              <c:numCache>
                <c:formatCode>#,##0</c:formatCode>
                <c:ptCount val="337"/>
                <c:pt idx="0">
                  <c:v>443.49</c:v>
                </c:pt>
                <c:pt idx="1">
                  <c:v>364.25</c:v>
                </c:pt>
                <c:pt idx="2">
                  <c:v>315.14999999999998</c:v>
                </c:pt>
                <c:pt idx="3">
                  <c:v>315.64</c:v>
                </c:pt>
                <c:pt idx="4">
                  <c:v>329.07</c:v>
                </c:pt>
                <c:pt idx="5">
                  <c:v>384.44</c:v>
                </c:pt>
                <c:pt idx="6">
                  <c:v>430.63</c:v>
                </c:pt>
                <c:pt idx="7">
                  <c:v>503.02</c:v>
                </c:pt>
                <c:pt idx="8">
                  <c:v>573.92999999999995</c:v>
                </c:pt>
                <c:pt idx="9">
                  <c:v>609.23</c:v>
                </c:pt>
                <c:pt idx="10">
                  <c:v>614.98</c:v>
                </c:pt>
                <c:pt idx="11">
                  <c:v>626.9</c:v>
                </c:pt>
                <c:pt idx="12">
                  <c:v>628.27</c:v>
                </c:pt>
                <c:pt idx="13">
                  <c:v>635.47</c:v>
                </c:pt>
                <c:pt idx="14">
                  <c:v>641.4</c:v>
                </c:pt>
                <c:pt idx="15">
                  <c:v>647.57000000000005</c:v>
                </c:pt>
                <c:pt idx="16">
                  <c:v>652.88</c:v>
                </c:pt>
                <c:pt idx="17">
                  <c:v>661.86</c:v>
                </c:pt>
                <c:pt idx="18">
                  <c:v>684.04</c:v>
                </c:pt>
                <c:pt idx="19">
                  <c:v>697.6</c:v>
                </c:pt>
                <c:pt idx="20">
                  <c:v>704.69</c:v>
                </c:pt>
                <c:pt idx="21">
                  <c:v>704.45</c:v>
                </c:pt>
                <c:pt idx="22">
                  <c:v>714.69</c:v>
                </c:pt>
                <c:pt idx="23">
                  <c:v>721.88</c:v>
                </c:pt>
                <c:pt idx="24">
                  <c:v>724.24</c:v>
                </c:pt>
                <c:pt idx="25">
                  <c:v>715.83</c:v>
                </c:pt>
                <c:pt idx="26">
                  <c:v>713.37</c:v>
                </c:pt>
                <c:pt idx="27">
                  <c:v>714.98</c:v>
                </c:pt>
                <c:pt idx="28">
                  <c:v>707.48</c:v>
                </c:pt>
                <c:pt idx="29">
                  <c:v>711.47</c:v>
                </c:pt>
                <c:pt idx="30">
                  <c:v>687.09</c:v>
                </c:pt>
                <c:pt idx="31">
                  <c:v>659.92</c:v>
                </c:pt>
                <c:pt idx="32">
                  <c:v>625.37</c:v>
                </c:pt>
                <c:pt idx="33">
                  <c:v>586.72</c:v>
                </c:pt>
                <c:pt idx="34">
                  <c:v>573.44000000000005</c:v>
                </c:pt>
                <c:pt idx="35">
                  <c:v>573.99</c:v>
                </c:pt>
                <c:pt idx="36">
                  <c:v>578.44000000000005</c:v>
                </c:pt>
                <c:pt idx="37">
                  <c:v>581.19000000000005</c:v>
                </c:pt>
                <c:pt idx="38">
                  <c:v>572.15</c:v>
                </c:pt>
                <c:pt idx="39">
                  <c:v>564.29999999999995</c:v>
                </c:pt>
                <c:pt idx="40">
                  <c:v>543.76</c:v>
                </c:pt>
                <c:pt idx="41">
                  <c:v>490.36</c:v>
                </c:pt>
                <c:pt idx="42">
                  <c:v>436.75</c:v>
                </c:pt>
                <c:pt idx="43">
                  <c:v>392.73</c:v>
                </c:pt>
                <c:pt idx="44">
                  <c:v>341.29</c:v>
                </c:pt>
                <c:pt idx="45">
                  <c:v>304.85000000000002</c:v>
                </c:pt>
                <c:pt idx="46">
                  <c:v>290.74</c:v>
                </c:pt>
                <c:pt idx="47">
                  <c:v>293.8</c:v>
                </c:pt>
                <c:pt idx="48">
                  <c:v>300.2</c:v>
                </c:pt>
                <c:pt idx="49">
                  <c:v>300.94</c:v>
                </c:pt>
                <c:pt idx="50">
                  <c:v>302.08999999999997</c:v>
                </c:pt>
                <c:pt idx="51">
                  <c:v>304.57</c:v>
                </c:pt>
                <c:pt idx="52">
                  <c:v>310.42</c:v>
                </c:pt>
                <c:pt idx="53">
                  <c:v>328.01</c:v>
                </c:pt>
                <c:pt idx="54">
                  <c:v>353.78</c:v>
                </c:pt>
                <c:pt idx="55">
                  <c:v>417.02</c:v>
                </c:pt>
                <c:pt idx="56">
                  <c:v>499.64</c:v>
                </c:pt>
                <c:pt idx="57">
                  <c:v>572.96</c:v>
                </c:pt>
                <c:pt idx="58">
                  <c:v>633.65</c:v>
                </c:pt>
                <c:pt idx="59">
                  <c:v>657.28</c:v>
                </c:pt>
                <c:pt idx="60">
                  <c:v>670.74</c:v>
                </c:pt>
                <c:pt idx="61">
                  <c:v>683.09</c:v>
                </c:pt>
                <c:pt idx="62">
                  <c:v>693.51</c:v>
                </c:pt>
                <c:pt idx="63">
                  <c:v>698.56</c:v>
                </c:pt>
                <c:pt idx="64">
                  <c:v>697.54</c:v>
                </c:pt>
                <c:pt idx="65">
                  <c:v>674.87</c:v>
                </c:pt>
                <c:pt idx="66">
                  <c:v>683.04</c:v>
                </c:pt>
                <c:pt idx="67">
                  <c:v>690.09</c:v>
                </c:pt>
                <c:pt idx="68">
                  <c:v>695.38</c:v>
                </c:pt>
                <c:pt idx="69">
                  <c:v>700.43</c:v>
                </c:pt>
                <c:pt idx="70">
                  <c:v>717.73</c:v>
                </c:pt>
                <c:pt idx="71">
                  <c:v>729.83</c:v>
                </c:pt>
                <c:pt idx="72">
                  <c:v>724.8</c:v>
                </c:pt>
                <c:pt idx="73">
                  <c:v>715.75</c:v>
                </c:pt>
                <c:pt idx="74">
                  <c:v>697.65</c:v>
                </c:pt>
                <c:pt idx="75">
                  <c:v>694.23</c:v>
                </c:pt>
                <c:pt idx="76">
                  <c:v>707.14</c:v>
                </c:pt>
                <c:pt idx="77">
                  <c:v>696.27</c:v>
                </c:pt>
                <c:pt idx="78">
                  <c:v>682.52</c:v>
                </c:pt>
                <c:pt idx="79">
                  <c:v>690.77</c:v>
                </c:pt>
                <c:pt idx="80">
                  <c:v>705.29</c:v>
                </c:pt>
                <c:pt idx="81">
                  <c:v>708.82</c:v>
                </c:pt>
                <c:pt idx="82">
                  <c:v>721.01</c:v>
                </c:pt>
                <c:pt idx="83">
                  <c:v>740.17</c:v>
                </c:pt>
                <c:pt idx="84">
                  <c:v>743.1</c:v>
                </c:pt>
                <c:pt idx="85">
                  <c:v>741.47</c:v>
                </c:pt>
                <c:pt idx="86">
                  <c:v>707.27</c:v>
                </c:pt>
                <c:pt idx="87">
                  <c:v>608.14</c:v>
                </c:pt>
                <c:pt idx="88">
                  <c:v>475.71</c:v>
                </c:pt>
                <c:pt idx="89">
                  <c:v>395.02</c:v>
                </c:pt>
                <c:pt idx="90">
                  <c:v>364.66</c:v>
                </c:pt>
                <c:pt idx="91">
                  <c:v>324.04000000000002</c:v>
                </c:pt>
                <c:pt idx="92">
                  <c:v>274.77999999999997</c:v>
                </c:pt>
                <c:pt idx="93">
                  <c:v>235.61</c:v>
                </c:pt>
                <c:pt idx="94">
                  <c:v>229.77</c:v>
                </c:pt>
                <c:pt idx="95">
                  <c:v>230.5</c:v>
                </c:pt>
                <c:pt idx="96">
                  <c:v>227.63</c:v>
                </c:pt>
                <c:pt idx="97">
                  <c:v>228.83</c:v>
                </c:pt>
                <c:pt idx="98">
                  <c:v>233.83</c:v>
                </c:pt>
                <c:pt idx="99">
                  <c:v>252</c:v>
                </c:pt>
                <c:pt idx="100">
                  <c:v>272.45999999999998</c:v>
                </c:pt>
                <c:pt idx="101">
                  <c:v>341.71</c:v>
                </c:pt>
                <c:pt idx="102">
                  <c:v>401.78</c:v>
                </c:pt>
                <c:pt idx="103">
                  <c:v>457.98</c:v>
                </c:pt>
                <c:pt idx="104">
                  <c:v>519.25</c:v>
                </c:pt>
                <c:pt idx="105">
                  <c:v>568.15</c:v>
                </c:pt>
                <c:pt idx="106">
                  <c:v>577.61</c:v>
                </c:pt>
                <c:pt idx="107">
                  <c:v>599.34</c:v>
                </c:pt>
                <c:pt idx="108">
                  <c:v>601.29</c:v>
                </c:pt>
                <c:pt idx="109">
                  <c:v>604.6</c:v>
                </c:pt>
                <c:pt idx="110">
                  <c:v>608.45000000000005</c:v>
                </c:pt>
                <c:pt idx="111">
                  <c:v>615.91</c:v>
                </c:pt>
                <c:pt idx="112">
                  <c:v>617.55999999999995</c:v>
                </c:pt>
                <c:pt idx="113">
                  <c:v>627.37</c:v>
                </c:pt>
                <c:pt idx="114">
                  <c:v>644.39</c:v>
                </c:pt>
                <c:pt idx="115">
                  <c:v>643.58000000000004</c:v>
                </c:pt>
                <c:pt idx="116">
                  <c:v>651.41999999999996</c:v>
                </c:pt>
                <c:pt idx="117">
                  <c:v>636.44000000000005</c:v>
                </c:pt>
                <c:pt idx="118">
                  <c:v>626.87</c:v>
                </c:pt>
                <c:pt idx="119">
                  <c:v>630.85</c:v>
                </c:pt>
                <c:pt idx="120">
                  <c:v>623.04999999999995</c:v>
                </c:pt>
                <c:pt idx="121">
                  <c:v>612.92999999999995</c:v>
                </c:pt>
                <c:pt idx="122">
                  <c:v>606.24</c:v>
                </c:pt>
                <c:pt idx="123">
                  <c:v>599.12</c:v>
                </c:pt>
                <c:pt idx="124">
                  <c:v>596.54999999999995</c:v>
                </c:pt>
                <c:pt idx="125">
                  <c:v>593.12</c:v>
                </c:pt>
                <c:pt idx="126">
                  <c:v>596.32000000000005</c:v>
                </c:pt>
                <c:pt idx="127">
                  <c:v>611.67999999999995</c:v>
                </c:pt>
                <c:pt idx="128">
                  <c:v>656.22</c:v>
                </c:pt>
                <c:pt idx="129">
                  <c:v>673.33</c:v>
                </c:pt>
                <c:pt idx="130">
                  <c:v>726.13</c:v>
                </c:pt>
                <c:pt idx="131">
                  <c:v>741.62</c:v>
                </c:pt>
                <c:pt idx="132">
                  <c:v>733.6</c:v>
                </c:pt>
                <c:pt idx="133">
                  <c:v>710.58</c:v>
                </c:pt>
                <c:pt idx="134">
                  <c:v>681.96</c:v>
                </c:pt>
                <c:pt idx="135">
                  <c:v>636.20000000000005</c:v>
                </c:pt>
                <c:pt idx="136">
                  <c:v>538.37</c:v>
                </c:pt>
                <c:pt idx="137">
                  <c:v>435.2</c:v>
                </c:pt>
                <c:pt idx="138">
                  <c:v>366.65</c:v>
                </c:pt>
                <c:pt idx="139">
                  <c:v>321.01</c:v>
                </c:pt>
                <c:pt idx="140">
                  <c:v>305.45</c:v>
                </c:pt>
                <c:pt idx="141">
                  <c:v>302.77</c:v>
                </c:pt>
                <c:pt idx="142">
                  <c:v>307.39</c:v>
                </c:pt>
                <c:pt idx="143">
                  <c:v>301.51</c:v>
                </c:pt>
                <c:pt idx="144">
                  <c:v>311.52</c:v>
                </c:pt>
                <c:pt idx="145">
                  <c:v>315.52999999999997</c:v>
                </c:pt>
                <c:pt idx="146">
                  <c:v>316.29000000000002</c:v>
                </c:pt>
                <c:pt idx="147">
                  <c:v>324.19</c:v>
                </c:pt>
                <c:pt idx="148">
                  <c:v>332.66</c:v>
                </c:pt>
                <c:pt idx="149">
                  <c:v>352.13</c:v>
                </c:pt>
                <c:pt idx="150">
                  <c:v>416.43</c:v>
                </c:pt>
                <c:pt idx="151">
                  <c:v>508.66</c:v>
                </c:pt>
                <c:pt idx="152">
                  <c:v>615.54999999999995</c:v>
                </c:pt>
                <c:pt idx="153">
                  <c:v>693.83</c:v>
                </c:pt>
                <c:pt idx="154">
                  <c:v>699.96</c:v>
                </c:pt>
                <c:pt idx="155">
                  <c:v>674.88</c:v>
                </c:pt>
                <c:pt idx="156">
                  <c:v>662.51</c:v>
                </c:pt>
                <c:pt idx="157">
                  <c:v>660.89</c:v>
                </c:pt>
                <c:pt idx="158">
                  <c:v>664.58</c:v>
                </c:pt>
                <c:pt idx="159">
                  <c:v>673.31</c:v>
                </c:pt>
                <c:pt idx="160">
                  <c:v>681.48</c:v>
                </c:pt>
                <c:pt idx="161">
                  <c:v>685.66</c:v>
                </c:pt>
                <c:pt idx="162">
                  <c:v>684.2</c:v>
                </c:pt>
                <c:pt idx="163">
                  <c:v>700.19</c:v>
                </c:pt>
                <c:pt idx="164">
                  <c:v>689.89</c:v>
                </c:pt>
                <c:pt idx="165">
                  <c:v>709.39</c:v>
                </c:pt>
                <c:pt idx="166">
                  <c:v>719.65</c:v>
                </c:pt>
                <c:pt idx="167">
                  <c:v>734.5</c:v>
                </c:pt>
                <c:pt idx="168">
                  <c:v>762.21</c:v>
                </c:pt>
                <c:pt idx="169">
                  <c:v>772.45</c:v>
                </c:pt>
                <c:pt idx="170">
                  <c:v>788.86</c:v>
                </c:pt>
                <c:pt idx="171">
                  <c:v>777.86</c:v>
                </c:pt>
                <c:pt idx="172">
                  <c:v>779.84</c:v>
                </c:pt>
                <c:pt idx="173">
                  <c:v>779.3</c:v>
                </c:pt>
                <c:pt idx="174">
                  <c:v>755.73</c:v>
                </c:pt>
                <c:pt idx="175">
                  <c:v>765.52</c:v>
                </c:pt>
                <c:pt idx="176">
                  <c:v>756.28</c:v>
                </c:pt>
                <c:pt idx="177">
                  <c:v>732.36</c:v>
                </c:pt>
                <c:pt idx="178">
                  <c:v>749.61</c:v>
                </c:pt>
                <c:pt idx="179">
                  <c:v>754.62</c:v>
                </c:pt>
                <c:pt idx="180">
                  <c:v>715.79</c:v>
                </c:pt>
                <c:pt idx="181">
                  <c:v>699.03</c:v>
                </c:pt>
                <c:pt idx="182">
                  <c:v>678.76</c:v>
                </c:pt>
                <c:pt idx="183">
                  <c:v>656.74</c:v>
                </c:pt>
                <c:pt idx="184">
                  <c:v>636.16</c:v>
                </c:pt>
                <c:pt idx="185">
                  <c:v>595.63</c:v>
                </c:pt>
                <c:pt idx="186">
                  <c:v>577.78</c:v>
                </c:pt>
                <c:pt idx="187">
                  <c:v>580.69000000000005</c:v>
                </c:pt>
                <c:pt idx="188">
                  <c:v>561.13</c:v>
                </c:pt>
                <c:pt idx="189">
                  <c:v>531.16999999999996</c:v>
                </c:pt>
                <c:pt idx="190">
                  <c:v>527.54</c:v>
                </c:pt>
                <c:pt idx="191">
                  <c:v>533.58000000000004</c:v>
                </c:pt>
                <c:pt idx="192">
                  <c:v>542.70000000000005</c:v>
                </c:pt>
                <c:pt idx="193">
                  <c:v>540.28</c:v>
                </c:pt>
                <c:pt idx="194">
                  <c:v>547.36</c:v>
                </c:pt>
                <c:pt idx="195">
                  <c:v>559.02</c:v>
                </c:pt>
                <c:pt idx="196">
                  <c:v>576.35</c:v>
                </c:pt>
                <c:pt idx="197">
                  <c:v>597.51</c:v>
                </c:pt>
                <c:pt idx="198">
                  <c:v>611.04999999999995</c:v>
                </c:pt>
                <c:pt idx="199">
                  <c:v>625.98</c:v>
                </c:pt>
                <c:pt idx="200">
                  <c:v>642.69000000000005</c:v>
                </c:pt>
                <c:pt idx="201">
                  <c:v>655.51</c:v>
                </c:pt>
                <c:pt idx="202">
                  <c:v>641.49</c:v>
                </c:pt>
                <c:pt idx="203">
                  <c:v>602.54</c:v>
                </c:pt>
                <c:pt idx="204">
                  <c:v>582.14</c:v>
                </c:pt>
                <c:pt idx="205">
                  <c:v>586.45000000000005</c:v>
                </c:pt>
                <c:pt idx="206">
                  <c:v>592.34</c:v>
                </c:pt>
                <c:pt idx="207">
                  <c:v>596.9</c:v>
                </c:pt>
                <c:pt idx="208">
                  <c:v>609.66999999999996</c:v>
                </c:pt>
                <c:pt idx="209">
                  <c:v>630.21</c:v>
                </c:pt>
                <c:pt idx="210">
                  <c:v>638.36</c:v>
                </c:pt>
                <c:pt idx="211">
                  <c:v>657.28</c:v>
                </c:pt>
                <c:pt idx="212">
                  <c:v>662.11</c:v>
                </c:pt>
                <c:pt idx="213">
                  <c:v>671.53</c:v>
                </c:pt>
                <c:pt idx="214">
                  <c:v>680.68</c:v>
                </c:pt>
                <c:pt idx="215">
                  <c:v>691.08</c:v>
                </c:pt>
                <c:pt idx="216">
                  <c:v>691.52</c:v>
                </c:pt>
                <c:pt idx="217">
                  <c:v>693.03</c:v>
                </c:pt>
                <c:pt idx="218">
                  <c:v>692.37</c:v>
                </c:pt>
                <c:pt idx="219">
                  <c:v>690.94</c:v>
                </c:pt>
                <c:pt idx="220">
                  <c:v>703.71</c:v>
                </c:pt>
                <c:pt idx="221">
                  <c:v>705.44</c:v>
                </c:pt>
                <c:pt idx="222">
                  <c:v>684.04</c:v>
                </c:pt>
                <c:pt idx="223">
                  <c:v>678.07</c:v>
                </c:pt>
                <c:pt idx="224">
                  <c:v>666.91</c:v>
                </c:pt>
                <c:pt idx="225">
                  <c:v>665.61</c:v>
                </c:pt>
                <c:pt idx="226">
                  <c:v>663.35</c:v>
                </c:pt>
                <c:pt idx="227">
                  <c:v>669.39</c:v>
                </c:pt>
                <c:pt idx="228">
                  <c:v>650.82000000000005</c:v>
                </c:pt>
                <c:pt idx="229">
                  <c:v>641.27</c:v>
                </c:pt>
                <c:pt idx="230">
                  <c:v>624.39</c:v>
                </c:pt>
                <c:pt idx="231">
                  <c:v>603.71</c:v>
                </c:pt>
                <c:pt idx="232">
                  <c:v>570.99</c:v>
                </c:pt>
                <c:pt idx="233">
                  <c:v>522.41999999999996</c:v>
                </c:pt>
                <c:pt idx="234">
                  <c:v>479.77</c:v>
                </c:pt>
                <c:pt idx="235">
                  <c:v>429.14</c:v>
                </c:pt>
                <c:pt idx="236">
                  <c:v>388.83</c:v>
                </c:pt>
                <c:pt idx="237">
                  <c:v>336.52</c:v>
                </c:pt>
                <c:pt idx="238">
                  <c:v>304.37</c:v>
                </c:pt>
                <c:pt idx="239">
                  <c:v>301.12</c:v>
                </c:pt>
                <c:pt idx="240">
                  <c:v>297.99</c:v>
                </c:pt>
                <c:pt idx="241">
                  <c:v>304.44</c:v>
                </c:pt>
                <c:pt idx="242">
                  <c:v>311</c:v>
                </c:pt>
                <c:pt idx="243">
                  <c:v>314.89999999999998</c:v>
                </c:pt>
                <c:pt idx="244">
                  <c:v>336.7</c:v>
                </c:pt>
                <c:pt idx="245">
                  <c:v>375.52</c:v>
                </c:pt>
                <c:pt idx="246">
                  <c:v>422.45</c:v>
                </c:pt>
                <c:pt idx="247">
                  <c:v>500.48</c:v>
                </c:pt>
                <c:pt idx="248">
                  <c:v>603.44000000000005</c:v>
                </c:pt>
                <c:pt idx="249">
                  <c:v>629.61</c:v>
                </c:pt>
                <c:pt idx="250">
                  <c:v>645.51</c:v>
                </c:pt>
                <c:pt idx="251">
                  <c:v>617.16</c:v>
                </c:pt>
                <c:pt idx="252">
                  <c:v>606.67999999999995</c:v>
                </c:pt>
                <c:pt idx="253">
                  <c:v>607.01</c:v>
                </c:pt>
                <c:pt idx="254">
                  <c:v>617.54999999999995</c:v>
                </c:pt>
                <c:pt idx="255">
                  <c:v>627.69000000000005</c:v>
                </c:pt>
                <c:pt idx="256">
                  <c:v>631.39</c:v>
                </c:pt>
                <c:pt idx="257">
                  <c:v>634.24</c:v>
                </c:pt>
                <c:pt idx="258">
                  <c:v>647.15</c:v>
                </c:pt>
                <c:pt idx="259">
                  <c:v>661.09</c:v>
                </c:pt>
                <c:pt idx="260">
                  <c:v>664.81</c:v>
                </c:pt>
                <c:pt idx="261">
                  <c:v>682.42</c:v>
                </c:pt>
                <c:pt idx="262">
                  <c:v>694.56</c:v>
                </c:pt>
                <c:pt idx="263">
                  <c:v>695.16</c:v>
                </c:pt>
                <c:pt idx="264">
                  <c:v>685.27</c:v>
                </c:pt>
                <c:pt idx="265">
                  <c:v>678.12</c:v>
                </c:pt>
                <c:pt idx="266">
                  <c:v>700.44</c:v>
                </c:pt>
                <c:pt idx="267">
                  <c:v>689.28</c:v>
                </c:pt>
                <c:pt idx="268">
                  <c:v>688.5</c:v>
                </c:pt>
                <c:pt idx="269">
                  <c:v>690.08</c:v>
                </c:pt>
                <c:pt idx="270">
                  <c:v>694</c:v>
                </c:pt>
                <c:pt idx="271">
                  <c:v>692.2</c:v>
                </c:pt>
                <c:pt idx="272">
                  <c:v>694.5</c:v>
                </c:pt>
                <c:pt idx="273">
                  <c:v>706.52</c:v>
                </c:pt>
                <c:pt idx="274">
                  <c:v>706.53</c:v>
                </c:pt>
                <c:pt idx="275">
                  <c:v>719.08</c:v>
                </c:pt>
                <c:pt idx="276">
                  <c:v>714.64</c:v>
                </c:pt>
                <c:pt idx="277">
                  <c:v>704.7</c:v>
                </c:pt>
                <c:pt idx="278">
                  <c:v>668.35</c:v>
                </c:pt>
                <c:pt idx="279">
                  <c:v>639.45000000000005</c:v>
                </c:pt>
                <c:pt idx="280">
                  <c:v>596.95000000000005</c:v>
                </c:pt>
                <c:pt idx="281">
                  <c:v>547.64</c:v>
                </c:pt>
                <c:pt idx="282">
                  <c:v>489.5</c:v>
                </c:pt>
                <c:pt idx="283">
                  <c:v>445.83</c:v>
                </c:pt>
                <c:pt idx="284">
                  <c:v>423.65</c:v>
                </c:pt>
                <c:pt idx="285">
                  <c:v>398.47</c:v>
                </c:pt>
                <c:pt idx="286">
                  <c:v>373.48</c:v>
                </c:pt>
                <c:pt idx="287">
                  <c:v>354.52</c:v>
                </c:pt>
                <c:pt idx="288">
                  <c:v>340.62</c:v>
                </c:pt>
                <c:pt idx="289">
                  <c:v>352.55</c:v>
                </c:pt>
                <c:pt idx="290">
                  <c:v>364.57</c:v>
                </c:pt>
                <c:pt idx="291">
                  <c:v>376.69</c:v>
                </c:pt>
                <c:pt idx="292">
                  <c:v>396.33</c:v>
                </c:pt>
                <c:pt idx="293">
                  <c:v>455.02</c:v>
                </c:pt>
                <c:pt idx="294">
                  <c:v>521.45000000000005</c:v>
                </c:pt>
                <c:pt idx="295">
                  <c:v>624.63</c:v>
                </c:pt>
                <c:pt idx="296">
                  <c:v>701.6</c:v>
                </c:pt>
                <c:pt idx="297">
                  <c:v>704.62</c:v>
                </c:pt>
                <c:pt idx="298">
                  <c:v>691.78</c:v>
                </c:pt>
                <c:pt idx="299">
                  <c:v>675.28</c:v>
                </c:pt>
                <c:pt idx="300">
                  <c:v>667.56</c:v>
                </c:pt>
                <c:pt idx="301">
                  <c:v>660.52</c:v>
                </c:pt>
                <c:pt idx="302">
                  <c:v>666.03</c:v>
                </c:pt>
                <c:pt idx="303">
                  <c:v>668.98</c:v>
                </c:pt>
                <c:pt idx="304">
                  <c:v>677.29</c:v>
                </c:pt>
                <c:pt idx="305">
                  <c:v>686.96</c:v>
                </c:pt>
                <c:pt idx="306">
                  <c:v>701.57</c:v>
                </c:pt>
                <c:pt idx="307">
                  <c:v>731.74</c:v>
                </c:pt>
                <c:pt idx="308">
                  <c:v>746.91</c:v>
                </c:pt>
                <c:pt idx="309">
                  <c:v>762.92</c:v>
                </c:pt>
                <c:pt idx="310">
                  <c:v>778.09</c:v>
                </c:pt>
                <c:pt idx="311">
                  <c:v>794.03</c:v>
                </c:pt>
                <c:pt idx="312">
                  <c:v>808.34</c:v>
                </c:pt>
                <c:pt idx="313">
                  <c:v>816.13</c:v>
                </c:pt>
                <c:pt idx="314">
                  <c:v>818.05</c:v>
                </c:pt>
                <c:pt idx="315">
                  <c:v>812.24</c:v>
                </c:pt>
                <c:pt idx="316">
                  <c:v>819.98</c:v>
                </c:pt>
                <c:pt idx="317">
                  <c:v>823.11</c:v>
                </c:pt>
                <c:pt idx="318">
                  <c:v>832.06</c:v>
                </c:pt>
                <c:pt idx="319">
                  <c:v>849.05</c:v>
                </c:pt>
                <c:pt idx="320">
                  <c:v>838.66</c:v>
                </c:pt>
                <c:pt idx="321">
                  <c:v>828.38</c:v>
                </c:pt>
                <c:pt idx="322">
                  <c:v>829.51</c:v>
                </c:pt>
                <c:pt idx="323">
                  <c:v>818.49</c:v>
                </c:pt>
                <c:pt idx="324">
                  <c:v>785.99</c:v>
                </c:pt>
                <c:pt idx="325">
                  <c:v>753.72</c:v>
                </c:pt>
                <c:pt idx="326">
                  <c:v>723.94</c:v>
                </c:pt>
                <c:pt idx="327">
                  <c:v>684.47</c:v>
                </c:pt>
                <c:pt idx="328">
                  <c:v>655.82</c:v>
                </c:pt>
                <c:pt idx="329">
                  <c:v>640.59</c:v>
                </c:pt>
                <c:pt idx="330">
                  <c:v>634.54999999999995</c:v>
                </c:pt>
                <c:pt idx="331">
                  <c:v>630.08000000000004</c:v>
                </c:pt>
                <c:pt idx="332">
                  <c:v>616.4</c:v>
                </c:pt>
                <c:pt idx="333">
                  <c:v>607.76</c:v>
                </c:pt>
                <c:pt idx="334">
                  <c:v>577.79</c:v>
                </c:pt>
                <c:pt idx="335">
                  <c:v>457.13</c:v>
                </c:pt>
                <c:pt idx="336">
                  <c:v>461.23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0-5141-96FB-B5F76427C481}"/>
            </c:ext>
          </c:extLst>
        </c:ser>
        <c:ser>
          <c:idx val="0"/>
          <c:order val="2"/>
          <c:tx>
            <c:strRef>
              <c:f>'Data exploration'!$P$1</c:f>
              <c:strCache>
                <c:ptCount val="1"/>
                <c:pt idx="0">
                  <c:v>Exports Emissions Vol - tCO₂e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exploration'!$P$2:$P$338</c:f>
              <c:numCache>
                <c:formatCode>#,##0</c:formatCode>
                <c:ptCount val="337"/>
                <c:pt idx="0">
                  <c:v>9.02</c:v>
                </c:pt>
                <c:pt idx="1">
                  <c:v>27.69</c:v>
                </c:pt>
                <c:pt idx="2">
                  <c:v>2.2000000000000002</c:v>
                </c:pt>
                <c:pt idx="3">
                  <c:v>34.130000000000003</c:v>
                </c:pt>
                <c:pt idx="4">
                  <c:v>32.479999999999997</c:v>
                </c:pt>
                <c:pt idx="5">
                  <c:v>0.14000000000000001</c:v>
                </c:pt>
                <c:pt idx="6">
                  <c:v>31.3</c:v>
                </c:pt>
                <c:pt idx="7">
                  <c:v>29.46</c:v>
                </c:pt>
                <c:pt idx="8">
                  <c:v>48.61</c:v>
                </c:pt>
                <c:pt idx="9">
                  <c:v>62.35</c:v>
                </c:pt>
                <c:pt idx="10">
                  <c:v>65.650000000000006</c:v>
                </c:pt>
                <c:pt idx="11">
                  <c:v>150.97</c:v>
                </c:pt>
                <c:pt idx="12">
                  <c:v>157.80000000000001</c:v>
                </c:pt>
                <c:pt idx="13">
                  <c:v>157.35</c:v>
                </c:pt>
                <c:pt idx="14">
                  <c:v>174.28</c:v>
                </c:pt>
                <c:pt idx="15">
                  <c:v>177.6</c:v>
                </c:pt>
                <c:pt idx="16">
                  <c:v>178.64</c:v>
                </c:pt>
                <c:pt idx="17">
                  <c:v>183.5</c:v>
                </c:pt>
                <c:pt idx="18">
                  <c:v>204.56</c:v>
                </c:pt>
                <c:pt idx="19">
                  <c:v>209.6</c:v>
                </c:pt>
                <c:pt idx="20">
                  <c:v>167.51</c:v>
                </c:pt>
                <c:pt idx="21">
                  <c:v>169.68</c:v>
                </c:pt>
                <c:pt idx="22">
                  <c:v>171.05</c:v>
                </c:pt>
                <c:pt idx="23">
                  <c:v>185.48</c:v>
                </c:pt>
                <c:pt idx="24">
                  <c:v>207.54</c:v>
                </c:pt>
                <c:pt idx="25">
                  <c:v>230.46</c:v>
                </c:pt>
                <c:pt idx="26">
                  <c:v>166.27</c:v>
                </c:pt>
                <c:pt idx="27">
                  <c:v>168.05</c:v>
                </c:pt>
                <c:pt idx="28">
                  <c:v>176.46</c:v>
                </c:pt>
                <c:pt idx="29">
                  <c:v>152.13999999999999</c:v>
                </c:pt>
                <c:pt idx="30">
                  <c:v>149.61000000000001</c:v>
                </c:pt>
                <c:pt idx="31">
                  <c:v>98.12</c:v>
                </c:pt>
                <c:pt idx="32">
                  <c:v>49.5</c:v>
                </c:pt>
                <c:pt idx="33">
                  <c:v>10.050000000000001</c:v>
                </c:pt>
                <c:pt idx="34">
                  <c:v>0</c:v>
                </c:pt>
                <c:pt idx="35">
                  <c:v>2.93</c:v>
                </c:pt>
                <c:pt idx="36">
                  <c:v>11.11</c:v>
                </c:pt>
                <c:pt idx="37">
                  <c:v>1.52</c:v>
                </c:pt>
                <c:pt idx="38">
                  <c:v>62.75</c:v>
                </c:pt>
                <c:pt idx="39">
                  <c:v>205.13</c:v>
                </c:pt>
                <c:pt idx="40">
                  <c:v>244.03</c:v>
                </c:pt>
                <c:pt idx="41">
                  <c:v>231.29</c:v>
                </c:pt>
                <c:pt idx="42">
                  <c:v>224.62</c:v>
                </c:pt>
                <c:pt idx="43">
                  <c:v>209.28</c:v>
                </c:pt>
                <c:pt idx="44">
                  <c:v>174.67</c:v>
                </c:pt>
                <c:pt idx="45">
                  <c:v>138.74</c:v>
                </c:pt>
                <c:pt idx="46">
                  <c:v>143.4</c:v>
                </c:pt>
                <c:pt idx="47">
                  <c:v>139.05000000000001</c:v>
                </c:pt>
                <c:pt idx="48">
                  <c:v>107.78</c:v>
                </c:pt>
                <c:pt idx="49">
                  <c:v>96.17</c:v>
                </c:pt>
                <c:pt idx="50">
                  <c:v>99.78</c:v>
                </c:pt>
                <c:pt idx="51">
                  <c:v>99.64</c:v>
                </c:pt>
                <c:pt idx="52">
                  <c:v>77.87</c:v>
                </c:pt>
                <c:pt idx="53">
                  <c:v>63.34</c:v>
                </c:pt>
                <c:pt idx="54">
                  <c:v>68.959999999999994</c:v>
                </c:pt>
                <c:pt idx="55">
                  <c:v>44.82</c:v>
                </c:pt>
                <c:pt idx="56">
                  <c:v>36.17</c:v>
                </c:pt>
                <c:pt idx="57">
                  <c:v>40.08</c:v>
                </c:pt>
                <c:pt idx="58">
                  <c:v>52.02</c:v>
                </c:pt>
                <c:pt idx="59">
                  <c:v>35</c:v>
                </c:pt>
                <c:pt idx="60">
                  <c:v>9.2200000000000006</c:v>
                </c:pt>
                <c:pt idx="61">
                  <c:v>0.57999999999999996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28.62</c:v>
                </c:pt>
                <c:pt idx="72">
                  <c:v>19.600000000000001</c:v>
                </c:pt>
                <c:pt idx="73">
                  <c:v>5.62</c:v>
                </c:pt>
                <c:pt idx="74">
                  <c:v>1.69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0.63</c:v>
                </c:pt>
                <c:pt idx="80">
                  <c:v>4.8600000000000003</c:v>
                </c:pt>
                <c:pt idx="81">
                  <c:v>0</c:v>
                </c:pt>
                <c:pt idx="82">
                  <c:v>29.41</c:v>
                </c:pt>
                <c:pt idx="83">
                  <c:v>52.26</c:v>
                </c:pt>
                <c:pt idx="84">
                  <c:v>43.62</c:v>
                </c:pt>
                <c:pt idx="85">
                  <c:v>45.39</c:v>
                </c:pt>
                <c:pt idx="86">
                  <c:v>11.13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29.85</c:v>
                </c:pt>
                <c:pt idx="108">
                  <c:v>25.2</c:v>
                </c:pt>
                <c:pt idx="109">
                  <c:v>37.64</c:v>
                </c:pt>
                <c:pt idx="110">
                  <c:v>60.69</c:v>
                </c:pt>
                <c:pt idx="111">
                  <c:v>64.03</c:v>
                </c:pt>
                <c:pt idx="112">
                  <c:v>65.16</c:v>
                </c:pt>
                <c:pt idx="113">
                  <c:v>81.650000000000006</c:v>
                </c:pt>
                <c:pt idx="114">
                  <c:v>112.17</c:v>
                </c:pt>
                <c:pt idx="115">
                  <c:v>123.16</c:v>
                </c:pt>
                <c:pt idx="116">
                  <c:v>127.82</c:v>
                </c:pt>
                <c:pt idx="117">
                  <c:v>132.37</c:v>
                </c:pt>
                <c:pt idx="118">
                  <c:v>130.6</c:v>
                </c:pt>
                <c:pt idx="119">
                  <c:v>158.55000000000001</c:v>
                </c:pt>
                <c:pt idx="120">
                  <c:v>171.28</c:v>
                </c:pt>
                <c:pt idx="121">
                  <c:v>169.91</c:v>
                </c:pt>
                <c:pt idx="122">
                  <c:v>160.04</c:v>
                </c:pt>
                <c:pt idx="123">
                  <c:v>142.07</c:v>
                </c:pt>
                <c:pt idx="124">
                  <c:v>152.12</c:v>
                </c:pt>
                <c:pt idx="125">
                  <c:v>152.94999999999999</c:v>
                </c:pt>
                <c:pt idx="126">
                  <c:v>117.83</c:v>
                </c:pt>
                <c:pt idx="127">
                  <c:v>102.66</c:v>
                </c:pt>
                <c:pt idx="128">
                  <c:v>121.8</c:v>
                </c:pt>
                <c:pt idx="129">
                  <c:v>147.88999999999999</c:v>
                </c:pt>
                <c:pt idx="130">
                  <c:v>160.69999999999999</c:v>
                </c:pt>
                <c:pt idx="131">
                  <c:v>197.92</c:v>
                </c:pt>
                <c:pt idx="132">
                  <c:v>145.72999999999999</c:v>
                </c:pt>
                <c:pt idx="133">
                  <c:v>128.53</c:v>
                </c:pt>
                <c:pt idx="134">
                  <c:v>101.53</c:v>
                </c:pt>
                <c:pt idx="135">
                  <c:v>72.239999999999995</c:v>
                </c:pt>
                <c:pt idx="136">
                  <c:v>46.23</c:v>
                </c:pt>
                <c:pt idx="137">
                  <c:v>83.25</c:v>
                </c:pt>
                <c:pt idx="138">
                  <c:v>90.59</c:v>
                </c:pt>
                <c:pt idx="139">
                  <c:v>74.67</c:v>
                </c:pt>
                <c:pt idx="140">
                  <c:v>67.48</c:v>
                </c:pt>
                <c:pt idx="141">
                  <c:v>60.85</c:v>
                </c:pt>
                <c:pt idx="142">
                  <c:v>75.72</c:v>
                </c:pt>
                <c:pt idx="143">
                  <c:v>100.25</c:v>
                </c:pt>
                <c:pt idx="144">
                  <c:v>90.97</c:v>
                </c:pt>
                <c:pt idx="145">
                  <c:v>88.9</c:v>
                </c:pt>
                <c:pt idx="146">
                  <c:v>95.3</c:v>
                </c:pt>
                <c:pt idx="147">
                  <c:v>98.6</c:v>
                </c:pt>
                <c:pt idx="148">
                  <c:v>91.73</c:v>
                </c:pt>
                <c:pt idx="149">
                  <c:v>81.3</c:v>
                </c:pt>
                <c:pt idx="150">
                  <c:v>68.11</c:v>
                </c:pt>
                <c:pt idx="151">
                  <c:v>86.44</c:v>
                </c:pt>
                <c:pt idx="152">
                  <c:v>65.62</c:v>
                </c:pt>
                <c:pt idx="153">
                  <c:v>97.66</c:v>
                </c:pt>
                <c:pt idx="154">
                  <c:v>87.87</c:v>
                </c:pt>
                <c:pt idx="155">
                  <c:v>7.19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0.26</c:v>
                </c:pt>
                <c:pt idx="164">
                  <c:v>9.51</c:v>
                </c:pt>
                <c:pt idx="165">
                  <c:v>29.5</c:v>
                </c:pt>
                <c:pt idx="166">
                  <c:v>19.649999999999999</c:v>
                </c:pt>
                <c:pt idx="167">
                  <c:v>35.619999999999997</c:v>
                </c:pt>
                <c:pt idx="168">
                  <c:v>37</c:v>
                </c:pt>
                <c:pt idx="169">
                  <c:v>30.71</c:v>
                </c:pt>
                <c:pt idx="170">
                  <c:v>42.12</c:v>
                </c:pt>
                <c:pt idx="171">
                  <c:v>37.61</c:v>
                </c:pt>
                <c:pt idx="172">
                  <c:v>2.11</c:v>
                </c:pt>
                <c:pt idx="173">
                  <c:v>1.23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6.35</c:v>
                </c:pt>
                <c:pt idx="178">
                  <c:v>99.85</c:v>
                </c:pt>
                <c:pt idx="179">
                  <c:v>188.22</c:v>
                </c:pt>
                <c:pt idx="180">
                  <c:v>200.36</c:v>
                </c:pt>
                <c:pt idx="181">
                  <c:v>174.19</c:v>
                </c:pt>
                <c:pt idx="182">
                  <c:v>129.76</c:v>
                </c:pt>
                <c:pt idx="183">
                  <c:v>76.13</c:v>
                </c:pt>
                <c:pt idx="184">
                  <c:v>2.76</c:v>
                </c:pt>
                <c:pt idx="185">
                  <c:v>21.4</c:v>
                </c:pt>
                <c:pt idx="186">
                  <c:v>27.39</c:v>
                </c:pt>
                <c:pt idx="187">
                  <c:v>19.760000000000002</c:v>
                </c:pt>
                <c:pt idx="188">
                  <c:v>60.92</c:v>
                </c:pt>
                <c:pt idx="189">
                  <c:v>57.22</c:v>
                </c:pt>
                <c:pt idx="190">
                  <c:v>64.209999999999994</c:v>
                </c:pt>
                <c:pt idx="191">
                  <c:v>81.36</c:v>
                </c:pt>
                <c:pt idx="192">
                  <c:v>99.96</c:v>
                </c:pt>
                <c:pt idx="193">
                  <c:v>135.18</c:v>
                </c:pt>
                <c:pt idx="194">
                  <c:v>137.79</c:v>
                </c:pt>
                <c:pt idx="195">
                  <c:v>107.29</c:v>
                </c:pt>
                <c:pt idx="196">
                  <c:v>95.76</c:v>
                </c:pt>
                <c:pt idx="197">
                  <c:v>0.57999999999999996</c:v>
                </c:pt>
                <c:pt idx="198">
                  <c:v>7.56</c:v>
                </c:pt>
                <c:pt idx="199">
                  <c:v>5.04</c:v>
                </c:pt>
                <c:pt idx="200">
                  <c:v>57.09</c:v>
                </c:pt>
                <c:pt idx="201">
                  <c:v>20.22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19.34</c:v>
                </c:pt>
                <c:pt idx="227">
                  <c:v>24.09</c:v>
                </c:pt>
                <c:pt idx="228">
                  <c:v>41.91</c:v>
                </c:pt>
                <c:pt idx="229">
                  <c:v>12.58</c:v>
                </c:pt>
                <c:pt idx="230">
                  <c:v>2.65</c:v>
                </c:pt>
                <c:pt idx="231">
                  <c:v>0</c:v>
                </c:pt>
                <c:pt idx="232">
                  <c:v>35.06</c:v>
                </c:pt>
                <c:pt idx="233">
                  <c:v>92.93</c:v>
                </c:pt>
                <c:pt idx="234">
                  <c:v>85.82</c:v>
                </c:pt>
                <c:pt idx="235">
                  <c:v>91.56</c:v>
                </c:pt>
                <c:pt idx="236">
                  <c:v>94.65</c:v>
                </c:pt>
                <c:pt idx="237">
                  <c:v>111.66</c:v>
                </c:pt>
                <c:pt idx="238">
                  <c:v>68.989999999999995</c:v>
                </c:pt>
                <c:pt idx="239">
                  <c:v>58.04</c:v>
                </c:pt>
                <c:pt idx="240">
                  <c:v>65.56</c:v>
                </c:pt>
                <c:pt idx="241">
                  <c:v>61.46</c:v>
                </c:pt>
                <c:pt idx="242">
                  <c:v>65.8</c:v>
                </c:pt>
                <c:pt idx="243">
                  <c:v>60.99</c:v>
                </c:pt>
                <c:pt idx="244">
                  <c:v>54.79</c:v>
                </c:pt>
                <c:pt idx="245">
                  <c:v>62.32</c:v>
                </c:pt>
                <c:pt idx="246">
                  <c:v>73</c:v>
                </c:pt>
                <c:pt idx="247">
                  <c:v>51.42</c:v>
                </c:pt>
                <c:pt idx="248">
                  <c:v>95.76</c:v>
                </c:pt>
                <c:pt idx="249">
                  <c:v>67.55</c:v>
                </c:pt>
                <c:pt idx="250">
                  <c:v>25.25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44.35</c:v>
                </c:pt>
                <c:pt idx="282">
                  <c:v>84.45</c:v>
                </c:pt>
                <c:pt idx="283">
                  <c:v>54.32</c:v>
                </c:pt>
                <c:pt idx="284">
                  <c:v>49.45</c:v>
                </c:pt>
                <c:pt idx="285">
                  <c:v>67.62</c:v>
                </c:pt>
                <c:pt idx="286">
                  <c:v>80.28</c:v>
                </c:pt>
                <c:pt idx="287">
                  <c:v>65.84</c:v>
                </c:pt>
                <c:pt idx="288">
                  <c:v>42.7</c:v>
                </c:pt>
                <c:pt idx="289">
                  <c:v>31.56</c:v>
                </c:pt>
                <c:pt idx="290">
                  <c:v>32.31</c:v>
                </c:pt>
                <c:pt idx="291">
                  <c:v>46.43</c:v>
                </c:pt>
                <c:pt idx="292">
                  <c:v>42.86</c:v>
                </c:pt>
                <c:pt idx="293">
                  <c:v>55.2</c:v>
                </c:pt>
                <c:pt idx="294">
                  <c:v>85.57</c:v>
                </c:pt>
                <c:pt idx="295">
                  <c:v>82.2</c:v>
                </c:pt>
                <c:pt idx="296">
                  <c:v>89.1</c:v>
                </c:pt>
                <c:pt idx="297">
                  <c:v>91</c:v>
                </c:pt>
                <c:pt idx="298">
                  <c:v>91.32</c:v>
                </c:pt>
                <c:pt idx="299">
                  <c:v>76.75</c:v>
                </c:pt>
                <c:pt idx="300">
                  <c:v>38.090000000000003</c:v>
                </c:pt>
                <c:pt idx="301">
                  <c:v>17.48</c:v>
                </c:pt>
                <c:pt idx="302">
                  <c:v>32.35</c:v>
                </c:pt>
                <c:pt idx="303">
                  <c:v>57.42</c:v>
                </c:pt>
                <c:pt idx="304">
                  <c:v>85.82</c:v>
                </c:pt>
                <c:pt idx="305">
                  <c:v>68.62</c:v>
                </c:pt>
                <c:pt idx="306">
                  <c:v>78.209999999999994</c:v>
                </c:pt>
                <c:pt idx="307">
                  <c:v>76.540000000000006</c:v>
                </c:pt>
                <c:pt idx="308">
                  <c:v>44.3</c:v>
                </c:pt>
                <c:pt idx="309">
                  <c:v>76.069999999999993</c:v>
                </c:pt>
                <c:pt idx="310">
                  <c:v>78.91</c:v>
                </c:pt>
                <c:pt idx="311">
                  <c:v>93.78</c:v>
                </c:pt>
                <c:pt idx="312">
                  <c:v>81.010000000000005</c:v>
                </c:pt>
                <c:pt idx="313">
                  <c:v>61.06</c:v>
                </c:pt>
                <c:pt idx="314">
                  <c:v>73.39</c:v>
                </c:pt>
                <c:pt idx="315">
                  <c:v>68.44</c:v>
                </c:pt>
                <c:pt idx="316">
                  <c:v>64.489999999999995</c:v>
                </c:pt>
                <c:pt idx="317">
                  <c:v>53.45</c:v>
                </c:pt>
                <c:pt idx="318">
                  <c:v>63.09</c:v>
                </c:pt>
                <c:pt idx="319">
                  <c:v>56.57</c:v>
                </c:pt>
                <c:pt idx="320">
                  <c:v>38.18</c:v>
                </c:pt>
                <c:pt idx="321">
                  <c:v>39.07</c:v>
                </c:pt>
                <c:pt idx="322">
                  <c:v>59.34</c:v>
                </c:pt>
                <c:pt idx="323">
                  <c:v>85.47</c:v>
                </c:pt>
                <c:pt idx="324">
                  <c:v>59.39</c:v>
                </c:pt>
                <c:pt idx="325">
                  <c:v>30.05</c:v>
                </c:pt>
                <c:pt idx="326">
                  <c:v>0</c:v>
                </c:pt>
                <c:pt idx="327">
                  <c:v>23.62</c:v>
                </c:pt>
                <c:pt idx="328">
                  <c:v>66.92</c:v>
                </c:pt>
                <c:pt idx="329">
                  <c:v>97.07</c:v>
                </c:pt>
                <c:pt idx="330">
                  <c:v>101.25</c:v>
                </c:pt>
                <c:pt idx="331">
                  <c:v>95.76</c:v>
                </c:pt>
                <c:pt idx="332">
                  <c:v>54.89</c:v>
                </c:pt>
                <c:pt idx="333">
                  <c:v>10.87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C0-5141-96FB-B5F76427C481}"/>
            </c:ext>
          </c:extLst>
        </c:ser>
        <c:ser>
          <c:idx val="1"/>
          <c:order val="3"/>
          <c:tx>
            <c:strRef>
              <c:f>'Data exploration'!$Q$1</c:f>
              <c:strCache>
                <c:ptCount val="1"/>
                <c:pt idx="0">
                  <c:v>Imports Emissions Vol - tCO₂e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exploration'!$Q$2:$Q$338</c:f>
              <c:numCache>
                <c:formatCode>#,##0</c:formatCode>
                <c:ptCount val="337"/>
                <c:pt idx="0">
                  <c:v>41.99</c:v>
                </c:pt>
                <c:pt idx="1">
                  <c:v>251.17</c:v>
                </c:pt>
                <c:pt idx="2">
                  <c:v>254.96</c:v>
                </c:pt>
                <c:pt idx="3">
                  <c:v>246.76</c:v>
                </c:pt>
                <c:pt idx="4">
                  <c:v>239.86</c:v>
                </c:pt>
                <c:pt idx="5">
                  <c:v>239.01</c:v>
                </c:pt>
                <c:pt idx="6">
                  <c:v>207.77</c:v>
                </c:pt>
                <c:pt idx="7">
                  <c:v>200.61</c:v>
                </c:pt>
                <c:pt idx="8">
                  <c:v>237.38</c:v>
                </c:pt>
                <c:pt idx="9">
                  <c:v>223.1</c:v>
                </c:pt>
                <c:pt idx="10">
                  <c:v>219.51</c:v>
                </c:pt>
                <c:pt idx="11">
                  <c:v>131.74</c:v>
                </c:pt>
                <c:pt idx="12">
                  <c:v>125.88</c:v>
                </c:pt>
                <c:pt idx="13">
                  <c:v>129.35</c:v>
                </c:pt>
                <c:pt idx="14">
                  <c:v>144.09</c:v>
                </c:pt>
                <c:pt idx="15">
                  <c:v>133.1</c:v>
                </c:pt>
                <c:pt idx="16">
                  <c:v>144.19999999999999</c:v>
                </c:pt>
                <c:pt idx="17">
                  <c:v>166.51</c:v>
                </c:pt>
                <c:pt idx="18">
                  <c:v>205.62</c:v>
                </c:pt>
                <c:pt idx="19">
                  <c:v>199.86</c:v>
                </c:pt>
                <c:pt idx="20">
                  <c:v>135.80000000000001</c:v>
                </c:pt>
                <c:pt idx="21">
                  <c:v>138.15</c:v>
                </c:pt>
                <c:pt idx="22">
                  <c:v>160.26</c:v>
                </c:pt>
                <c:pt idx="23">
                  <c:v>133.27000000000001</c:v>
                </c:pt>
                <c:pt idx="24">
                  <c:v>83.71</c:v>
                </c:pt>
                <c:pt idx="25">
                  <c:v>122.7</c:v>
                </c:pt>
                <c:pt idx="26">
                  <c:v>115.89</c:v>
                </c:pt>
                <c:pt idx="27">
                  <c:v>159.94999999999999</c:v>
                </c:pt>
                <c:pt idx="28">
                  <c:v>151.66</c:v>
                </c:pt>
                <c:pt idx="29">
                  <c:v>121.17</c:v>
                </c:pt>
                <c:pt idx="30">
                  <c:v>189.23</c:v>
                </c:pt>
                <c:pt idx="31">
                  <c:v>184.56</c:v>
                </c:pt>
                <c:pt idx="32">
                  <c:v>243.84</c:v>
                </c:pt>
                <c:pt idx="33">
                  <c:v>283.58</c:v>
                </c:pt>
                <c:pt idx="34">
                  <c:v>322.3</c:v>
                </c:pt>
                <c:pt idx="35">
                  <c:v>269.42</c:v>
                </c:pt>
                <c:pt idx="36">
                  <c:v>238.33</c:v>
                </c:pt>
                <c:pt idx="37">
                  <c:v>226.75</c:v>
                </c:pt>
                <c:pt idx="38">
                  <c:v>317.48</c:v>
                </c:pt>
                <c:pt idx="39">
                  <c:v>342.57</c:v>
                </c:pt>
                <c:pt idx="40">
                  <c:v>243.23</c:v>
                </c:pt>
                <c:pt idx="41">
                  <c:v>197.97</c:v>
                </c:pt>
                <c:pt idx="42">
                  <c:v>201.87</c:v>
                </c:pt>
                <c:pt idx="43">
                  <c:v>199.9</c:v>
                </c:pt>
                <c:pt idx="44">
                  <c:v>199.5</c:v>
                </c:pt>
                <c:pt idx="45">
                  <c:v>206.31</c:v>
                </c:pt>
                <c:pt idx="46">
                  <c:v>205.2</c:v>
                </c:pt>
                <c:pt idx="47">
                  <c:v>214.96</c:v>
                </c:pt>
                <c:pt idx="48">
                  <c:v>230.04</c:v>
                </c:pt>
                <c:pt idx="49">
                  <c:v>234.27</c:v>
                </c:pt>
                <c:pt idx="50">
                  <c:v>219.82</c:v>
                </c:pt>
                <c:pt idx="51">
                  <c:v>209.7</c:v>
                </c:pt>
                <c:pt idx="52">
                  <c:v>202.45</c:v>
                </c:pt>
                <c:pt idx="53">
                  <c:v>195.15</c:v>
                </c:pt>
                <c:pt idx="54">
                  <c:v>199.65</c:v>
                </c:pt>
                <c:pt idx="55">
                  <c:v>224.13</c:v>
                </c:pt>
                <c:pt idx="56">
                  <c:v>272.17</c:v>
                </c:pt>
                <c:pt idx="57">
                  <c:v>299.18</c:v>
                </c:pt>
                <c:pt idx="58">
                  <c:v>244.61</c:v>
                </c:pt>
                <c:pt idx="59">
                  <c:v>195.46</c:v>
                </c:pt>
                <c:pt idx="60">
                  <c:v>174.34</c:v>
                </c:pt>
                <c:pt idx="61">
                  <c:v>187.43</c:v>
                </c:pt>
                <c:pt idx="62">
                  <c:v>238.5</c:v>
                </c:pt>
                <c:pt idx="63">
                  <c:v>278.08999999999997</c:v>
                </c:pt>
                <c:pt idx="64">
                  <c:v>345.87</c:v>
                </c:pt>
                <c:pt idx="65">
                  <c:v>484.72</c:v>
                </c:pt>
                <c:pt idx="66">
                  <c:v>457.31</c:v>
                </c:pt>
                <c:pt idx="67">
                  <c:v>438.82</c:v>
                </c:pt>
                <c:pt idx="68">
                  <c:v>402.56</c:v>
                </c:pt>
                <c:pt idx="69">
                  <c:v>383.18</c:v>
                </c:pt>
                <c:pt idx="70">
                  <c:v>376.35</c:v>
                </c:pt>
                <c:pt idx="71">
                  <c:v>319.72000000000003</c:v>
                </c:pt>
                <c:pt idx="72">
                  <c:v>295.22000000000003</c:v>
                </c:pt>
                <c:pt idx="73">
                  <c:v>305.29000000000002</c:v>
                </c:pt>
                <c:pt idx="74">
                  <c:v>294.89</c:v>
                </c:pt>
                <c:pt idx="75">
                  <c:v>287.43</c:v>
                </c:pt>
                <c:pt idx="76">
                  <c:v>290.31</c:v>
                </c:pt>
                <c:pt idx="77">
                  <c:v>317.52999999999997</c:v>
                </c:pt>
                <c:pt idx="78">
                  <c:v>327</c:v>
                </c:pt>
                <c:pt idx="79">
                  <c:v>293.86</c:v>
                </c:pt>
                <c:pt idx="80">
                  <c:v>278.2</c:v>
                </c:pt>
                <c:pt idx="81">
                  <c:v>284.94</c:v>
                </c:pt>
                <c:pt idx="82">
                  <c:v>283.95999999999998</c:v>
                </c:pt>
                <c:pt idx="83">
                  <c:v>277.75</c:v>
                </c:pt>
                <c:pt idx="84">
                  <c:v>267.61</c:v>
                </c:pt>
                <c:pt idx="85">
                  <c:v>258.3</c:v>
                </c:pt>
                <c:pt idx="86">
                  <c:v>261.77999999999997</c:v>
                </c:pt>
                <c:pt idx="87">
                  <c:v>308.13</c:v>
                </c:pt>
                <c:pt idx="88">
                  <c:v>341.62</c:v>
                </c:pt>
                <c:pt idx="89">
                  <c:v>378.61</c:v>
                </c:pt>
                <c:pt idx="90">
                  <c:v>355.95</c:v>
                </c:pt>
                <c:pt idx="91">
                  <c:v>358.93</c:v>
                </c:pt>
                <c:pt idx="92">
                  <c:v>419.83</c:v>
                </c:pt>
                <c:pt idx="93">
                  <c:v>426.21</c:v>
                </c:pt>
                <c:pt idx="94">
                  <c:v>398.34</c:v>
                </c:pt>
                <c:pt idx="95">
                  <c:v>349.16</c:v>
                </c:pt>
                <c:pt idx="96">
                  <c:v>357.06</c:v>
                </c:pt>
                <c:pt idx="97">
                  <c:v>350.99</c:v>
                </c:pt>
                <c:pt idx="98">
                  <c:v>361.32</c:v>
                </c:pt>
                <c:pt idx="99">
                  <c:v>400.13</c:v>
                </c:pt>
                <c:pt idx="100">
                  <c:v>390.11</c:v>
                </c:pt>
                <c:pt idx="101">
                  <c:v>364.23</c:v>
                </c:pt>
                <c:pt idx="102">
                  <c:v>361.06</c:v>
                </c:pt>
                <c:pt idx="103">
                  <c:v>426.05</c:v>
                </c:pt>
                <c:pt idx="104">
                  <c:v>482.97</c:v>
                </c:pt>
                <c:pt idx="105">
                  <c:v>446.37</c:v>
                </c:pt>
                <c:pt idx="106">
                  <c:v>427.1</c:v>
                </c:pt>
                <c:pt idx="107">
                  <c:v>303.81</c:v>
                </c:pt>
                <c:pt idx="108">
                  <c:v>277.14</c:v>
                </c:pt>
                <c:pt idx="109">
                  <c:v>279.98</c:v>
                </c:pt>
                <c:pt idx="110">
                  <c:v>285.86</c:v>
                </c:pt>
                <c:pt idx="111">
                  <c:v>280.06</c:v>
                </c:pt>
                <c:pt idx="112">
                  <c:v>277.61</c:v>
                </c:pt>
                <c:pt idx="113">
                  <c:v>296.8</c:v>
                </c:pt>
                <c:pt idx="114">
                  <c:v>277.38</c:v>
                </c:pt>
                <c:pt idx="115">
                  <c:v>281.61</c:v>
                </c:pt>
                <c:pt idx="116">
                  <c:v>271.63</c:v>
                </c:pt>
                <c:pt idx="117">
                  <c:v>283.27999999999997</c:v>
                </c:pt>
                <c:pt idx="118">
                  <c:v>297.70999999999998</c:v>
                </c:pt>
                <c:pt idx="119">
                  <c:v>279.98</c:v>
                </c:pt>
                <c:pt idx="120">
                  <c:v>274.22000000000003</c:v>
                </c:pt>
                <c:pt idx="121">
                  <c:v>281.60000000000002</c:v>
                </c:pt>
                <c:pt idx="122">
                  <c:v>284.89</c:v>
                </c:pt>
                <c:pt idx="123">
                  <c:v>277.07</c:v>
                </c:pt>
                <c:pt idx="124">
                  <c:v>287.83999999999997</c:v>
                </c:pt>
                <c:pt idx="125">
                  <c:v>284.14999999999998</c:v>
                </c:pt>
                <c:pt idx="126">
                  <c:v>269.75</c:v>
                </c:pt>
                <c:pt idx="127">
                  <c:v>256.02</c:v>
                </c:pt>
                <c:pt idx="128">
                  <c:v>223.28</c:v>
                </c:pt>
                <c:pt idx="129">
                  <c:v>186.06</c:v>
                </c:pt>
                <c:pt idx="130">
                  <c:v>83.17</c:v>
                </c:pt>
                <c:pt idx="131">
                  <c:v>0</c:v>
                </c:pt>
                <c:pt idx="132">
                  <c:v>0</c:v>
                </c:pt>
                <c:pt idx="133">
                  <c:v>5.47</c:v>
                </c:pt>
                <c:pt idx="134">
                  <c:v>0</c:v>
                </c:pt>
                <c:pt idx="135">
                  <c:v>2.44</c:v>
                </c:pt>
                <c:pt idx="136">
                  <c:v>63.07</c:v>
                </c:pt>
                <c:pt idx="137">
                  <c:v>144.63</c:v>
                </c:pt>
                <c:pt idx="138">
                  <c:v>160.27000000000001</c:v>
                </c:pt>
                <c:pt idx="139">
                  <c:v>176.01</c:v>
                </c:pt>
                <c:pt idx="140">
                  <c:v>172.94</c:v>
                </c:pt>
                <c:pt idx="141">
                  <c:v>180.02</c:v>
                </c:pt>
                <c:pt idx="142">
                  <c:v>182.28</c:v>
                </c:pt>
                <c:pt idx="143">
                  <c:v>168.33</c:v>
                </c:pt>
                <c:pt idx="144">
                  <c:v>204.01</c:v>
                </c:pt>
                <c:pt idx="145">
                  <c:v>204.82</c:v>
                </c:pt>
                <c:pt idx="146">
                  <c:v>197.07</c:v>
                </c:pt>
                <c:pt idx="147">
                  <c:v>206.98</c:v>
                </c:pt>
                <c:pt idx="148">
                  <c:v>196.22</c:v>
                </c:pt>
                <c:pt idx="149">
                  <c:v>223.55</c:v>
                </c:pt>
                <c:pt idx="150">
                  <c:v>183.84</c:v>
                </c:pt>
                <c:pt idx="151">
                  <c:v>217.63</c:v>
                </c:pt>
                <c:pt idx="152">
                  <c:v>273.24</c:v>
                </c:pt>
                <c:pt idx="153">
                  <c:v>249.93</c:v>
                </c:pt>
                <c:pt idx="154">
                  <c:v>258.17</c:v>
                </c:pt>
                <c:pt idx="155">
                  <c:v>312.63</c:v>
                </c:pt>
                <c:pt idx="156">
                  <c:v>319.14</c:v>
                </c:pt>
                <c:pt idx="157">
                  <c:v>299.93</c:v>
                </c:pt>
                <c:pt idx="158">
                  <c:v>274.37</c:v>
                </c:pt>
                <c:pt idx="159">
                  <c:v>296.45</c:v>
                </c:pt>
                <c:pt idx="160">
                  <c:v>317.33</c:v>
                </c:pt>
                <c:pt idx="161">
                  <c:v>305.82</c:v>
                </c:pt>
                <c:pt idx="162">
                  <c:v>271.13</c:v>
                </c:pt>
                <c:pt idx="163">
                  <c:v>227.44</c:v>
                </c:pt>
                <c:pt idx="164">
                  <c:v>212.78</c:v>
                </c:pt>
                <c:pt idx="165">
                  <c:v>206.75</c:v>
                </c:pt>
                <c:pt idx="166">
                  <c:v>196.4</c:v>
                </c:pt>
                <c:pt idx="167">
                  <c:v>156.82</c:v>
                </c:pt>
                <c:pt idx="168">
                  <c:v>117.55</c:v>
                </c:pt>
                <c:pt idx="169">
                  <c:v>120.78</c:v>
                </c:pt>
                <c:pt idx="170">
                  <c:v>118.98</c:v>
                </c:pt>
                <c:pt idx="171">
                  <c:v>133.09</c:v>
                </c:pt>
                <c:pt idx="172">
                  <c:v>146.76</c:v>
                </c:pt>
                <c:pt idx="173">
                  <c:v>155.72999999999999</c:v>
                </c:pt>
                <c:pt idx="174">
                  <c:v>229.59</c:v>
                </c:pt>
                <c:pt idx="175">
                  <c:v>225.74</c:v>
                </c:pt>
                <c:pt idx="176">
                  <c:v>206.53</c:v>
                </c:pt>
                <c:pt idx="177">
                  <c:v>164.24</c:v>
                </c:pt>
                <c:pt idx="178">
                  <c:v>81.99</c:v>
                </c:pt>
                <c:pt idx="179">
                  <c:v>15.56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97.72</c:v>
                </c:pt>
                <c:pt idx="185">
                  <c:v>224.59</c:v>
                </c:pt>
                <c:pt idx="186">
                  <c:v>248.32</c:v>
                </c:pt>
                <c:pt idx="187">
                  <c:v>225.24</c:v>
                </c:pt>
                <c:pt idx="188">
                  <c:v>261.79000000000002</c:v>
                </c:pt>
                <c:pt idx="189">
                  <c:v>200.57</c:v>
                </c:pt>
                <c:pt idx="190">
                  <c:v>219.38</c:v>
                </c:pt>
                <c:pt idx="191">
                  <c:v>215.16</c:v>
                </c:pt>
                <c:pt idx="192">
                  <c:v>205.33</c:v>
                </c:pt>
                <c:pt idx="193">
                  <c:v>169.57</c:v>
                </c:pt>
                <c:pt idx="194">
                  <c:v>159.34</c:v>
                </c:pt>
                <c:pt idx="195">
                  <c:v>140.97</c:v>
                </c:pt>
                <c:pt idx="196">
                  <c:v>176.94</c:v>
                </c:pt>
                <c:pt idx="197">
                  <c:v>102</c:v>
                </c:pt>
                <c:pt idx="198">
                  <c:v>141.82</c:v>
                </c:pt>
                <c:pt idx="199">
                  <c:v>140.66999999999999</c:v>
                </c:pt>
                <c:pt idx="200">
                  <c:v>151.38999999999999</c:v>
                </c:pt>
                <c:pt idx="201">
                  <c:v>162.29</c:v>
                </c:pt>
                <c:pt idx="202">
                  <c:v>209.49</c:v>
                </c:pt>
                <c:pt idx="203">
                  <c:v>379.8</c:v>
                </c:pt>
                <c:pt idx="204">
                  <c:v>387.46</c:v>
                </c:pt>
                <c:pt idx="205">
                  <c:v>379.13</c:v>
                </c:pt>
                <c:pt idx="206">
                  <c:v>367.82</c:v>
                </c:pt>
                <c:pt idx="207">
                  <c:v>348.18</c:v>
                </c:pt>
                <c:pt idx="208">
                  <c:v>330.18</c:v>
                </c:pt>
                <c:pt idx="209">
                  <c:v>284.25</c:v>
                </c:pt>
                <c:pt idx="210">
                  <c:v>282.54000000000002</c:v>
                </c:pt>
                <c:pt idx="211">
                  <c:v>286.86</c:v>
                </c:pt>
                <c:pt idx="212">
                  <c:v>268.52</c:v>
                </c:pt>
                <c:pt idx="213">
                  <c:v>265.55</c:v>
                </c:pt>
                <c:pt idx="214">
                  <c:v>262.47000000000003</c:v>
                </c:pt>
                <c:pt idx="215">
                  <c:v>257.55</c:v>
                </c:pt>
                <c:pt idx="216">
                  <c:v>282.08</c:v>
                </c:pt>
                <c:pt idx="217">
                  <c:v>307.88</c:v>
                </c:pt>
                <c:pt idx="218">
                  <c:v>303.41000000000003</c:v>
                </c:pt>
                <c:pt idx="219">
                  <c:v>311.58999999999997</c:v>
                </c:pt>
                <c:pt idx="220">
                  <c:v>291.85000000000002</c:v>
                </c:pt>
                <c:pt idx="221">
                  <c:v>324.26</c:v>
                </c:pt>
                <c:pt idx="222">
                  <c:v>391.34</c:v>
                </c:pt>
                <c:pt idx="223">
                  <c:v>381.33</c:v>
                </c:pt>
                <c:pt idx="224">
                  <c:v>376.89</c:v>
                </c:pt>
                <c:pt idx="225">
                  <c:v>361.35</c:v>
                </c:pt>
                <c:pt idx="226">
                  <c:v>345.36</c:v>
                </c:pt>
                <c:pt idx="227">
                  <c:v>259.02</c:v>
                </c:pt>
                <c:pt idx="228">
                  <c:v>251.56</c:v>
                </c:pt>
                <c:pt idx="229">
                  <c:v>220.79</c:v>
                </c:pt>
                <c:pt idx="230">
                  <c:v>270.94</c:v>
                </c:pt>
                <c:pt idx="231">
                  <c:v>262.97000000000003</c:v>
                </c:pt>
                <c:pt idx="232">
                  <c:v>318.33</c:v>
                </c:pt>
                <c:pt idx="233">
                  <c:v>346.36</c:v>
                </c:pt>
                <c:pt idx="234">
                  <c:v>323.36</c:v>
                </c:pt>
                <c:pt idx="235">
                  <c:v>316.43</c:v>
                </c:pt>
                <c:pt idx="236">
                  <c:v>317.63</c:v>
                </c:pt>
                <c:pt idx="237">
                  <c:v>319.74</c:v>
                </c:pt>
                <c:pt idx="238">
                  <c:v>299.70999999999998</c:v>
                </c:pt>
                <c:pt idx="239">
                  <c:v>240.05</c:v>
                </c:pt>
                <c:pt idx="240">
                  <c:v>241.96</c:v>
                </c:pt>
                <c:pt idx="241">
                  <c:v>241.73</c:v>
                </c:pt>
                <c:pt idx="242">
                  <c:v>239.66</c:v>
                </c:pt>
                <c:pt idx="243">
                  <c:v>234.58</c:v>
                </c:pt>
                <c:pt idx="244">
                  <c:v>243.47</c:v>
                </c:pt>
                <c:pt idx="245">
                  <c:v>207.72</c:v>
                </c:pt>
                <c:pt idx="246">
                  <c:v>218.14</c:v>
                </c:pt>
                <c:pt idx="247">
                  <c:v>219.37</c:v>
                </c:pt>
                <c:pt idx="248">
                  <c:v>204.6</c:v>
                </c:pt>
                <c:pt idx="249">
                  <c:v>224.01</c:v>
                </c:pt>
                <c:pt idx="250">
                  <c:v>233.29</c:v>
                </c:pt>
                <c:pt idx="251">
                  <c:v>366.43</c:v>
                </c:pt>
                <c:pt idx="252">
                  <c:v>402.87</c:v>
                </c:pt>
                <c:pt idx="253">
                  <c:v>409.93</c:v>
                </c:pt>
                <c:pt idx="254">
                  <c:v>420.19</c:v>
                </c:pt>
                <c:pt idx="255">
                  <c:v>448.01</c:v>
                </c:pt>
                <c:pt idx="256">
                  <c:v>451.79</c:v>
                </c:pt>
                <c:pt idx="257">
                  <c:v>474.17</c:v>
                </c:pt>
                <c:pt idx="258">
                  <c:v>489.94</c:v>
                </c:pt>
                <c:pt idx="259">
                  <c:v>507.73</c:v>
                </c:pt>
                <c:pt idx="260">
                  <c:v>495.48</c:v>
                </c:pt>
                <c:pt idx="261">
                  <c:v>467.69</c:v>
                </c:pt>
                <c:pt idx="262">
                  <c:v>429.92</c:v>
                </c:pt>
                <c:pt idx="263">
                  <c:v>408.93</c:v>
                </c:pt>
                <c:pt idx="264">
                  <c:v>430.36</c:v>
                </c:pt>
                <c:pt idx="265">
                  <c:v>455</c:v>
                </c:pt>
                <c:pt idx="266">
                  <c:v>397.67</c:v>
                </c:pt>
                <c:pt idx="267">
                  <c:v>455.66</c:v>
                </c:pt>
                <c:pt idx="268">
                  <c:v>426.12</c:v>
                </c:pt>
                <c:pt idx="269">
                  <c:v>419.29</c:v>
                </c:pt>
                <c:pt idx="270">
                  <c:v>443.91</c:v>
                </c:pt>
                <c:pt idx="271">
                  <c:v>442.78</c:v>
                </c:pt>
                <c:pt idx="272">
                  <c:v>429.41</c:v>
                </c:pt>
                <c:pt idx="273">
                  <c:v>399.26</c:v>
                </c:pt>
                <c:pt idx="274">
                  <c:v>412.71</c:v>
                </c:pt>
                <c:pt idx="275">
                  <c:v>354.2</c:v>
                </c:pt>
                <c:pt idx="276">
                  <c:v>359.82</c:v>
                </c:pt>
                <c:pt idx="277">
                  <c:v>345.23</c:v>
                </c:pt>
                <c:pt idx="278">
                  <c:v>419.91</c:v>
                </c:pt>
                <c:pt idx="279">
                  <c:v>362.07</c:v>
                </c:pt>
                <c:pt idx="280">
                  <c:v>342.1</c:v>
                </c:pt>
                <c:pt idx="281">
                  <c:v>263.74</c:v>
                </c:pt>
                <c:pt idx="282">
                  <c:v>267.43</c:v>
                </c:pt>
                <c:pt idx="283">
                  <c:v>240.39</c:v>
                </c:pt>
                <c:pt idx="284">
                  <c:v>223.88</c:v>
                </c:pt>
                <c:pt idx="285">
                  <c:v>237.2</c:v>
                </c:pt>
                <c:pt idx="286">
                  <c:v>216.7</c:v>
                </c:pt>
                <c:pt idx="287">
                  <c:v>178.12</c:v>
                </c:pt>
                <c:pt idx="288">
                  <c:v>188.41</c:v>
                </c:pt>
                <c:pt idx="289">
                  <c:v>199.68</c:v>
                </c:pt>
                <c:pt idx="290">
                  <c:v>209.14</c:v>
                </c:pt>
                <c:pt idx="291">
                  <c:v>207.39</c:v>
                </c:pt>
                <c:pt idx="292">
                  <c:v>212.64</c:v>
                </c:pt>
                <c:pt idx="293">
                  <c:v>220.1</c:v>
                </c:pt>
                <c:pt idx="294">
                  <c:v>217.01</c:v>
                </c:pt>
                <c:pt idx="295">
                  <c:v>247.78</c:v>
                </c:pt>
                <c:pt idx="296">
                  <c:v>301.45999999999998</c:v>
                </c:pt>
                <c:pt idx="297">
                  <c:v>324.83999999999997</c:v>
                </c:pt>
                <c:pt idx="298">
                  <c:v>326.08</c:v>
                </c:pt>
                <c:pt idx="299">
                  <c:v>347.02</c:v>
                </c:pt>
                <c:pt idx="300">
                  <c:v>397.77</c:v>
                </c:pt>
                <c:pt idx="301">
                  <c:v>436.41</c:v>
                </c:pt>
                <c:pt idx="302">
                  <c:v>447.23</c:v>
                </c:pt>
                <c:pt idx="303">
                  <c:v>443.66</c:v>
                </c:pt>
                <c:pt idx="304">
                  <c:v>450.77</c:v>
                </c:pt>
                <c:pt idx="305">
                  <c:v>450.24</c:v>
                </c:pt>
                <c:pt idx="306">
                  <c:v>430.44</c:v>
                </c:pt>
                <c:pt idx="307">
                  <c:v>387.71</c:v>
                </c:pt>
                <c:pt idx="308">
                  <c:v>355.6</c:v>
                </c:pt>
                <c:pt idx="309">
                  <c:v>339.03</c:v>
                </c:pt>
                <c:pt idx="310">
                  <c:v>328.94</c:v>
                </c:pt>
                <c:pt idx="311">
                  <c:v>345.93</c:v>
                </c:pt>
                <c:pt idx="312">
                  <c:v>262.89</c:v>
                </c:pt>
                <c:pt idx="313">
                  <c:v>208.47</c:v>
                </c:pt>
                <c:pt idx="314">
                  <c:v>211.86</c:v>
                </c:pt>
                <c:pt idx="315">
                  <c:v>200.39</c:v>
                </c:pt>
                <c:pt idx="316">
                  <c:v>178.55</c:v>
                </c:pt>
                <c:pt idx="317">
                  <c:v>178.63</c:v>
                </c:pt>
                <c:pt idx="318">
                  <c:v>183.18</c:v>
                </c:pt>
                <c:pt idx="319">
                  <c:v>133.55000000000001</c:v>
                </c:pt>
                <c:pt idx="320">
                  <c:v>126.7</c:v>
                </c:pt>
                <c:pt idx="321">
                  <c:v>127.7</c:v>
                </c:pt>
                <c:pt idx="322">
                  <c:v>113.94</c:v>
                </c:pt>
                <c:pt idx="323">
                  <c:v>87.53</c:v>
                </c:pt>
                <c:pt idx="324">
                  <c:v>133.6</c:v>
                </c:pt>
                <c:pt idx="325">
                  <c:v>166.08</c:v>
                </c:pt>
                <c:pt idx="326">
                  <c:v>197.8</c:v>
                </c:pt>
                <c:pt idx="327">
                  <c:v>146.85</c:v>
                </c:pt>
                <c:pt idx="328">
                  <c:v>132.28</c:v>
                </c:pt>
                <c:pt idx="329">
                  <c:v>151.81</c:v>
                </c:pt>
                <c:pt idx="330">
                  <c:v>178.59</c:v>
                </c:pt>
                <c:pt idx="331">
                  <c:v>204.69</c:v>
                </c:pt>
                <c:pt idx="332">
                  <c:v>185.74</c:v>
                </c:pt>
                <c:pt idx="333">
                  <c:v>158.21</c:v>
                </c:pt>
                <c:pt idx="334">
                  <c:v>270.67</c:v>
                </c:pt>
                <c:pt idx="335">
                  <c:v>439.94</c:v>
                </c:pt>
                <c:pt idx="336">
                  <c:v>431.15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C0-5141-96FB-B5F76427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cked"/>
        <c:varyColors val="0"/>
        <c:ser>
          <c:idx val="9"/>
          <c:order val="0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7-0B43-9795-E081AC7B6610}"/>
            </c:ext>
          </c:extLst>
        </c:ser>
        <c:ser>
          <c:idx val="10"/>
          <c:order val="1"/>
          <c:tx>
            <c:strRef>
              <c:f>'Data exploration'!$V$1</c:f>
              <c:strCache>
                <c:ptCount val="1"/>
                <c:pt idx="0">
                  <c:v>Emissions Intensity - kgCO₂e/MWh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exploration'!$V$2:$V$338</c:f>
              <c:numCache>
                <c:formatCode>#,##0</c:formatCode>
                <c:ptCount val="337"/>
                <c:pt idx="0">
                  <c:v>443.49</c:v>
                </c:pt>
                <c:pt idx="1">
                  <c:v>364.25</c:v>
                </c:pt>
                <c:pt idx="2">
                  <c:v>315.14999999999998</c:v>
                </c:pt>
                <c:pt idx="3">
                  <c:v>315.64</c:v>
                </c:pt>
                <c:pt idx="4">
                  <c:v>329.07</c:v>
                </c:pt>
                <c:pt idx="5">
                  <c:v>384.44</c:v>
                </c:pt>
                <c:pt idx="6">
                  <c:v>430.63</c:v>
                </c:pt>
                <c:pt idx="7">
                  <c:v>503.02</c:v>
                </c:pt>
                <c:pt idx="8">
                  <c:v>573.92999999999995</c:v>
                </c:pt>
                <c:pt idx="9">
                  <c:v>609.23</c:v>
                </c:pt>
                <c:pt idx="10">
                  <c:v>614.98</c:v>
                </c:pt>
                <c:pt idx="11">
                  <c:v>626.9</c:v>
                </c:pt>
                <c:pt idx="12">
                  <c:v>628.27</c:v>
                </c:pt>
                <c:pt idx="13">
                  <c:v>635.47</c:v>
                </c:pt>
                <c:pt idx="14">
                  <c:v>641.4</c:v>
                </c:pt>
                <c:pt idx="15">
                  <c:v>647.57000000000005</c:v>
                </c:pt>
                <c:pt idx="16">
                  <c:v>652.88</c:v>
                </c:pt>
                <c:pt idx="17">
                  <c:v>661.86</c:v>
                </c:pt>
                <c:pt idx="18">
                  <c:v>684.04</c:v>
                </c:pt>
                <c:pt idx="19">
                  <c:v>697.6</c:v>
                </c:pt>
                <c:pt idx="20">
                  <c:v>704.69</c:v>
                </c:pt>
                <c:pt idx="21">
                  <c:v>704.45</c:v>
                </c:pt>
                <c:pt idx="22">
                  <c:v>714.69</c:v>
                </c:pt>
                <c:pt idx="23">
                  <c:v>721.88</c:v>
                </c:pt>
                <c:pt idx="24">
                  <c:v>724.24</c:v>
                </c:pt>
                <c:pt idx="25">
                  <c:v>715.83</c:v>
                </c:pt>
                <c:pt idx="26">
                  <c:v>713.37</c:v>
                </c:pt>
                <c:pt idx="27">
                  <c:v>714.98</c:v>
                </c:pt>
                <c:pt idx="28">
                  <c:v>707.48</c:v>
                </c:pt>
                <c:pt idx="29">
                  <c:v>711.47</c:v>
                </c:pt>
                <c:pt idx="30">
                  <c:v>687.09</c:v>
                </c:pt>
                <c:pt idx="31">
                  <c:v>659.92</c:v>
                </c:pt>
                <c:pt idx="32">
                  <c:v>625.37</c:v>
                </c:pt>
                <c:pt idx="33">
                  <c:v>586.72</c:v>
                </c:pt>
                <c:pt idx="34">
                  <c:v>573.44000000000005</c:v>
                </c:pt>
                <c:pt idx="35">
                  <c:v>573.99</c:v>
                </c:pt>
                <c:pt idx="36">
                  <c:v>578.44000000000005</c:v>
                </c:pt>
                <c:pt idx="37">
                  <c:v>581.19000000000005</c:v>
                </c:pt>
                <c:pt idx="38">
                  <c:v>572.15</c:v>
                </c:pt>
                <c:pt idx="39">
                  <c:v>564.29999999999995</c:v>
                </c:pt>
                <c:pt idx="40">
                  <c:v>543.76</c:v>
                </c:pt>
                <c:pt idx="41">
                  <c:v>490.36</c:v>
                </c:pt>
                <c:pt idx="42">
                  <c:v>436.75</c:v>
                </c:pt>
                <c:pt idx="43">
                  <c:v>392.73</c:v>
                </c:pt>
                <c:pt idx="44">
                  <c:v>341.29</c:v>
                </c:pt>
                <c:pt idx="45">
                  <c:v>304.85000000000002</c:v>
                </c:pt>
                <c:pt idx="46">
                  <c:v>290.74</c:v>
                </c:pt>
                <c:pt idx="47">
                  <c:v>293.8</c:v>
                </c:pt>
                <c:pt idx="48">
                  <c:v>300.2</c:v>
                </c:pt>
                <c:pt idx="49">
                  <c:v>300.94</c:v>
                </c:pt>
                <c:pt idx="50">
                  <c:v>302.08999999999997</c:v>
                </c:pt>
                <c:pt idx="51">
                  <c:v>304.57</c:v>
                </c:pt>
                <c:pt idx="52">
                  <c:v>310.42</c:v>
                </c:pt>
                <c:pt idx="53">
                  <c:v>328.01</c:v>
                </c:pt>
                <c:pt idx="54">
                  <c:v>353.78</c:v>
                </c:pt>
                <c:pt idx="55">
                  <c:v>417.02</c:v>
                </c:pt>
                <c:pt idx="56">
                  <c:v>499.64</c:v>
                </c:pt>
                <c:pt idx="57">
                  <c:v>572.96</c:v>
                </c:pt>
                <c:pt idx="58">
                  <c:v>633.65</c:v>
                </c:pt>
                <c:pt idx="59">
                  <c:v>657.28</c:v>
                </c:pt>
                <c:pt idx="60">
                  <c:v>670.74</c:v>
                </c:pt>
                <c:pt idx="61">
                  <c:v>683.09</c:v>
                </c:pt>
                <c:pt idx="62">
                  <c:v>693.51</c:v>
                </c:pt>
                <c:pt idx="63">
                  <c:v>698.56</c:v>
                </c:pt>
                <c:pt idx="64">
                  <c:v>697.54</c:v>
                </c:pt>
                <c:pt idx="65">
                  <c:v>674.87</c:v>
                </c:pt>
                <c:pt idx="66">
                  <c:v>683.04</c:v>
                </c:pt>
                <c:pt idx="67">
                  <c:v>690.09</c:v>
                </c:pt>
                <c:pt idx="68">
                  <c:v>695.38</c:v>
                </c:pt>
                <c:pt idx="69">
                  <c:v>700.43</c:v>
                </c:pt>
                <c:pt idx="70">
                  <c:v>717.73</c:v>
                </c:pt>
                <c:pt idx="71">
                  <c:v>729.83</c:v>
                </c:pt>
                <c:pt idx="72">
                  <c:v>724.8</c:v>
                </c:pt>
                <c:pt idx="73">
                  <c:v>715.75</c:v>
                </c:pt>
                <c:pt idx="74">
                  <c:v>697.65</c:v>
                </c:pt>
                <c:pt idx="75">
                  <c:v>694.23</c:v>
                </c:pt>
                <c:pt idx="76">
                  <c:v>707.14</c:v>
                </c:pt>
                <c:pt idx="77">
                  <c:v>696.27</c:v>
                </c:pt>
                <c:pt idx="78">
                  <c:v>682.52</c:v>
                </c:pt>
                <c:pt idx="79">
                  <c:v>690.77</c:v>
                </c:pt>
                <c:pt idx="80">
                  <c:v>705.29</c:v>
                </c:pt>
                <c:pt idx="81">
                  <c:v>708.82</c:v>
                </c:pt>
                <c:pt idx="82">
                  <c:v>721.01</c:v>
                </c:pt>
                <c:pt idx="83">
                  <c:v>740.17</c:v>
                </c:pt>
                <c:pt idx="84">
                  <c:v>743.1</c:v>
                </c:pt>
                <c:pt idx="85">
                  <c:v>741.47</c:v>
                </c:pt>
                <c:pt idx="86">
                  <c:v>707.27</c:v>
                </c:pt>
                <c:pt idx="87">
                  <c:v>608.14</c:v>
                </c:pt>
                <c:pt idx="88">
                  <c:v>475.71</c:v>
                </c:pt>
                <c:pt idx="89">
                  <c:v>395.02</c:v>
                </c:pt>
                <c:pt idx="90">
                  <c:v>364.66</c:v>
                </c:pt>
                <c:pt idx="91">
                  <c:v>324.04000000000002</c:v>
                </c:pt>
                <c:pt idx="92">
                  <c:v>274.77999999999997</c:v>
                </c:pt>
                <c:pt idx="93">
                  <c:v>235.61</c:v>
                </c:pt>
                <c:pt idx="94">
                  <c:v>229.77</c:v>
                </c:pt>
                <c:pt idx="95">
                  <c:v>230.5</c:v>
                </c:pt>
                <c:pt idx="96">
                  <c:v>227.63</c:v>
                </c:pt>
                <c:pt idx="97">
                  <c:v>228.83</c:v>
                </c:pt>
                <c:pt idx="98">
                  <c:v>233.83</c:v>
                </c:pt>
                <c:pt idx="99">
                  <c:v>252</c:v>
                </c:pt>
                <c:pt idx="100">
                  <c:v>272.45999999999998</c:v>
                </c:pt>
                <c:pt idx="101">
                  <c:v>341.71</c:v>
                </c:pt>
                <c:pt idx="102">
                  <c:v>401.78</c:v>
                </c:pt>
                <c:pt idx="103">
                  <c:v>457.98</c:v>
                </c:pt>
                <c:pt idx="104">
                  <c:v>519.25</c:v>
                </c:pt>
                <c:pt idx="105">
                  <c:v>568.15</c:v>
                </c:pt>
                <c:pt idx="106">
                  <c:v>577.61</c:v>
                </c:pt>
                <c:pt idx="107">
                  <c:v>599.34</c:v>
                </c:pt>
                <c:pt idx="108">
                  <c:v>601.29</c:v>
                </c:pt>
                <c:pt idx="109">
                  <c:v>604.6</c:v>
                </c:pt>
                <c:pt idx="110">
                  <c:v>608.45000000000005</c:v>
                </c:pt>
                <c:pt idx="111">
                  <c:v>615.91</c:v>
                </c:pt>
                <c:pt idx="112">
                  <c:v>617.55999999999995</c:v>
                </c:pt>
                <c:pt idx="113">
                  <c:v>627.37</c:v>
                </c:pt>
                <c:pt idx="114">
                  <c:v>644.39</c:v>
                </c:pt>
                <c:pt idx="115">
                  <c:v>643.58000000000004</c:v>
                </c:pt>
                <c:pt idx="116">
                  <c:v>651.41999999999996</c:v>
                </c:pt>
                <c:pt idx="117">
                  <c:v>636.44000000000005</c:v>
                </c:pt>
                <c:pt idx="118">
                  <c:v>626.87</c:v>
                </c:pt>
                <c:pt idx="119">
                  <c:v>630.85</c:v>
                </c:pt>
                <c:pt idx="120">
                  <c:v>623.04999999999995</c:v>
                </c:pt>
                <c:pt idx="121">
                  <c:v>612.92999999999995</c:v>
                </c:pt>
                <c:pt idx="122">
                  <c:v>606.24</c:v>
                </c:pt>
                <c:pt idx="123">
                  <c:v>599.12</c:v>
                </c:pt>
                <c:pt idx="124">
                  <c:v>596.54999999999995</c:v>
                </c:pt>
                <c:pt idx="125">
                  <c:v>593.12</c:v>
                </c:pt>
                <c:pt idx="126">
                  <c:v>596.32000000000005</c:v>
                </c:pt>
                <c:pt idx="127">
                  <c:v>611.67999999999995</c:v>
                </c:pt>
                <c:pt idx="128">
                  <c:v>656.22</c:v>
                </c:pt>
                <c:pt idx="129">
                  <c:v>673.33</c:v>
                </c:pt>
                <c:pt idx="130">
                  <c:v>726.13</c:v>
                </c:pt>
                <c:pt idx="131">
                  <c:v>741.62</c:v>
                </c:pt>
                <c:pt idx="132">
                  <c:v>733.6</c:v>
                </c:pt>
                <c:pt idx="133">
                  <c:v>710.58</c:v>
                </c:pt>
                <c:pt idx="134">
                  <c:v>681.96</c:v>
                </c:pt>
                <c:pt idx="135">
                  <c:v>636.20000000000005</c:v>
                </c:pt>
                <c:pt idx="136">
                  <c:v>538.37</c:v>
                </c:pt>
                <c:pt idx="137">
                  <c:v>435.2</c:v>
                </c:pt>
                <c:pt idx="138">
                  <c:v>366.65</c:v>
                </c:pt>
                <c:pt idx="139">
                  <c:v>321.01</c:v>
                </c:pt>
                <c:pt idx="140">
                  <c:v>305.45</c:v>
                </c:pt>
                <c:pt idx="141">
                  <c:v>302.77</c:v>
                </c:pt>
                <c:pt idx="142">
                  <c:v>307.39</c:v>
                </c:pt>
                <c:pt idx="143">
                  <c:v>301.51</c:v>
                </c:pt>
                <c:pt idx="144">
                  <c:v>311.52</c:v>
                </c:pt>
                <c:pt idx="145">
                  <c:v>315.52999999999997</c:v>
                </c:pt>
                <c:pt idx="146">
                  <c:v>316.29000000000002</c:v>
                </c:pt>
                <c:pt idx="147">
                  <c:v>324.19</c:v>
                </c:pt>
                <c:pt idx="148">
                  <c:v>332.66</c:v>
                </c:pt>
                <c:pt idx="149">
                  <c:v>352.13</c:v>
                </c:pt>
                <c:pt idx="150">
                  <c:v>416.43</c:v>
                </c:pt>
                <c:pt idx="151">
                  <c:v>508.66</c:v>
                </c:pt>
                <c:pt idx="152">
                  <c:v>615.54999999999995</c:v>
                </c:pt>
                <c:pt idx="153">
                  <c:v>693.83</c:v>
                </c:pt>
                <c:pt idx="154">
                  <c:v>699.96</c:v>
                </c:pt>
                <c:pt idx="155">
                  <c:v>674.88</c:v>
                </c:pt>
                <c:pt idx="156">
                  <c:v>662.51</c:v>
                </c:pt>
                <c:pt idx="157">
                  <c:v>660.89</c:v>
                </c:pt>
                <c:pt idx="158">
                  <c:v>664.58</c:v>
                </c:pt>
                <c:pt idx="159">
                  <c:v>673.31</c:v>
                </c:pt>
                <c:pt idx="160">
                  <c:v>681.48</c:v>
                </c:pt>
                <c:pt idx="161">
                  <c:v>685.66</c:v>
                </c:pt>
                <c:pt idx="162">
                  <c:v>684.2</c:v>
                </c:pt>
                <c:pt idx="163">
                  <c:v>700.19</c:v>
                </c:pt>
                <c:pt idx="164">
                  <c:v>689.89</c:v>
                </c:pt>
                <c:pt idx="165">
                  <c:v>709.39</c:v>
                </c:pt>
                <c:pt idx="166">
                  <c:v>719.65</c:v>
                </c:pt>
                <c:pt idx="167">
                  <c:v>734.5</c:v>
                </c:pt>
                <c:pt idx="168">
                  <c:v>762.21</c:v>
                </c:pt>
                <c:pt idx="169">
                  <c:v>772.45</c:v>
                </c:pt>
                <c:pt idx="170">
                  <c:v>788.86</c:v>
                </c:pt>
                <c:pt idx="171">
                  <c:v>777.86</c:v>
                </c:pt>
                <c:pt idx="172">
                  <c:v>779.84</c:v>
                </c:pt>
                <c:pt idx="173">
                  <c:v>779.3</c:v>
                </c:pt>
                <c:pt idx="174">
                  <c:v>755.73</c:v>
                </c:pt>
                <c:pt idx="175">
                  <c:v>765.52</c:v>
                </c:pt>
                <c:pt idx="176">
                  <c:v>756.28</c:v>
                </c:pt>
                <c:pt idx="177">
                  <c:v>732.36</c:v>
                </c:pt>
                <c:pt idx="178">
                  <c:v>749.61</c:v>
                </c:pt>
                <c:pt idx="179">
                  <c:v>754.62</c:v>
                </c:pt>
                <c:pt idx="180">
                  <c:v>715.79</c:v>
                </c:pt>
                <c:pt idx="181">
                  <c:v>699.03</c:v>
                </c:pt>
                <c:pt idx="182">
                  <c:v>678.76</c:v>
                </c:pt>
                <c:pt idx="183">
                  <c:v>656.74</c:v>
                </c:pt>
                <c:pt idx="184">
                  <c:v>636.16</c:v>
                </c:pt>
                <c:pt idx="185">
                  <c:v>595.63</c:v>
                </c:pt>
                <c:pt idx="186">
                  <c:v>577.78</c:v>
                </c:pt>
                <c:pt idx="187">
                  <c:v>580.69000000000005</c:v>
                </c:pt>
                <c:pt idx="188">
                  <c:v>561.13</c:v>
                </c:pt>
                <c:pt idx="189">
                  <c:v>531.16999999999996</c:v>
                </c:pt>
                <c:pt idx="190">
                  <c:v>527.54</c:v>
                </c:pt>
                <c:pt idx="191">
                  <c:v>533.58000000000004</c:v>
                </c:pt>
                <c:pt idx="192">
                  <c:v>542.70000000000005</c:v>
                </c:pt>
                <c:pt idx="193">
                  <c:v>540.28</c:v>
                </c:pt>
                <c:pt idx="194">
                  <c:v>547.36</c:v>
                </c:pt>
                <c:pt idx="195">
                  <c:v>559.02</c:v>
                </c:pt>
                <c:pt idx="196">
                  <c:v>576.35</c:v>
                </c:pt>
                <c:pt idx="197">
                  <c:v>597.51</c:v>
                </c:pt>
                <c:pt idx="198">
                  <c:v>611.04999999999995</c:v>
                </c:pt>
                <c:pt idx="199">
                  <c:v>625.98</c:v>
                </c:pt>
                <c:pt idx="200">
                  <c:v>642.69000000000005</c:v>
                </c:pt>
                <c:pt idx="201">
                  <c:v>655.51</c:v>
                </c:pt>
                <c:pt idx="202">
                  <c:v>641.49</c:v>
                </c:pt>
                <c:pt idx="203">
                  <c:v>602.54</c:v>
                </c:pt>
                <c:pt idx="204">
                  <c:v>582.14</c:v>
                </c:pt>
                <c:pt idx="205">
                  <c:v>586.45000000000005</c:v>
                </c:pt>
                <c:pt idx="206">
                  <c:v>592.34</c:v>
                </c:pt>
                <c:pt idx="207">
                  <c:v>596.9</c:v>
                </c:pt>
                <c:pt idx="208">
                  <c:v>609.66999999999996</c:v>
                </c:pt>
                <c:pt idx="209">
                  <c:v>630.21</c:v>
                </c:pt>
                <c:pt idx="210">
                  <c:v>638.36</c:v>
                </c:pt>
                <c:pt idx="211">
                  <c:v>657.28</c:v>
                </c:pt>
                <c:pt idx="212">
                  <c:v>662.11</c:v>
                </c:pt>
                <c:pt idx="213">
                  <c:v>671.53</c:v>
                </c:pt>
                <c:pt idx="214">
                  <c:v>680.68</c:v>
                </c:pt>
                <c:pt idx="215">
                  <c:v>691.08</c:v>
                </c:pt>
                <c:pt idx="216">
                  <c:v>691.52</c:v>
                </c:pt>
                <c:pt idx="217">
                  <c:v>693.03</c:v>
                </c:pt>
                <c:pt idx="218">
                  <c:v>692.37</c:v>
                </c:pt>
                <c:pt idx="219">
                  <c:v>690.94</c:v>
                </c:pt>
                <c:pt idx="220">
                  <c:v>703.71</c:v>
                </c:pt>
                <c:pt idx="221">
                  <c:v>705.44</c:v>
                </c:pt>
                <c:pt idx="222">
                  <c:v>684.04</c:v>
                </c:pt>
                <c:pt idx="223">
                  <c:v>678.07</c:v>
                </c:pt>
                <c:pt idx="224">
                  <c:v>666.91</c:v>
                </c:pt>
                <c:pt idx="225">
                  <c:v>665.61</c:v>
                </c:pt>
                <c:pt idx="226">
                  <c:v>663.35</c:v>
                </c:pt>
                <c:pt idx="227">
                  <c:v>669.39</c:v>
                </c:pt>
                <c:pt idx="228">
                  <c:v>650.82000000000005</c:v>
                </c:pt>
                <c:pt idx="229">
                  <c:v>641.27</c:v>
                </c:pt>
                <c:pt idx="230">
                  <c:v>624.39</c:v>
                </c:pt>
                <c:pt idx="231">
                  <c:v>603.71</c:v>
                </c:pt>
                <c:pt idx="232">
                  <c:v>570.99</c:v>
                </c:pt>
                <c:pt idx="233">
                  <c:v>522.41999999999996</c:v>
                </c:pt>
                <c:pt idx="234">
                  <c:v>479.77</c:v>
                </c:pt>
                <c:pt idx="235">
                  <c:v>429.14</c:v>
                </c:pt>
                <c:pt idx="236">
                  <c:v>388.83</c:v>
                </c:pt>
                <c:pt idx="237">
                  <c:v>336.52</c:v>
                </c:pt>
                <c:pt idx="238">
                  <c:v>304.37</c:v>
                </c:pt>
                <c:pt idx="239">
                  <c:v>301.12</c:v>
                </c:pt>
                <c:pt idx="240">
                  <c:v>297.99</c:v>
                </c:pt>
                <c:pt idx="241">
                  <c:v>304.44</c:v>
                </c:pt>
                <c:pt idx="242">
                  <c:v>311</c:v>
                </c:pt>
                <c:pt idx="243">
                  <c:v>314.89999999999998</c:v>
                </c:pt>
                <c:pt idx="244">
                  <c:v>336.7</c:v>
                </c:pt>
                <c:pt idx="245">
                  <c:v>375.52</c:v>
                </c:pt>
                <c:pt idx="246">
                  <c:v>422.45</c:v>
                </c:pt>
                <c:pt idx="247">
                  <c:v>500.48</c:v>
                </c:pt>
                <c:pt idx="248">
                  <c:v>603.44000000000005</c:v>
                </c:pt>
                <c:pt idx="249">
                  <c:v>629.61</c:v>
                </c:pt>
                <c:pt idx="250">
                  <c:v>645.51</c:v>
                </c:pt>
                <c:pt idx="251">
                  <c:v>617.16</c:v>
                </c:pt>
                <c:pt idx="252">
                  <c:v>606.67999999999995</c:v>
                </c:pt>
                <c:pt idx="253">
                  <c:v>607.01</c:v>
                </c:pt>
                <c:pt idx="254">
                  <c:v>617.54999999999995</c:v>
                </c:pt>
                <c:pt idx="255">
                  <c:v>627.69000000000005</c:v>
                </c:pt>
                <c:pt idx="256">
                  <c:v>631.39</c:v>
                </c:pt>
                <c:pt idx="257">
                  <c:v>634.24</c:v>
                </c:pt>
                <c:pt idx="258">
                  <c:v>647.15</c:v>
                </c:pt>
                <c:pt idx="259">
                  <c:v>661.09</c:v>
                </c:pt>
                <c:pt idx="260">
                  <c:v>664.81</c:v>
                </c:pt>
                <c:pt idx="261">
                  <c:v>682.42</c:v>
                </c:pt>
                <c:pt idx="262">
                  <c:v>694.56</c:v>
                </c:pt>
                <c:pt idx="263">
                  <c:v>695.16</c:v>
                </c:pt>
                <c:pt idx="264">
                  <c:v>685.27</c:v>
                </c:pt>
                <c:pt idx="265">
                  <c:v>678.12</c:v>
                </c:pt>
                <c:pt idx="266">
                  <c:v>700.44</c:v>
                </c:pt>
                <c:pt idx="267">
                  <c:v>689.28</c:v>
                </c:pt>
                <c:pt idx="268">
                  <c:v>688.5</c:v>
                </c:pt>
                <c:pt idx="269">
                  <c:v>690.08</c:v>
                </c:pt>
                <c:pt idx="270">
                  <c:v>694</c:v>
                </c:pt>
                <c:pt idx="271">
                  <c:v>692.2</c:v>
                </c:pt>
                <c:pt idx="272">
                  <c:v>694.5</c:v>
                </c:pt>
                <c:pt idx="273">
                  <c:v>706.52</c:v>
                </c:pt>
                <c:pt idx="274">
                  <c:v>706.53</c:v>
                </c:pt>
                <c:pt idx="275">
                  <c:v>719.08</c:v>
                </c:pt>
                <c:pt idx="276">
                  <c:v>714.64</c:v>
                </c:pt>
                <c:pt idx="277">
                  <c:v>704.7</c:v>
                </c:pt>
                <c:pt idx="278">
                  <c:v>668.35</c:v>
                </c:pt>
                <c:pt idx="279">
                  <c:v>639.45000000000005</c:v>
                </c:pt>
                <c:pt idx="280">
                  <c:v>596.95000000000005</c:v>
                </c:pt>
                <c:pt idx="281">
                  <c:v>547.64</c:v>
                </c:pt>
                <c:pt idx="282">
                  <c:v>489.5</c:v>
                </c:pt>
                <c:pt idx="283">
                  <c:v>445.83</c:v>
                </c:pt>
                <c:pt idx="284">
                  <c:v>423.65</c:v>
                </c:pt>
                <c:pt idx="285">
                  <c:v>398.47</c:v>
                </c:pt>
                <c:pt idx="286">
                  <c:v>373.48</c:v>
                </c:pt>
                <c:pt idx="287">
                  <c:v>354.52</c:v>
                </c:pt>
                <c:pt idx="288">
                  <c:v>340.62</c:v>
                </c:pt>
                <c:pt idx="289">
                  <c:v>352.55</c:v>
                </c:pt>
                <c:pt idx="290">
                  <c:v>364.57</c:v>
                </c:pt>
                <c:pt idx="291">
                  <c:v>376.69</c:v>
                </c:pt>
                <c:pt idx="292">
                  <c:v>396.33</c:v>
                </c:pt>
                <c:pt idx="293">
                  <c:v>455.02</c:v>
                </c:pt>
                <c:pt idx="294">
                  <c:v>521.45000000000005</c:v>
                </c:pt>
                <c:pt idx="295">
                  <c:v>624.63</c:v>
                </c:pt>
                <c:pt idx="296">
                  <c:v>701.6</c:v>
                </c:pt>
                <c:pt idx="297">
                  <c:v>704.62</c:v>
                </c:pt>
                <c:pt idx="298">
                  <c:v>691.78</c:v>
                </c:pt>
                <c:pt idx="299">
                  <c:v>675.28</c:v>
                </c:pt>
                <c:pt idx="300">
                  <c:v>667.56</c:v>
                </c:pt>
                <c:pt idx="301">
                  <c:v>660.52</c:v>
                </c:pt>
                <c:pt idx="302">
                  <c:v>666.03</c:v>
                </c:pt>
                <c:pt idx="303">
                  <c:v>668.98</c:v>
                </c:pt>
                <c:pt idx="304">
                  <c:v>677.29</c:v>
                </c:pt>
                <c:pt idx="305">
                  <c:v>686.96</c:v>
                </c:pt>
                <c:pt idx="306">
                  <c:v>701.57</c:v>
                </c:pt>
                <c:pt idx="307">
                  <c:v>731.74</c:v>
                </c:pt>
                <c:pt idx="308">
                  <c:v>746.91</c:v>
                </c:pt>
                <c:pt idx="309">
                  <c:v>762.92</c:v>
                </c:pt>
                <c:pt idx="310">
                  <c:v>778.09</c:v>
                </c:pt>
                <c:pt idx="311">
                  <c:v>794.03</c:v>
                </c:pt>
                <c:pt idx="312">
                  <c:v>808.34</c:v>
                </c:pt>
                <c:pt idx="313">
                  <c:v>816.13</c:v>
                </c:pt>
                <c:pt idx="314">
                  <c:v>818.05</c:v>
                </c:pt>
                <c:pt idx="315">
                  <c:v>812.24</c:v>
                </c:pt>
                <c:pt idx="316">
                  <c:v>819.98</c:v>
                </c:pt>
                <c:pt idx="317">
                  <c:v>823.11</c:v>
                </c:pt>
                <c:pt idx="318">
                  <c:v>832.06</c:v>
                </c:pt>
                <c:pt idx="319">
                  <c:v>849.05</c:v>
                </c:pt>
                <c:pt idx="320">
                  <c:v>838.66</c:v>
                </c:pt>
                <c:pt idx="321">
                  <c:v>828.38</c:v>
                </c:pt>
                <c:pt idx="322">
                  <c:v>829.51</c:v>
                </c:pt>
                <c:pt idx="323">
                  <c:v>818.49</c:v>
                </c:pt>
                <c:pt idx="324">
                  <c:v>785.99</c:v>
                </c:pt>
                <c:pt idx="325">
                  <c:v>753.72</c:v>
                </c:pt>
                <c:pt idx="326">
                  <c:v>723.94</c:v>
                </c:pt>
                <c:pt idx="327">
                  <c:v>684.47</c:v>
                </c:pt>
                <c:pt idx="328">
                  <c:v>655.82</c:v>
                </c:pt>
                <c:pt idx="329">
                  <c:v>640.59</c:v>
                </c:pt>
                <c:pt idx="330">
                  <c:v>634.54999999999995</c:v>
                </c:pt>
                <c:pt idx="331">
                  <c:v>630.08000000000004</c:v>
                </c:pt>
                <c:pt idx="332">
                  <c:v>616.4</c:v>
                </c:pt>
                <c:pt idx="333">
                  <c:v>607.76</c:v>
                </c:pt>
                <c:pt idx="334">
                  <c:v>577.79</c:v>
                </c:pt>
                <c:pt idx="335">
                  <c:v>457.13</c:v>
                </c:pt>
                <c:pt idx="336">
                  <c:v>461.23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7-0B43-9795-E081AC7B6610}"/>
            </c:ext>
          </c:extLst>
        </c:ser>
        <c:ser>
          <c:idx val="0"/>
          <c:order val="2"/>
          <c:tx>
            <c:strRef>
              <c:f>'Data exploration'!$P$1</c:f>
              <c:strCache>
                <c:ptCount val="1"/>
                <c:pt idx="0">
                  <c:v>Exports Emissions Vol - tCO₂e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exploration'!$P$2:$P$338</c:f>
              <c:numCache>
                <c:formatCode>#,##0</c:formatCode>
                <c:ptCount val="337"/>
                <c:pt idx="0">
                  <c:v>9.02</c:v>
                </c:pt>
                <c:pt idx="1">
                  <c:v>27.69</c:v>
                </c:pt>
                <c:pt idx="2">
                  <c:v>2.2000000000000002</c:v>
                </c:pt>
                <c:pt idx="3">
                  <c:v>34.130000000000003</c:v>
                </c:pt>
                <c:pt idx="4">
                  <c:v>32.479999999999997</c:v>
                </c:pt>
                <c:pt idx="5">
                  <c:v>0.14000000000000001</c:v>
                </c:pt>
                <c:pt idx="6">
                  <c:v>31.3</c:v>
                </c:pt>
                <c:pt idx="7">
                  <c:v>29.46</c:v>
                </c:pt>
                <c:pt idx="8">
                  <c:v>48.61</c:v>
                </c:pt>
                <c:pt idx="9">
                  <c:v>62.35</c:v>
                </c:pt>
                <c:pt idx="10">
                  <c:v>65.650000000000006</c:v>
                </c:pt>
                <c:pt idx="11">
                  <c:v>150.97</c:v>
                </c:pt>
                <c:pt idx="12">
                  <c:v>157.80000000000001</c:v>
                </c:pt>
                <c:pt idx="13">
                  <c:v>157.35</c:v>
                </c:pt>
                <c:pt idx="14">
                  <c:v>174.28</c:v>
                </c:pt>
                <c:pt idx="15">
                  <c:v>177.6</c:v>
                </c:pt>
                <c:pt idx="16">
                  <c:v>178.64</c:v>
                </c:pt>
                <c:pt idx="17">
                  <c:v>183.5</c:v>
                </c:pt>
                <c:pt idx="18">
                  <c:v>204.56</c:v>
                </c:pt>
                <c:pt idx="19">
                  <c:v>209.6</c:v>
                </c:pt>
                <c:pt idx="20">
                  <c:v>167.51</c:v>
                </c:pt>
                <c:pt idx="21">
                  <c:v>169.68</c:v>
                </c:pt>
                <c:pt idx="22">
                  <c:v>171.05</c:v>
                </c:pt>
                <c:pt idx="23">
                  <c:v>185.48</c:v>
                </c:pt>
                <c:pt idx="24">
                  <c:v>207.54</c:v>
                </c:pt>
                <c:pt idx="25">
                  <c:v>230.46</c:v>
                </c:pt>
                <c:pt idx="26">
                  <c:v>166.27</c:v>
                </c:pt>
                <c:pt idx="27">
                  <c:v>168.05</c:v>
                </c:pt>
                <c:pt idx="28">
                  <c:v>176.46</c:v>
                </c:pt>
                <c:pt idx="29">
                  <c:v>152.13999999999999</c:v>
                </c:pt>
                <c:pt idx="30">
                  <c:v>149.61000000000001</c:v>
                </c:pt>
                <c:pt idx="31">
                  <c:v>98.12</c:v>
                </c:pt>
                <c:pt idx="32">
                  <c:v>49.5</c:v>
                </c:pt>
                <c:pt idx="33">
                  <c:v>10.050000000000001</c:v>
                </c:pt>
                <c:pt idx="34">
                  <c:v>0</c:v>
                </c:pt>
                <c:pt idx="35">
                  <c:v>2.93</c:v>
                </c:pt>
                <c:pt idx="36">
                  <c:v>11.11</c:v>
                </c:pt>
                <c:pt idx="37">
                  <c:v>1.52</c:v>
                </c:pt>
                <c:pt idx="38">
                  <c:v>62.75</c:v>
                </c:pt>
                <c:pt idx="39">
                  <c:v>205.13</c:v>
                </c:pt>
                <c:pt idx="40">
                  <c:v>244.03</c:v>
                </c:pt>
                <c:pt idx="41">
                  <c:v>231.29</c:v>
                </c:pt>
                <c:pt idx="42">
                  <c:v>224.62</c:v>
                </c:pt>
                <c:pt idx="43">
                  <c:v>209.28</c:v>
                </c:pt>
                <c:pt idx="44">
                  <c:v>174.67</c:v>
                </c:pt>
                <c:pt idx="45">
                  <c:v>138.74</c:v>
                </c:pt>
                <c:pt idx="46">
                  <c:v>143.4</c:v>
                </c:pt>
                <c:pt idx="47">
                  <c:v>139.05000000000001</c:v>
                </c:pt>
                <c:pt idx="48">
                  <c:v>107.78</c:v>
                </c:pt>
                <c:pt idx="49">
                  <c:v>96.17</c:v>
                </c:pt>
                <c:pt idx="50">
                  <c:v>99.78</c:v>
                </c:pt>
                <c:pt idx="51">
                  <c:v>99.64</c:v>
                </c:pt>
                <c:pt idx="52">
                  <c:v>77.87</c:v>
                </c:pt>
                <c:pt idx="53">
                  <c:v>63.34</c:v>
                </c:pt>
                <c:pt idx="54">
                  <c:v>68.959999999999994</c:v>
                </c:pt>
                <c:pt idx="55">
                  <c:v>44.82</c:v>
                </c:pt>
                <c:pt idx="56">
                  <c:v>36.17</c:v>
                </c:pt>
                <c:pt idx="57">
                  <c:v>40.08</c:v>
                </c:pt>
                <c:pt idx="58">
                  <c:v>52.02</c:v>
                </c:pt>
                <c:pt idx="59">
                  <c:v>35</c:v>
                </c:pt>
                <c:pt idx="60">
                  <c:v>9.2200000000000006</c:v>
                </c:pt>
                <c:pt idx="61">
                  <c:v>0.57999999999999996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28.62</c:v>
                </c:pt>
                <c:pt idx="72">
                  <c:v>19.600000000000001</c:v>
                </c:pt>
                <c:pt idx="73">
                  <c:v>5.62</c:v>
                </c:pt>
                <c:pt idx="74">
                  <c:v>1.69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0.63</c:v>
                </c:pt>
                <c:pt idx="80">
                  <c:v>4.8600000000000003</c:v>
                </c:pt>
                <c:pt idx="81">
                  <c:v>0</c:v>
                </c:pt>
                <c:pt idx="82">
                  <c:v>29.41</c:v>
                </c:pt>
                <c:pt idx="83">
                  <c:v>52.26</c:v>
                </c:pt>
                <c:pt idx="84">
                  <c:v>43.62</c:v>
                </c:pt>
                <c:pt idx="85">
                  <c:v>45.39</c:v>
                </c:pt>
                <c:pt idx="86">
                  <c:v>11.13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29.85</c:v>
                </c:pt>
                <c:pt idx="108">
                  <c:v>25.2</c:v>
                </c:pt>
                <c:pt idx="109">
                  <c:v>37.64</c:v>
                </c:pt>
                <c:pt idx="110">
                  <c:v>60.69</c:v>
                </c:pt>
                <c:pt idx="111">
                  <c:v>64.03</c:v>
                </c:pt>
                <c:pt idx="112">
                  <c:v>65.16</c:v>
                </c:pt>
                <c:pt idx="113">
                  <c:v>81.650000000000006</c:v>
                </c:pt>
                <c:pt idx="114">
                  <c:v>112.17</c:v>
                </c:pt>
                <c:pt idx="115">
                  <c:v>123.16</c:v>
                </c:pt>
                <c:pt idx="116">
                  <c:v>127.82</c:v>
                </c:pt>
                <c:pt idx="117">
                  <c:v>132.37</c:v>
                </c:pt>
                <c:pt idx="118">
                  <c:v>130.6</c:v>
                </c:pt>
                <c:pt idx="119">
                  <c:v>158.55000000000001</c:v>
                </c:pt>
                <c:pt idx="120">
                  <c:v>171.28</c:v>
                </c:pt>
                <c:pt idx="121">
                  <c:v>169.91</c:v>
                </c:pt>
                <c:pt idx="122">
                  <c:v>160.04</c:v>
                </c:pt>
                <c:pt idx="123">
                  <c:v>142.07</c:v>
                </c:pt>
                <c:pt idx="124">
                  <c:v>152.12</c:v>
                </c:pt>
                <c:pt idx="125">
                  <c:v>152.94999999999999</c:v>
                </c:pt>
                <c:pt idx="126">
                  <c:v>117.83</c:v>
                </c:pt>
                <c:pt idx="127">
                  <c:v>102.66</c:v>
                </c:pt>
                <c:pt idx="128">
                  <c:v>121.8</c:v>
                </c:pt>
                <c:pt idx="129">
                  <c:v>147.88999999999999</c:v>
                </c:pt>
                <c:pt idx="130">
                  <c:v>160.69999999999999</c:v>
                </c:pt>
                <c:pt idx="131">
                  <c:v>197.92</c:v>
                </c:pt>
                <c:pt idx="132">
                  <c:v>145.72999999999999</c:v>
                </c:pt>
                <c:pt idx="133">
                  <c:v>128.53</c:v>
                </c:pt>
                <c:pt idx="134">
                  <c:v>101.53</c:v>
                </c:pt>
                <c:pt idx="135">
                  <c:v>72.239999999999995</c:v>
                </c:pt>
                <c:pt idx="136">
                  <c:v>46.23</c:v>
                </c:pt>
                <c:pt idx="137">
                  <c:v>83.25</c:v>
                </c:pt>
                <c:pt idx="138">
                  <c:v>90.59</c:v>
                </c:pt>
                <c:pt idx="139">
                  <c:v>74.67</c:v>
                </c:pt>
                <c:pt idx="140">
                  <c:v>67.48</c:v>
                </c:pt>
                <c:pt idx="141">
                  <c:v>60.85</c:v>
                </c:pt>
                <c:pt idx="142">
                  <c:v>75.72</c:v>
                </c:pt>
                <c:pt idx="143">
                  <c:v>100.25</c:v>
                </c:pt>
                <c:pt idx="144">
                  <c:v>90.97</c:v>
                </c:pt>
                <c:pt idx="145">
                  <c:v>88.9</c:v>
                </c:pt>
                <c:pt idx="146">
                  <c:v>95.3</c:v>
                </c:pt>
                <c:pt idx="147">
                  <c:v>98.6</c:v>
                </c:pt>
                <c:pt idx="148">
                  <c:v>91.73</c:v>
                </c:pt>
                <c:pt idx="149">
                  <c:v>81.3</c:v>
                </c:pt>
                <c:pt idx="150">
                  <c:v>68.11</c:v>
                </c:pt>
                <c:pt idx="151">
                  <c:v>86.44</c:v>
                </c:pt>
                <c:pt idx="152">
                  <c:v>65.62</c:v>
                </c:pt>
                <c:pt idx="153">
                  <c:v>97.66</c:v>
                </c:pt>
                <c:pt idx="154">
                  <c:v>87.87</c:v>
                </c:pt>
                <c:pt idx="155">
                  <c:v>7.19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0.26</c:v>
                </c:pt>
                <c:pt idx="164">
                  <c:v>9.51</c:v>
                </c:pt>
                <c:pt idx="165">
                  <c:v>29.5</c:v>
                </c:pt>
                <c:pt idx="166">
                  <c:v>19.649999999999999</c:v>
                </c:pt>
                <c:pt idx="167">
                  <c:v>35.619999999999997</c:v>
                </c:pt>
                <c:pt idx="168">
                  <c:v>37</c:v>
                </c:pt>
                <c:pt idx="169">
                  <c:v>30.71</c:v>
                </c:pt>
                <c:pt idx="170">
                  <c:v>42.12</c:v>
                </c:pt>
                <c:pt idx="171">
                  <c:v>37.61</c:v>
                </c:pt>
                <c:pt idx="172">
                  <c:v>2.11</c:v>
                </c:pt>
                <c:pt idx="173">
                  <c:v>1.23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6.35</c:v>
                </c:pt>
                <c:pt idx="178">
                  <c:v>99.85</c:v>
                </c:pt>
                <c:pt idx="179">
                  <c:v>188.22</c:v>
                </c:pt>
                <c:pt idx="180">
                  <c:v>200.36</c:v>
                </c:pt>
                <c:pt idx="181">
                  <c:v>174.19</c:v>
                </c:pt>
                <c:pt idx="182">
                  <c:v>129.76</c:v>
                </c:pt>
                <c:pt idx="183">
                  <c:v>76.13</c:v>
                </c:pt>
                <c:pt idx="184">
                  <c:v>2.76</c:v>
                </c:pt>
                <c:pt idx="185">
                  <c:v>21.4</c:v>
                </c:pt>
                <c:pt idx="186">
                  <c:v>27.39</c:v>
                </c:pt>
                <c:pt idx="187">
                  <c:v>19.760000000000002</c:v>
                </c:pt>
                <c:pt idx="188">
                  <c:v>60.92</c:v>
                </c:pt>
                <c:pt idx="189">
                  <c:v>57.22</c:v>
                </c:pt>
                <c:pt idx="190">
                  <c:v>64.209999999999994</c:v>
                </c:pt>
                <c:pt idx="191">
                  <c:v>81.36</c:v>
                </c:pt>
                <c:pt idx="192">
                  <c:v>99.96</c:v>
                </c:pt>
                <c:pt idx="193">
                  <c:v>135.18</c:v>
                </c:pt>
                <c:pt idx="194">
                  <c:v>137.79</c:v>
                </c:pt>
                <c:pt idx="195">
                  <c:v>107.29</c:v>
                </c:pt>
                <c:pt idx="196">
                  <c:v>95.76</c:v>
                </c:pt>
                <c:pt idx="197">
                  <c:v>0.57999999999999996</c:v>
                </c:pt>
                <c:pt idx="198">
                  <c:v>7.56</c:v>
                </c:pt>
                <c:pt idx="199">
                  <c:v>5.04</c:v>
                </c:pt>
                <c:pt idx="200">
                  <c:v>57.09</c:v>
                </c:pt>
                <c:pt idx="201">
                  <c:v>20.22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19.34</c:v>
                </c:pt>
                <c:pt idx="227">
                  <c:v>24.09</c:v>
                </c:pt>
                <c:pt idx="228">
                  <c:v>41.91</c:v>
                </c:pt>
                <c:pt idx="229">
                  <c:v>12.58</c:v>
                </c:pt>
                <c:pt idx="230">
                  <c:v>2.65</c:v>
                </c:pt>
                <c:pt idx="231">
                  <c:v>0</c:v>
                </c:pt>
                <c:pt idx="232">
                  <c:v>35.06</c:v>
                </c:pt>
                <c:pt idx="233">
                  <c:v>92.93</c:v>
                </c:pt>
                <c:pt idx="234">
                  <c:v>85.82</c:v>
                </c:pt>
                <c:pt idx="235">
                  <c:v>91.56</c:v>
                </c:pt>
                <c:pt idx="236">
                  <c:v>94.65</c:v>
                </c:pt>
                <c:pt idx="237">
                  <c:v>111.66</c:v>
                </c:pt>
                <c:pt idx="238">
                  <c:v>68.989999999999995</c:v>
                </c:pt>
                <c:pt idx="239">
                  <c:v>58.04</c:v>
                </c:pt>
                <c:pt idx="240">
                  <c:v>65.56</c:v>
                </c:pt>
                <c:pt idx="241">
                  <c:v>61.46</c:v>
                </c:pt>
                <c:pt idx="242">
                  <c:v>65.8</c:v>
                </c:pt>
                <c:pt idx="243">
                  <c:v>60.99</c:v>
                </c:pt>
                <c:pt idx="244">
                  <c:v>54.79</c:v>
                </c:pt>
                <c:pt idx="245">
                  <c:v>62.32</c:v>
                </c:pt>
                <c:pt idx="246">
                  <c:v>73</c:v>
                </c:pt>
                <c:pt idx="247">
                  <c:v>51.42</c:v>
                </c:pt>
                <c:pt idx="248">
                  <c:v>95.76</c:v>
                </c:pt>
                <c:pt idx="249">
                  <c:v>67.55</c:v>
                </c:pt>
                <c:pt idx="250">
                  <c:v>25.25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44.35</c:v>
                </c:pt>
                <c:pt idx="282">
                  <c:v>84.45</c:v>
                </c:pt>
                <c:pt idx="283">
                  <c:v>54.32</c:v>
                </c:pt>
                <c:pt idx="284">
                  <c:v>49.45</c:v>
                </c:pt>
                <c:pt idx="285">
                  <c:v>67.62</c:v>
                </c:pt>
                <c:pt idx="286">
                  <c:v>80.28</c:v>
                </c:pt>
                <c:pt idx="287">
                  <c:v>65.84</c:v>
                </c:pt>
                <c:pt idx="288">
                  <c:v>42.7</c:v>
                </c:pt>
                <c:pt idx="289">
                  <c:v>31.56</c:v>
                </c:pt>
                <c:pt idx="290">
                  <c:v>32.31</c:v>
                </c:pt>
                <c:pt idx="291">
                  <c:v>46.43</c:v>
                </c:pt>
                <c:pt idx="292">
                  <c:v>42.86</c:v>
                </c:pt>
                <c:pt idx="293">
                  <c:v>55.2</c:v>
                </c:pt>
                <c:pt idx="294">
                  <c:v>85.57</c:v>
                </c:pt>
                <c:pt idx="295">
                  <c:v>82.2</c:v>
                </c:pt>
                <c:pt idx="296">
                  <c:v>89.1</c:v>
                </c:pt>
                <c:pt idx="297">
                  <c:v>91</c:v>
                </c:pt>
                <c:pt idx="298">
                  <c:v>91.32</c:v>
                </c:pt>
                <c:pt idx="299">
                  <c:v>76.75</c:v>
                </c:pt>
                <c:pt idx="300">
                  <c:v>38.090000000000003</c:v>
                </c:pt>
                <c:pt idx="301">
                  <c:v>17.48</c:v>
                </c:pt>
                <c:pt idx="302">
                  <c:v>32.35</c:v>
                </c:pt>
                <c:pt idx="303">
                  <c:v>57.42</c:v>
                </c:pt>
                <c:pt idx="304">
                  <c:v>85.82</c:v>
                </c:pt>
                <c:pt idx="305">
                  <c:v>68.62</c:v>
                </c:pt>
                <c:pt idx="306">
                  <c:v>78.209999999999994</c:v>
                </c:pt>
                <c:pt idx="307">
                  <c:v>76.540000000000006</c:v>
                </c:pt>
                <c:pt idx="308">
                  <c:v>44.3</c:v>
                </c:pt>
                <c:pt idx="309">
                  <c:v>76.069999999999993</c:v>
                </c:pt>
                <c:pt idx="310">
                  <c:v>78.91</c:v>
                </c:pt>
                <c:pt idx="311">
                  <c:v>93.78</c:v>
                </c:pt>
                <c:pt idx="312">
                  <c:v>81.010000000000005</c:v>
                </c:pt>
                <c:pt idx="313">
                  <c:v>61.06</c:v>
                </c:pt>
                <c:pt idx="314">
                  <c:v>73.39</c:v>
                </c:pt>
                <c:pt idx="315">
                  <c:v>68.44</c:v>
                </c:pt>
                <c:pt idx="316">
                  <c:v>64.489999999999995</c:v>
                </c:pt>
                <c:pt idx="317">
                  <c:v>53.45</c:v>
                </c:pt>
                <c:pt idx="318">
                  <c:v>63.09</c:v>
                </c:pt>
                <c:pt idx="319">
                  <c:v>56.57</c:v>
                </c:pt>
                <c:pt idx="320">
                  <c:v>38.18</c:v>
                </c:pt>
                <c:pt idx="321">
                  <c:v>39.07</c:v>
                </c:pt>
                <c:pt idx="322">
                  <c:v>59.34</c:v>
                </c:pt>
                <c:pt idx="323">
                  <c:v>85.47</c:v>
                </c:pt>
                <c:pt idx="324">
                  <c:v>59.39</c:v>
                </c:pt>
                <c:pt idx="325">
                  <c:v>30.05</c:v>
                </c:pt>
                <c:pt idx="326">
                  <c:v>0</c:v>
                </c:pt>
                <c:pt idx="327">
                  <c:v>23.62</c:v>
                </c:pt>
                <c:pt idx="328">
                  <c:v>66.92</c:v>
                </c:pt>
                <c:pt idx="329">
                  <c:v>97.07</c:v>
                </c:pt>
                <c:pt idx="330">
                  <c:v>101.25</c:v>
                </c:pt>
                <c:pt idx="331">
                  <c:v>95.76</c:v>
                </c:pt>
                <c:pt idx="332">
                  <c:v>54.89</c:v>
                </c:pt>
                <c:pt idx="333">
                  <c:v>10.87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7-0B43-9795-E081AC7B6610}"/>
            </c:ext>
          </c:extLst>
        </c:ser>
        <c:ser>
          <c:idx val="1"/>
          <c:order val="3"/>
          <c:tx>
            <c:strRef>
              <c:f>'Data exploration'!$Q$1</c:f>
              <c:strCache>
                <c:ptCount val="1"/>
                <c:pt idx="0">
                  <c:v>Imports Emissions Vol - tCO₂e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exploration'!$Q$2:$Q$338</c:f>
              <c:numCache>
                <c:formatCode>#,##0</c:formatCode>
                <c:ptCount val="337"/>
                <c:pt idx="0">
                  <c:v>41.99</c:v>
                </c:pt>
                <c:pt idx="1">
                  <c:v>251.17</c:v>
                </c:pt>
                <c:pt idx="2">
                  <c:v>254.96</c:v>
                </c:pt>
                <c:pt idx="3">
                  <c:v>246.76</c:v>
                </c:pt>
                <c:pt idx="4">
                  <c:v>239.86</c:v>
                </c:pt>
                <c:pt idx="5">
                  <c:v>239.01</c:v>
                </c:pt>
                <c:pt idx="6">
                  <c:v>207.77</c:v>
                </c:pt>
                <c:pt idx="7">
                  <c:v>200.61</c:v>
                </c:pt>
                <c:pt idx="8">
                  <c:v>237.38</c:v>
                </c:pt>
                <c:pt idx="9">
                  <c:v>223.1</c:v>
                </c:pt>
                <c:pt idx="10">
                  <c:v>219.51</c:v>
                </c:pt>
                <c:pt idx="11">
                  <c:v>131.74</c:v>
                </c:pt>
                <c:pt idx="12">
                  <c:v>125.88</c:v>
                </c:pt>
                <c:pt idx="13">
                  <c:v>129.35</c:v>
                </c:pt>
                <c:pt idx="14">
                  <c:v>144.09</c:v>
                </c:pt>
                <c:pt idx="15">
                  <c:v>133.1</c:v>
                </c:pt>
                <c:pt idx="16">
                  <c:v>144.19999999999999</c:v>
                </c:pt>
                <c:pt idx="17">
                  <c:v>166.51</c:v>
                </c:pt>
                <c:pt idx="18">
                  <c:v>205.62</c:v>
                </c:pt>
                <c:pt idx="19">
                  <c:v>199.86</c:v>
                </c:pt>
                <c:pt idx="20">
                  <c:v>135.80000000000001</c:v>
                </c:pt>
                <c:pt idx="21">
                  <c:v>138.15</c:v>
                </c:pt>
                <c:pt idx="22">
                  <c:v>160.26</c:v>
                </c:pt>
                <c:pt idx="23">
                  <c:v>133.27000000000001</c:v>
                </c:pt>
                <c:pt idx="24">
                  <c:v>83.71</c:v>
                </c:pt>
                <c:pt idx="25">
                  <c:v>122.7</c:v>
                </c:pt>
                <c:pt idx="26">
                  <c:v>115.89</c:v>
                </c:pt>
                <c:pt idx="27">
                  <c:v>159.94999999999999</c:v>
                </c:pt>
                <c:pt idx="28">
                  <c:v>151.66</c:v>
                </c:pt>
                <c:pt idx="29">
                  <c:v>121.17</c:v>
                </c:pt>
                <c:pt idx="30">
                  <c:v>189.23</c:v>
                </c:pt>
                <c:pt idx="31">
                  <c:v>184.56</c:v>
                </c:pt>
                <c:pt idx="32">
                  <c:v>243.84</c:v>
                </c:pt>
                <c:pt idx="33">
                  <c:v>283.58</c:v>
                </c:pt>
                <c:pt idx="34">
                  <c:v>322.3</c:v>
                </c:pt>
                <c:pt idx="35">
                  <c:v>269.42</c:v>
                </c:pt>
                <c:pt idx="36">
                  <c:v>238.33</c:v>
                </c:pt>
                <c:pt idx="37">
                  <c:v>226.75</c:v>
                </c:pt>
                <c:pt idx="38">
                  <c:v>317.48</c:v>
                </c:pt>
                <c:pt idx="39">
                  <c:v>342.57</c:v>
                </c:pt>
                <c:pt idx="40">
                  <c:v>243.23</c:v>
                </c:pt>
                <c:pt idx="41">
                  <c:v>197.97</c:v>
                </c:pt>
                <c:pt idx="42">
                  <c:v>201.87</c:v>
                </c:pt>
                <c:pt idx="43">
                  <c:v>199.9</c:v>
                </c:pt>
                <c:pt idx="44">
                  <c:v>199.5</c:v>
                </c:pt>
                <c:pt idx="45">
                  <c:v>206.31</c:v>
                </c:pt>
                <c:pt idx="46">
                  <c:v>205.2</c:v>
                </c:pt>
                <c:pt idx="47">
                  <c:v>214.96</c:v>
                </c:pt>
                <c:pt idx="48">
                  <c:v>230.04</c:v>
                </c:pt>
                <c:pt idx="49">
                  <c:v>234.27</c:v>
                </c:pt>
                <c:pt idx="50">
                  <c:v>219.82</c:v>
                </c:pt>
                <c:pt idx="51">
                  <c:v>209.7</c:v>
                </c:pt>
                <c:pt idx="52">
                  <c:v>202.45</c:v>
                </c:pt>
                <c:pt idx="53">
                  <c:v>195.15</c:v>
                </c:pt>
                <c:pt idx="54">
                  <c:v>199.65</c:v>
                </c:pt>
                <c:pt idx="55">
                  <c:v>224.13</c:v>
                </c:pt>
                <c:pt idx="56">
                  <c:v>272.17</c:v>
                </c:pt>
                <c:pt idx="57">
                  <c:v>299.18</c:v>
                </c:pt>
                <c:pt idx="58">
                  <c:v>244.61</c:v>
                </c:pt>
                <c:pt idx="59">
                  <c:v>195.46</c:v>
                </c:pt>
                <c:pt idx="60">
                  <c:v>174.34</c:v>
                </c:pt>
                <c:pt idx="61">
                  <c:v>187.43</c:v>
                </c:pt>
                <c:pt idx="62">
                  <c:v>238.5</c:v>
                </c:pt>
                <c:pt idx="63">
                  <c:v>278.08999999999997</c:v>
                </c:pt>
                <c:pt idx="64">
                  <c:v>345.87</c:v>
                </c:pt>
                <c:pt idx="65">
                  <c:v>484.72</c:v>
                </c:pt>
                <c:pt idx="66">
                  <c:v>457.31</c:v>
                </c:pt>
                <c:pt idx="67">
                  <c:v>438.82</c:v>
                </c:pt>
                <c:pt idx="68">
                  <c:v>402.56</c:v>
                </c:pt>
                <c:pt idx="69">
                  <c:v>383.18</c:v>
                </c:pt>
                <c:pt idx="70">
                  <c:v>376.35</c:v>
                </c:pt>
                <c:pt idx="71">
                  <c:v>319.72000000000003</c:v>
                </c:pt>
                <c:pt idx="72">
                  <c:v>295.22000000000003</c:v>
                </c:pt>
                <c:pt idx="73">
                  <c:v>305.29000000000002</c:v>
                </c:pt>
                <c:pt idx="74">
                  <c:v>294.89</c:v>
                </c:pt>
                <c:pt idx="75">
                  <c:v>287.43</c:v>
                </c:pt>
                <c:pt idx="76">
                  <c:v>290.31</c:v>
                </c:pt>
                <c:pt idx="77">
                  <c:v>317.52999999999997</c:v>
                </c:pt>
                <c:pt idx="78">
                  <c:v>327</c:v>
                </c:pt>
                <c:pt idx="79">
                  <c:v>293.86</c:v>
                </c:pt>
                <c:pt idx="80">
                  <c:v>278.2</c:v>
                </c:pt>
                <c:pt idx="81">
                  <c:v>284.94</c:v>
                </c:pt>
                <c:pt idx="82">
                  <c:v>283.95999999999998</c:v>
                </c:pt>
                <c:pt idx="83">
                  <c:v>277.75</c:v>
                </c:pt>
                <c:pt idx="84">
                  <c:v>267.61</c:v>
                </c:pt>
                <c:pt idx="85">
                  <c:v>258.3</c:v>
                </c:pt>
                <c:pt idx="86">
                  <c:v>261.77999999999997</c:v>
                </c:pt>
                <c:pt idx="87">
                  <c:v>308.13</c:v>
                </c:pt>
                <c:pt idx="88">
                  <c:v>341.62</c:v>
                </c:pt>
                <c:pt idx="89">
                  <c:v>378.61</c:v>
                </c:pt>
                <c:pt idx="90">
                  <c:v>355.95</c:v>
                </c:pt>
                <c:pt idx="91">
                  <c:v>358.93</c:v>
                </c:pt>
                <c:pt idx="92">
                  <c:v>419.83</c:v>
                </c:pt>
                <c:pt idx="93">
                  <c:v>426.21</c:v>
                </c:pt>
                <c:pt idx="94">
                  <c:v>398.34</c:v>
                </c:pt>
                <c:pt idx="95">
                  <c:v>349.16</c:v>
                </c:pt>
                <c:pt idx="96">
                  <c:v>357.06</c:v>
                </c:pt>
                <c:pt idx="97">
                  <c:v>350.99</c:v>
                </c:pt>
                <c:pt idx="98">
                  <c:v>361.32</c:v>
                </c:pt>
                <c:pt idx="99">
                  <c:v>400.13</c:v>
                </c:pt>
                <c:pt idx="100">
                  <c:v>390.11</c:v>
                </c:pt>
                <c:pt idx="101">
                  <c:v>364.23</c:v>
                </c:pt>
                <c:pt idx="102">
                  <c:v>361.06</c:v>
                </c:pt>
                <c:pt idx="103">
                  <c:v>426.05</c:v>
                </c:pt>
                <c:pt idx="104">
                  <c:v>482.97</c:v>
                </c:pt>
                <c:pt idx="105">
                  <c:v>446.37</c:v>
                </c:pt>
                <c:pt idx="106">
                  <c:v>427.1</c:v>
                </c:pt>
                <c:pt idx="107">
                  <c:v>303.81</c:v>
                </c:pt>
                <c:pt idx="108">
                  <c:v>277.14</c:v>
                </c:pt>
                <c:pt idx="109">
                  <c:v>279.98</c:v>
                </c:pt>
                <c:pt idx="110">
                  <c:v>285.86</c:v>
                </c:pt>
                <c:pt idx="111">
                  <c:v>280.06</c:v>
                </c:pt>
                <c:pt idx="112">
                  <c:v>277.61</c:v>
                </c:pt>
                <c:pt idx="113">
                  <c:v>296.8</c:v>
                </c:pt>
                <c:pt idx="114">
                  <c:v>277.38</c:v>
                </c:pt>
                <c:pt idx="115">
                  <c:v>281.61</c:v>
                </c:pt>
                <c:pt idx="116">
                  <c:v>271.63</c:v>
                </c:pt>
                <c:pt idx="117">
                  <c:v>283.27999999999997</c:v>
                </c:pt>
                <c:pt idx="118">
                  <c:v>297.70999999999998</c:v>
                </c:pt>
                <c:pt idx="119">
                  <c:v>279.98</c:v>
                </c:pt>
                <c:pt idx="120">
                  <c:v>274.22000000000003</c:v>
                </c:pt>
                <c:pt idx="121">
                  <c:v>281.60000000000002</c:v>
                </c:pt>
                <c:pt idx="122">
                  <c:v>284.89</c:v>
                </c:pt>
                <c:pt idx="123">
                  <c:v>277.07</c:v>
                </c:pt>
                <c:pt idx="124">
                  <c:v>287.83999999999997</c:v>
                </c:pt>
                <c:pt idx="125">
                  <c:v>284.14999999999998</c:v>
                </c:pt>
                <c:pt idx="126">
                  <c:v>269.75</c:v>
                </c:pt>
                <c:pt idx="127">
                  <c:v>256.02</c:v>
                </c:pt>
                <c:pt idx="128">
                  <c:v>223.28</c:v>
                </c:pt>
                <c:pt idx="129">
                  <c:v>186.06</c:v>
                </c:pt>
                <c:pt idx="130">
                  <c:v>83.17</c:v>
                </c:pt>
                <c:pt idx="131">
                  <c:v>0</c:v>
                </c:pt>
                <c:pt idx="132">
                  <c:v>0</c:v>
                </c:pt>
                <c:pt idx="133">
                  <c:v>5.47</c:v>
                </c:pt>
                <c:pt idx="134">
                  <c:v>0</c:v>
                </c:pt>
                <c:pt idx="135">
                  <c:v>2.44</c:v>
                </c:pt>
                <c:pt idx="136">
                  <c:v>63.07</c:v>
                </c:pt>
                <c:pt idx="137">
                  <c:v>144.63</c:v>
                </c:pt>
                <c:pt idx="138">
                  <c:v>160.27000000000001</c:v>
                </c:pt>
                <c:pt idx="139">
                  <c:v>176.01</c:v>
                </c:pt>
                <c:pt idx="140">
                  <c:v>172.94</c:v>
                </c:pt>
                <c:pt idx="141">
                  <c:v>180.02</c:v>
                </c:pt>
                <c:pt idx="142">
                  <c:v>182.28</c:v>
                </c:pt>
                <c:pt idx="143">
                  <c:v>168.33</c:v>
                </c:pt>
                <c:pt idx="144">
                  <c:v>204.01</c:v>
                </c:pt>
                <c:pt idx="145">
                  <c:v>204.82</c:v>
                </c:pt>
                <c:pt idx="146">
                  <c:v>197.07</c:v>
                </c:pt>
                <c:pt idx="147">
                  <c:v>206.98</c:v>
                </c:pt>
                <c:pt idx="148">
                  <c:v>196.22</c:v>
                </c:pt>
                <c:pt idx="149">
                  <c:v>223.55</c:v>
                </c:pt>
                <c:pt idx="150">
                  <c:v>183.84</c:v>
                </c:pt>
                <c:pt idx="151">
                  <c:v>217.63</c:v>
                </c:pt>
                <c:pt idx="152">
                  <c:v>273.24</c:v>
                </c:pt>
                <c:pt idx="153">
                  <c:v>249.93</c:v>
                </c:pt>
                <c:pt idx="154">
                  <c:v>258.17</c:v>
                </c:pt>
                <c:pt idx="155">
                  <c:v>312.63</c:v>
                </c:pt>
                <c:pt idx="156">
                  <c:v>319.14</c:v>
                </c:pt>
                <c:pt idx="157">
                  <c:v>299.93</c:v>
                </c:pt>
                <c:pt idx="158">
                  <c:v>274.37</c:v>
                </c:pt>
                <c:pt idx="159">
                  <c:v>296.45</c:v>
                </c:pt>
                <c:pt idx="160">
                  <c:v>317.33</c:v>
                </c:pt>
                <c:pt idx="161">
                  <c:v>305.82</c:v>
                </c:pt>
                <c:pt idx="162">
                  <c:v>271.13</c:v>
                </c:pt>
                <c:pt idx="163">
                  <c:v>227.44</c:v>
                </c:pt>
                <c:pt idx="164">
                  <c:v>212.78</c:v>
                </c:pt>
                <c:pt idx="165">
                  <c:v>206.75</c:v>
                </c:pt>
                <c:pt idx="166">
                  <c:v>196.4</c:v>
                </c:pt>
                <c:pt idx="167">
                  <c:v>156.82</c:v>
                </c:pt>
                <c:pt idx="168">
                  <c:v>117.55</c:v>
                </c:pt>
                <c:pt idx="169">
                  <c:v>120.78</c:v>
                </c:pt>
                <c:pt idx="170">
                  <c:v>118.98</c:v>
                </c:pt>
                <c:pt idx="171">
                  <c:v>133.09</c:v>
                </c:pt>
                <c:pt idx="172">
                  <c:v>146.76</c:v>
                </c:pt>
                <c:pt idx="173">
                  <c:v>155.72999999999999</c:v>
                </c:pt>
                <c:pt idx="174">
                  <c:v>229.59</c:v>
                </c:pt>
                <c:pt idx="175">
                  <c:v>225.74</c:v>
                </c:pt>
                <c:pt idx="176">
                  <c:v>206.53</c:v>
                </c:pt>
                <c:pt idx="177">
                  <c:v>164.24</c:v>
                </c:pt>
                <c:pt idx="178">
                  <c:v>81.99</c:v>
                </c:pt>
                <c:pt idx="179">
                  <c:v>15.56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97.72</c:v>
                </c:pt>
                <c:pt idx="185">
                  <c:v>224.59</c:v>
                </c:pt>
                <c:pt idx="186">
                  <c:v>248.32</c:v>
                </c:pt>
                <c:pt idx="187">
                  <c:v>225.24</c:v>
                </c:pt>
                <c:pt idx="188">
                  <c:v>261.79000000000002</c:v>
                </c:pt>
                <c:pt idx="189">
                  <c:v>200.57</c:v>
                </c:pt>
                <c:pt idx="190">
                  <c:v>219.38</c:v>
                </c:pt>
                <c:pt idx="191">
                  <c:v>215.16</c:v>
                </c:pt>
                <c:pt idx="192">
                  <c:v>205.33</c:v>
                </c:pt>
                <c:pt idx="193">
                  <c:v>169.57</c:v>
                </c:pt>
                <c:pt idx="194">
                  <c:v>159.34</c:v>
                </c:pt>
                <c:pt idx="195">
                  <c:v>140.97</c:v>
                </c:pt>
                <c:pt idx="196">
                  <c:v>176.94</c:v>
                </c:pt>
                <c:pt idx="197">
                  <c:v>102</c:v>
                </c:pt>
                <c:pt idx="198">
                  <c:v>141.82</c:v>
                </c:pt>
                <c:pt idx="199">
                  <c:v>140.66999999999999</c:v>
                </c:pt>
                <c:pt idx="200">
                  <c:v>151.38999999999999</c:v>
                </c:pt>
                <c:pt idx="201">
                  <c:v>162.29</c:v>
                </c:pt>
                <c:pt idx="202">
                  <c:v>209.49</c:v>
                </c:pt>
                <c:pt idx="203">
                  <c:v>379.8</c:v>
                </c:pt>
                <c:pt idx="204">
                  <c:v>387.46</c:v>
                </c:pt>
                <c:pt idx="205">
                  <c:v>379.13</c:v>
                </c:pt>
                <c:pt idx="206">
                  <c:v>367.82</c:v>
                </c:pt>
                <c:pt idx="207">
                  <c:v>348.18</c:v>
                </c:pt>
                <c:pt idx="208">
                  <c:v>330.18</c:v>
                </c:pt>
                <c:pt idx="209">
                  <c:v>284.25</c:v>
                </c:pt>
                <c:pt idx="210">
                  <c:v>282.54000000000002</c:v>
                </c:pt>
                <c:pt idx="211">
                  <c:v>286.86</c:v>
                </c:pt>
                <c:pt idx="212">
                  <c:v>268.52</c:v>
                </c:pt>
                <c:pt idx="213">
                  <c:v>265.55</c:v>
                </c:pt>
                <c:pt idx="214">
                  <c:v>262.47000000000003</c:v>
                </c:pt>
                <c:pt idx="215">
                  <c:v>257.55</c:v>
                </c:pt>
                <c:pt idx="216">
                  <c:v>282.08</c:v>
                </c:pt>
                <c:pt idx="217">
                  <c:v>307.88</c:v>
                </c:pt>
                <c:pt idx="218">
                  <c:v>303.41000000000003</c:v>
                </c:pt>
                <c:pt idx="219">
                  <c:v>311.58999999999997</c:v>
                </c:pt>
                <c:pt idx="220">
                  <c:v>291.85000000000002</c:v>
                </c:pt>
                <c:pt idx="221">
                  <c:v>324.26</c:v>
                </c:pt>
                <c:pt idx="222">
                  <c:v>391.34</c:v>
                </c:pt>
                <c:pt idx="223">
                  <c:v>381.33</c:v>
                </c:pt>
                <c:pt idx="224">
                  <c:v>376.89</c:v>
                </c:pt>
                <c:pt idx="225">
                  <c:v>361.35</c:v>
                </c:pt>
                <c:pt idx="226">
                  <c:v>345.36</c:v>
                </c:pt>
                <c:pt idx="227">
                  <c:v>259.02</c:v>
                </c:pt>
                <c:pt idx="228">
                  <c:v>251.56</c:v>
                </c:pt>
                <c:pt idx="229">
                  <c:v>220.79</c:v>
                </c:pt>
                <c:pt idx="230">
                  <c:v>270.94</c:v>
                </c:pt>
                <c:pt idx="231">
                  <c:v>262.97000000000003</c:v>
                </c:pt>
                <c:pt idx="232">
                  <c:v>318.33</c:v>
                </c:pt>
                <c:pt idx="233">
                  <c:v>346.36</c:v>
                </c:pt>
                <c:pt idx="234">
                  <c:v>323.36</c:v>
                </c:pt>
                <c:pt idx="235">
                  <c:v>316.43</c:v>
                </c:pt>
                <c:pt idx="236">
                  <c:v>317.63</c:v>
                </c:pt>
                <c:pt idx="237">
                  <c:v>319.74</c:v>
                </c:pt>
                <c:pt idx="238">
                  <c:v>299.70999999999998</c:v>
                </c:pt>
                <c:pt idx="239">
                  <c:v>240.05</c:v>
                </c:pt>
                <c:pt idx="240">
                  <c:v>241.96</c:v>
                </c:pt>
                <c:pt idx="241">
                  <c:v>241.73</c:v>
                </c:pt>
                <c:pt idx="242">
                  <c:v>239.66</c:v>
                </c:pt>
                <c:pt idx="243">
                  <c:v>234.58</c:v>
                </c:pt>
                <c:pt idx="244">
                  <c:v>243.47</c:v>
                </c:pt>
                <c:pt idx="245">
                  <c:v>207.72</c:v>
                </c:pt>
                <c:pt idx="246">
                  <c:v>218.14</c:v>
                </c:pt>
                <c:pt idx="247">
                  <c:v>219.37</c:v>
                </c:pt>
                <c:pt idx="248">
                  <c:v>204.6</c:v>
                </c:pt>
                <c:pt idx="249">
                  <c:v>224.01</c:v>
                </c:pt>
                <c:pt idx="250">
                  <c:v>233.29</c:v>
                </c:pt>
                <c:pt idx="251">
                  <c:v>366.43</c:v>
                </c:pt>
                <c:pt idx="252">
                  <c:v>402.87</c:v>
                </c:pt>
                <c:pt idx="253">
                  <c:v>409.93</c:v>
                </c:pt>
                <c:pt idx="254">
                  <c:v>420.19</c:v>
                </c:pt>
                <c:pt idx="255">
                  <c:v>448.01</c:v>
                </c:pt>
                <c:pt idx="256">
                  <c:v>451.79</c:v>
                </c:pt>
                <c:pt idx="257">
                  <c:v>474.17</c:v>
                </c:pt>
                <c:pt idx="258">
                  <c:v>489.94</c:v>
                </c:pt>
                <c:pt idx="259">
                  <c:v>507.73</c:v>
                </c:pt>
                <c:pt idx="260">
                  <c:v>495.48</c:v>
                </c:pt>
                <c:pt idx="261">
                  <c:v>467.69</c:v>
                </c:pt>
                <c:pt idx="262">
                  <c:v>429.92</c:v>
                </c:pt>
                <c:pt idx="263">
                  <c:v>408.93</c:v>
                </c:pt>
                <c:pt idx="264">
                  <c:v>430.36</c:v>
                </c:pt>
                <c:pt idx="265">
                  <c:v>455</c:v>
                </c:pt>
                <c:pt idx="266">
                  <c:v>397.67</c:v>
                </c:pt>
                <c:pt idx="267">
                  <c:v>455.66</c:v>
                </c:pt>
                <c:pt idx="268">
                  <c:v>426.12</c:v>
                </c:pt>
                <c:pt idx="269">
                  <c:v>419.29</c:v>
                </c:pt>
                <c:pt idx="270">
                  <c:v>443.91</c:v>
                </c:pt>
                <c:pt idx="271">
                  <c:v>442.78</c:v>
                </c:pt>
                <c:pt idx="272">
                  <c:v>429.41</c:v>
                </c:pt>
                <c:pt idx="273">
                  <c:v>399.26</c:v>
                </c:pt>
                <c:pt idx="274">
                  <c:v>412.71</c:v>
                </c:pt>
                <c:pt idx="275">
                  <c:v>354.2</c:v>
                </c:pt>
                <c:pt idx="276">
                  <c:v>359.82</c:v>
                </c:pt>
                <c:pt idx="277">
                  <c:v>345.23</c:v>
                </c:pt>
                <c:pt idx="278">
                  <c:v>419.91</c:v>
                </c:pt>
                <c:pt idx="279">
                  <c:v>362.07</c:v>
                </c:pt>
                <c:pt idx="280">
                  <c:v>342.1</c:v>
                </c:pt>
                <c:pt idx="281">
                  <c:v>263.74</c:v>
                </c:pt>
                <c:pt idx="282">
                  <c:v>267.43</c:v>
                </c:pt>
                <c:pt idx="283">
                  <c:v>240.39</c:v>
                </c:pt>
                <c:pt idx="284">
                  <c:v>223.88</c:v>
                </c:pt>
                <c:pt idx="285">
                  <c:v>237.2</c:v>
                </c:pt>
                <c:pt idx="286">
                  <c:v>216.7</c:v>
                </c:pt>
                <c:pt idx="287">
                  <c:v>178.12</c:v>
                </c:pt>
                <c:pt idx="288">
                  <c:v>188.41</c:v>
                </c:pt>
                <c:pt idx="289">
                  <c:v>199.68</c:v>
                </c:pt>
                <c:pt idx="290">
                  <c:v>209.14</c:v>
                </c:pt>
                <c:pt idx="291">
                  <c:v>207.39</c:v>
                </c:pt>
                <c:pt idx="292">
                  <c:v>212.64</c:v>
                </c:pt>
                <c:pt idx="293">
                  <c:v>220.1</c:v>
                </c:pt>
                <c:pt idx="294">
                  <c:v>217.01</c:v>
                </c:pt>
                <c:pt idx="295">
                  <c:v>247.78</c:v>
                </c:pt>
                <c:pt idx="296">
                  <c:v>301.45999999999998</c:v>
                </c:pt>
                <c:pt idx="297">
                  <c:v>324.83999999999997</c:v>
                </c:pt>
                <c:pt idx="298">
                  <c:v>326.08</c:v>
                </c:pt>
                <c:pt idx="299">
                  <c:v>347.02</c:v>
                </c:pt>
                <c:pt idx="300">
                  <c:v>397.77</c:v>
                </c:pt>
                <c:pt idx="301">
                  <c:v>436.41</c:v>
                </c:pt>
                <c:pt idx="302">
                  <c:v>447.23</c:v>
                </c:pt>
                <c:pt idx="303">
                  <c:v>443.66</c:v>
                </c:pt>
                <c:pt idx="304">
                  <c:v>450.77</c:v>
                </c:pt>
                <c:pt idx="305">
                  <c:v>450.24</c:v>
                </c:pt>
                <c:pt idx="306">
                  <c:v>430.44</c:v>
                </c:pt>
                <c:pt idx="307">
                  <c:v>387.71</c:v>
                </c:pt>
                <c:pt idx="308">
                  <c:v>355.6</c:v>
                </c:pt>
                <c:pt idx="309">
                  <c:v>339.03</c:v>
                </c:pt>
                <c:pt idx="310">
                  <c:v>328.94</c:v>
                </c:pt>
                <c:pt idx="311">
                  <c:v>345.93</c:v>
                </c:pt>
                <c:pt idx="312">
                  <c:v>262.89</c:v>
                </c:pt>
                <c:pt idx="313">
                  <c:v>208.47</c:v>
                </c:pt>
                <c:pt idx="314">
                  <c:v>211.86</c:v>
                </c:pt>
                <c:pt idx="315">
                  <c:v>200.39</c:v>
                </c:pt>
                <c:pt idx="316">
                  <c:v>178.55</c:v>
                </c:pt>
                <c:pt idx="317">
                  <c:v>178.63</c:v>
                </c:pt>
                <c:pt idx="318">
                  <c:v>183.18</c:v>
                </c:pt>
                <c:pt idx="319">
                  <c:v>133.55000000000001</c:v>
                </c:pt>
                <c:pt idx="320">
                  <c:v>126.7</c:v>
                </c:pt>
                <c:pt idx="321">
                  <c:v>127.7</c:v>
                </c:pt>
                <c:pt idx="322">
                  <c:v>113.94</c:v>
                </c:pt>
                <c:pt idx="323">
                  <c:v>87.53</c:v>
                </c:pt>
                <c:pt idx="324">
                  <c:v>133.6</c:v>
                </c:pt>
                <c:pt idx="325">
                  <c:v>166.08</c:v>
                </c:pt>
                <c:pt idx="326">
                  <c:v>197.8</c:v>
                </c:pt>
                <c:pt idx="327">
                  <c:v>146.85</c:v>
                </c:pt>
                <c:pt idx="328">
                  <c:v>132.28</c:v>
                </c:pt>
                <c:pt idx="329">
                  <c:v>151.81</c:v>
                </c:pt>
                <c:pt idx="330">
                  <c:v>178.59</c:v>
                </c:pt>
                <c:pt idx="331">
                  <c:v>204.69</c:v>
                </c:pt>
                <c:pt idx="332">
                  <c:v>185.74</c:v>
                </c:pt>
                <c:pt idx="333">
                  <c:v>158.21</c:v>
                </c:pt>
                <c:pt idx="334">
                  <c:v>270.67</c:v>
                </c:pt>
                <c:pt idx="335">
                  <c:v>439.94</c:v>
                </c:pt>
                <c:pt idx="336">
                  <c:v>431.15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47-0B43-9795-E081AC7B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cked"/>
        <c:varyColors val="0"/>
        <c:ser>
          <c:idx val="9"/>
          <c:order val="0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B-EF46-86C8-D79DB78B6D75}"/>
            </c:ext>
          </c:extLst>
        </c:ser>
        <c:ser>
          <c:idx val="10"/>
          <c:order val="1"/>
          <c:tx>
            <c:strRef>
              <c:f>'Data exploration'!$D$1</c:f>
              <c:strCache>
                <c:ptCount val="1"/>
                <c:pt idx="0">
                  <c:v>Exports -  MW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exploration'!$D$2:$D$338</c:f>
              <c:numCache>
                <c:formatCode>#,##0</c:formatCode>
                <c:ptCount val="337"/>
                <c:pt idx="0">
                  <c:v>-255.91</c:v>
                </c:pt>
                <c:pt idx="1">
                  <c:v>-132.59</c:v>
                </c:pt>
                <c:pt idx="2">
                  <c:v>-10.54</c:v>
                </c:pt>
                <c:pt idx="3">
                  <c:v>-159.88999999999999</c:v>
                </c:pt>
                <c:pt idx="4">
                  <c:v>-151.47999999999999</c:v>
                </c:pt>
                <c:pt idx="5">
                  <c:v>-0.59</c:v>
                </c:pt>
                <c:pt idx="6">
                  <c:v>-125.35</c:v>
                </c:pt>
                <c:pt idx="7">
                  <c:v>-105.76</c:v>
                </c:pt>
                <c:pt idx="8">
                  <c:v>-157.65</c:v>
                </c:pt>
                <c:pt idx="9">
                  <c:v>-200.52</c:v>
                </c:pt>
                <c:pt idx="10">
                  <c:v>-208.53</c:v>
                </c:pt>
                <c:pt idx="11">
                  <c:v>-487.92</c:v>
                </c:pt>
                <c:pt idx="12">
                  <c:v>-510.44</c:v>
                </c:pt>
                <c:pt idx="13">
                  <c:v>-501.92</c:v>
                </c:pt>
                <c:pt idx="14">
                  <c:v>-551.23</c:v>
                </c:pt>
                <c:pt idx="15">
                  <c:v>-558.29</c:v>
                </c:pt>
                <c:pt idx="16">
                  <c:v>-555.45000000000005</c:v>
                </c:pt>
                <c:pt idx="17">
                  <c:v>-561.46</c:v>
                </c:pt>
                <c:pt idx="18">
                  <c:v>-599.28</c:v>
                </c:pt>
                <c:pt idx="19">
                  <c:v>-604.04</c:v>
                </c:pt>
                <c:pt idx="20">
                  <c:v>-480.9</c:v>
                </c:pt>
                <c:pt idx="21">
                  <c:v>-487.3</c:v>
                </c:pt>
                <c:pt idx="22">
                  <c:v>-480.83</c:v>
                </c:pt>
                <c:pt idx="23">
                  <c:v>-525.99</c:v>
                </c:pt>
                <c:pt idx="24">
                  <c:v>-597.52</c:v>
                </c:pt>
                <c:pt idx="25">
                  <c:v>-670.27</c:v>
                </c:pt>
                <c:pt idx="26">
                  <c:v>-476.18</c:v>
                </c:pt>
                <c:pt idx="27">
                  <c:v>-472.52</c:v>
                </c:pt>
                <c:pt idx="28">
                  <c:v>-507.07</c:v>
                </c:pt>
                <c:pt idx="29">
                  <c:v>-435.67</c:v>
                </c:pt>
                <c:pt idx="30">
                  <c:v>-431.77</c:v>
                </c:pt>
                <c:pt idx="31">
                  <c:v>-288.58999999999997</c:v>
                </c:pt>
                <c:pt idx="32">
                  <c:v>-146.09</c:v>
                </c:pt>
                <c:pt idx="33">
                  <c:v>-30.49</c:v>
                </c:pt>
                <c:pt idx="34">
                  <c:v>0</c:v>
                </c:pt>
                <c:pt idx="35">
                  <c:v>-9.35</c:v>
                </c:pt>
                <c:pt idx="36">
                  <c:v>-35.47</c:v>
                </c:pt>
                <c:pt idx="37">
                  <c:v>-4.84</c:v>
                </c:pt>
                <c:pt idx="38">
                  <c:v>-198.95</c:v>
                </c:pt>
                <c:pt idx="39">
                  <c:v>-658.99</c:v>
                </c:pt>
                <c:pt idx="40">
                  <c:v>-805</c:v>
                </c:pt>
                <c:pt idx="41">
                  <c:v>-805.21</c:v>
                </c:pt>
                <c:pt idx="42">
                  <c:v>-824.64</c:v>
                </c:pt>
                <c:pt idx="43">
                  <c:v>-811.29</c:v>
                </c:pt>
                <c:pt idx="44">
                  <c:v>-738.74</c:v>
                </c:pt>
                <c:pt idx="45">
                  <c:v>-644.01</c:v>
                </c:pt>
                <c:pt idx="46">
                  <c:v>-730.81</c:v>
                </c:pt>
                <c:pt idx="47">
                  <c:v>-729.48</c:v>
                </c:pt>
                <c:pt idx="48">
                  <c:v>-558.66999999999996</c:v>
                </c:pt>
                <c:pt idx="49">
                  <c:v>-493.76</c:v>
                </c:pt>
                <c:pt idx="50">
                  <c:v>-525.74</c:v>
                </c:pt>
                <c:pt idx="51">
                  <c:v>-530.42999999999995</c:v>
                </c:pt>
                <c:pt idx="52">
                  <c:v>-415.64</c:v>
                </c:pt>
                <c:pt idx="53">
                  <c:v>-329.66</c:v>
                </c:pt>
                <c:pt idx="54">
                  <c:v>-323.95</c:v>
                </c:pt>
                <c:pt idx="55">
                  <c:v>-178.82</c:v>
                </c:pt>
                <c:pt idx="56">
                  <c:v>-125.98</c:v>
                </c:pt>
                <c:pt idx="57">
                  <c:v>-126.06</c:v>
                </c:pt>
                <c:pt idx="58">
                  <c:v>-155.11000000000001</c:v>
                </c:pt>
                <c:pt idx="59">
                  <c:v>-101.71</c:v>
                </c:pt>
                <c:pt idx="60">
                  <c:v>-26.51</c:v>
                </c:pt>
                <c:pt idx="61">
                  <c:v>-1.6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-68.790000000000006</c:v>
                </c:pt>
                <c:pt idx="72">
                  <c:v>-47.18</c:v>
                </c:pt>
                <c:pt idx="73">
                  <c:v>-13.56</c:v>
                </c:pt>
                <c:pt idx="74">
                  <c:v>-4.1399999999999997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-1.54</c:v>
                </c:pt>
                <c:pt idx="80">
                  <c:v>-11.78</c:v>
                </c:pt>
                <c:pt idx="81">
                  <c:v>0</c:v>
                </c:pt>
                <c:pt idx="82">
                  <c:v>-71.02</c:v>
                </c:pt>
                <c:pt idx="83">
                  <c:v>-126.98</c:v>
                </c:pt>
                <c:pt idx="84">
                  <c:v>-106.09</c:v>
                </c:pt>
                <c:pt idx="85">
                  <c:v>-110.82</c:v>
                </c:pt>
                <c:pt idx="86">
                  <c:v>-27.54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-92.12</c:v>
                </c:pt>
                <c:pt idx="108">
                  <c:v>-78.16</c:v>
                </c:pt>
                <c:pt idx="109">
                  <c:v>-115.62</c:v>
                </c:pt>
                <c:pt idx="110">
                  <c:v>-186.1</c:v>
                </c:pt>
                <c:pt idx="111">
                  <c:v>-194.37</c:v>
                </c:pt>
                <c:pt idx="112">
                  <c:v>-197.29</c:v>
                </c:pt>
                <c:pt idx="113">
                  <c:v>-241.96</c:v>
                </c:pt>
                <c:pt idx="114">
                  <c:v>-327.3</c:v>
                </c:pt>
                <c:pt idx="115">
                  <c:v>-360.81</c:v>
                </c:pt>
                <c:pt idx="116">
                  <c:v>-374.4</c:v>
                </c:pt>
                <c:pt idx="117">
                  <c:v>-394.42</c:v>
                </c:pt>
                <c:pt idx="118">
                  <c:v>-396.14</c:v>
                </c:pt>
                <c:pt idx="119">
                  <c:v>-487.28</c:v>
                </c:pt>
                <c:pt idx="120">
                  <c:v>-536.12</c:v>
                </c:pt>
                <c:pt idx="121">
                  <c:v>-538.34</c:v>
                </c:pt>
                <c:pt idx="122">
                  <c:v>-513.83000000000004</c:v>
                </c:pt>
                <c:pt idx="123">
                  <c:v>-459.97</c:v>
                </c:pt>
                <c:pt idx="124">
                  <c:v>-495.82</c:v>
                </c:pt>
                <c:pt idx="125">
                  <c:v>-498.8</c:v>
                </c:pt>
                <c:pt idx="126">
                  <c:v>-380.66</c:v>
                </c:pt>
                <c:pt idx="127">
                  <c:v>-325.73</c:v>
                </c:pt>
                <c:pt idx="128">
                  <c:v>-381.76</c:v>
                </c:pt>
                <c:pt idx="129">
                  <c:v>-461.29</c:v>
                </c:pt>
                <c:pt idx="130">
                  <c:v>-472.02</c:v>
                </c:pt>
                <c:pt idx="131">
                  <c:v>-573.94000000000005</c:v>
                </c:pt>
                <c:pt idx="132">
                  <c:v>-418.29</c:v>
                </c:pt>
                <c:pt idx="133">
                  <c:v>-376.64</c:v>
                </c:pt>
                <c:pt idx="134">
                  <c:v>-305.26</c:v>
                </c:pt>
                <c:pt idx="135">
                  <c:v>-223.76</c:v>
                </c:pt>
                <c:pt idx="136">
                  <c:v>-158.31</c:v>
                </c:pt>
                <c:pt idx="137">
                  <c:v>-324.17</c:v>
                </c:pt>
                <c:pt idx="138">
                  <c:v>-393.87</c:v>
                </c:pt>
                <c:pt idx="139">
                  <c:v>-359.41</c:v>
                </c:pt>
                <c:pt idx="140">
                  <c:v>-342.47</c:v>
                </c:pt>
                <c:pt idx="141">
                  <c:v>-315.85000000000002</c:v>
                </c:pt>
                <c:pt idx="142">
                  <c:v>-389.6</c:v>
                </c:pt>
                <c:pt idx="143">
                  <c:v>-520.09</c:v>
                </c:pt>
                <c:pt idx="144">
                  <c:v>-447.76</c:v>
                </c:pt>
                <c:pt idx="145">
                  <c:v>-440.61</c:v>
                </c:pt>
                <c:pt idx="146">
                  <c:v>-470.68</c:v>
                </c:pt>
                <c:pt idx="147">
                  <c:v>-477.19</c:v>
                </c:pt>
                <c:pt idx="148">
                  <c:v>-450.68</c:v>
                </c:pt>
                <c:pt idx="149">
                  <c:v>-394</c:v>
                </c:pt>
                <c:pt idx="150">
                  <c:v>-300.33</c:v>
                </c:pt>
                <c:pt idx="151">
                  <c:v>-314.72000000000003</c:v>
                </c:pt>
                <c:pt idx="152">
                  <c:v>-198.04</c:v>
                </c:pt>
                <c:pt idx="153">
                  <c:v>-265.77999999999997</c:v>
                </c:pt>
                <c:pt idx="154">
                  <c:v>-239.5</c:v>
                </c:pt>
                <c:pt idx="155">
                  <c:v>-19.45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-0.71</c:v>
                </c:pt>
                <c:pt idx="164">
                  <c:v>-26.18</c:v>
                </c:pt>
                <c:pt idx="165">
                  <c:v>-79.430000000000007</c:v>
                </c:pt>
                <c:pt idx="166">
                  <c:v>-52.28</c:v>
                </c:pt>
                <c:pt idx="167">
                  <c:v>-93.73</c:v>
                </c:pt>
                <c:pt idx="168">
                  <c:v>-95.08</c:v>
                </c:pt>
                <c:pt idx="169">
                  <c:v>-77.48</c:v>
                </c:pt>
                <c:pt idx="170">
                  <c:v>-106.28</c:v>
                </c:pt>
                <c:pt idx="171">
                  <c:v>-96.14</c:v>
                </c:pt>
                <c:pt idx="172">
                  <c:v>-5.42</c:v>
                </c:pt>
                <c:pt idx="173">
                  <c:v>-3.12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-16.48</c:v>
                </c:pt>
                <c:pt idx="178">
                  <c:v>-271.64999999999998</c:v>
                </c:pt>
                <c:pt idx="179">
                  <c:v>-528.04</c:v>
                </c:pt>
                <c:pt idx="180">
                  <c:v>-595.59</c:v>
                </c:pt>
                <c:pt idx="181">
                  <c:v>-525.15</c:v>
                </c:pt>
                <c:pt idx="182">
                  <c:v>-396.19</c:v>
                </c:pt>
                <c:pt idx="183">
                  <c:v>-234.83</c:v>
                </c:pt>
                <c:pt idx="184">
                  <c:v>-8.27</c:v>
                </c:pt>
                <c:pt idx="185">
                  <c:v>-64.959999999999994</c:v>
                </c:pt>
                <c:pt idx="186">
                  <c:v>-83.46</c:v>
                </c:pt>
                <c:pt idx="187">
                  <c:v>-58.73</c:v>
                </c:pt>
                <c:pt idx="188">
                  <c:v>-187.26</c:v>
                </c:pt>
                <c:pt idx="189">
                  <c:v>-187.7</c:v>
                </c:pt>
                <c:pt idx="190">
                  <c:v>-208.57</c:v>
                </c:pt>
                <c:pt idx="191">
                  <c:v>-262.39999999999998</c:v>
                </c:pt>
                <c:pt idx="192">
                  <c:v>-311.8</c:v>
                </c:pt>
                <c:pt idx="193">
                  <c:v>-423.77</c:v>
                </c:pt>
                <c:pt idx="194">
                  <c:v>-420.83</c:v>
                </c:pt>
                <c:pt idx="195">
                  <c:v>-325.36</c:v>
                </c:pt>
                <c:pt idx="196">
                  <c:v>-285.54000000000002</c:v>
                </c:pt>
                <c:pt idx="197">
                  <c:v>-1.7</c:v>
                </c:pt>
                <c:pt idx="198">
                  <c:v>-22.01</c:v>
                </c:pt>
                <c:pt idx="199">
                  <c:v>-14.79</c:v>
                </c:pt>
                <c:pt idx="200">
                  <c:v>-169.46</c:v>
                </c:pt>
                <c:pt idx="201">
                  <c:v>-60.01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-52.04</c:v>
                </c:pt>
                <c:pt idx="227">
                  <c:v>-66.040000000000006</c:v>
                </c:pt>
                <c:pt idx="228">
                  <c:v>-117.59</c:v>
                </c:pt>
                <c:pt idx="229">
                  <c:v>-35.78</c:v>
                </c:pt>
                <c:pt idx="230">
                  <c:v>-7.54</c:v>
                </c:pt>
                <c:pt idx="231">
                  <c:v>0</c:v>
                </c:pt>
                <c:pt idx="232">
                  <c:v>-103.05</c:v>
                </c:pt>
                <c:pt idx="233">
                  <c:v>-276.20999999999998</c:v>
                </c:pt>
                <c:pt idx="234">
                  <c:v>-254.46</c:v>
                </c:pt>
                <c:pt idx="235">
                  <c:v>-278.38</c:v>
                </c:pt>
                <c:pt idx="236">
                  <c:v>-290.77999999999997</c:v>
                </c:pt>
                <c:pt idx="237">
                  <c:v>-357.6</c:v>
                </c:pt>
                <c:pt idx="238">
                  <c:v>-236.64</c:v>
                </c:pt>
                <c:pt idx="239">
                  <c:v>-248.87</c:v>
                </c:pt>
                <c:pt idx="240">
                  <c:v>-283.45</c:v>
                </c:pt>
                <c:pt idx="241">
                  <c:v>-265.19</c:v>
                </c:pt>
                <c:pt idx="242">
                  <c:v>-282.10000000000002</c:v>
                </c:pt>
                <c:pt idx="243">
                  <c:v>-265.55</c:v>
                </c:pt>
                <c:pt idx="244">
                  <c:v>-233.49</c:v>
                </c:pt>
                <c:pt idx="245">
                  <c:v>-253.13</c:v>
                </c:pt>
                <c:pt idx="246">
                  <c:v>-270.01</c:v>
                </c:pt>
                <c:pt idx="247">
                  <c:v>-170.57</c:v>
                </c:pt>
                <c:pt idx="248">
                  <c:v>-294.61</c:v>
                </c:pt>
                <c:pt idx="249">
                  <c:v>-203.07</c:v>
                </c:pt>
                <c:pt idx="250">
                  <c:v>-73.92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-135.08000000000001</c:v>
                </c:pt>
                <c:pt idx="282">
                  <c:v>-267.99</c:v>
                </c:pt>
                <c:pt idx="283">
                  <c:v>-177.23</c:v>
                </c:pt>
                <c:pt idx="284">
                  <c:v>-162.01</c:v>
                </c:pt>
                <c:pt idx="285">
                  <c:v>-226.79</c:v>
                </c:pt>
                <c:pt idx="286">
                  <c:v>-287.95999999999998</c:v>
                </c:pt>
                <c:pt idx="287">
                  <c:v>-247.01</c:v>
                </c:pt>
                <c:pt idx="288">
                  <c:v>-170.09</c:v>
                </c:pt>
                <c:pt idx="289">
                  <c:v>-129.07</c:v>
                </c:pt>
                <c:pt idx="290">
                  <c:v>-130.47</c:v>
                </c:pt>
                <c:pt idx="291">
                  <c:v>-187.52</c:v>
                </c:pt>
                <c:pt idx="292">
                  <c:v>-170.98</c:v>
                </c:pt>
                <c:pt idx="293">
                  <c:v>-190.58</c:v>
                </c:pt>
                <c:pt idx="294">
                  <c:v>-271.32</c:v>
                </c:pt>
                <c:pt idx="295">
                  <c:v>-227.11</c:v>
                </c:pt>
                <c:pt idx="296">
                  <c:v>-224.95</c:v>
                </c:pt>
                <c:pt idx="297">
                  <c:v>-238.14</c:v>
                </c:pt>
                <c:pt idx="298">
                  <c:v>-247.09</c:v>
                </c:pt>
                <c:pt idx="299">
                  <c:v>-211.31</c:v>
                </c:pt>
                <c:pt idx="300">
                  <c:v>-103.97</c:v>
                </c:pt>
                <c:pt idx="301">
                  <c:v>-47.36</c:v>
                </c:pt>
                <c:pt idx="302">
                  <c:v>-87.06</c:v>
                </c:pt>
                <c:pt idx="303">
                  <c:v>-155.18</c:v>
                </c:pt>
                <c:pt idx="304">
                  <c:v>-230.05</c:v>
                </c:pt>
                <c:pt idx="305">
                  <c:v>-180.76</c:v>
                </c:pt>
                <c:pt idx="306">
                  <c:v>-202.07</c:v>
                </c:pt>
                <c:pt idx="307">
                  <c:v>-191.8</c:v>
                </c:pt>
                <c:pt idx="308">
                  <c:v>-108.46</c:v>
                </c:pt>
                <c:pt idx="309">
                  <c:v>-184.95</c:v>
                </c:pt>
                <c:pt idx="310">
                  <c:v>-188.5</c:v>
                </c:pt>
                <c:pt idx="311">
                  <c:v>-218.38</c:v>
                </c:pt>
                <c:pt idx="312">
                  <c:v>-189.4</c:v>
                </c:pt>
                <c:pt idx="313">
                  <c:v>-143.83000000000001</c:v>
                </c:pt>
                <c:pt idx="314">
                  <c:v>-174.89</c:v>
                </c:pt>
                <c:pt idx="315">
                  <c:v>-165.42</c:v>
                </c:pt>
                <c:pt idx="316">
                  <c:v>-156.04</c:v>
                </c:pt>
                <c:pt idx="317">
                  <c:v>-128.77000000000001</c:v>
                </c:pt>
                <c:pt idx="318">
                  <c:v>-150.55000000000001</c:v>
                </c:pt>
                <c:pt idx="319">
                  <c:v>-134.76</c:v>
                </c:pt>
                <c:pt idx="320">
                  <c:v>-91.01</c:v>
                </c:pt>
                <c:pt idx="321">
                  <c:v>-92.89</c:v>
                </c:pt>
                <c:pt idx="322">
                  <c:v>-139.56</c:v>
                </c:pt>
                <c:pt idx="323">
                  <c:v>-203.96</c:v>
                </c:pt>
                <c:pt idx="324">
                  <c:v>-142.37</c:v>
                </c:pt>
                <c:pt idx="325">
                  <c:v>-72.849999999999994</c:v>
                </c:pt>
                <c:pt idx="326">
                  <c:v>0</c:v>
                </c:pt>
                <c:pt idx="327">
                  <c:v>-60.3</c:v>
                </c:pt>
                <c:pt idx="328">
                  <c:v>-180.12</c:v>
                </c:pt>
                <c:pt idx="329">
                  <c:v>-274.92</c:v>
                </c:pt>
                <c:pt idx="330">
                  <c:v>-277.29000000000002</c:v>
                </c:pt>
                <c:pt idx="331">
                  <c:v>-264.02999999999997</c:v>
                </c:pt>
                <c:pt idx="332">
                  <c:v>-152.61000000000001</c:v>
                </c:pt>
                <c:pt idx="333">
                  <c:v>-30.38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B-EF46-86C8-D79DB78B6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cked"/>
        <c:varyColors val="0"/>
        <c:ser>
          <c:idx val="9"/>
          <c:order val="0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3-0E45-A084-E9E620B18541}"/>
            </c:ext>
          </c:extLst>
        </c:ser>
        <c:ser>
          <c:idx val="0"/>
          <c:order val="1"/>
          <c:tx>
            <c:strRef>
              <c:f>'Data exploration'!$E$1</c:f>
              <c:strCache>
                <c:ptCount val="1"/>
                <c:pt idx="0">
                  <c:v>Imports - 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exploration'!$E$2:$E$338</c:f>
              <c:numCache>
                <c:formatCode>#,##0</c:formatCode>
                <c:ptCount val="337"/>
                <c:pt idx="0">
                  <c:v>913.45</c:v>
                </c:pt>
                <c:pt idx="1">
                  <c:v>873.89</c:v>
                </c:pt>
                <c:pt idx="2">
                  <c:v>886.3</c:v>
                </c:pt>
                <c:pt idx="3">
                  <c:v>897.81</c:v>
                </c:pt>
                <c:pt idx="4">
                  <c:v>917.95</c:v>
                </c:pt>
                <c:pt idx="5">
                  <c:v>919.42</c:v>
                </c:pt>
                <c:pt idx="6">
                  <c:v>885.51</c:v>
                </c:pt>
                <c:pt idx="7">
                  <c:v>751.42</c:v>
                </c:pt>
                <c:pt idx="8">
                  <c:v>754.07</c:v>
                </c:pt>
                <c:pt idx="9">
                  <c:v>638.88</c:v>
                </c:pt>
                <c:pt idx="10">
                  <c:v>614.17999999999995</c:v>
                </c:pt>
                <c:pt idx="11">
                  <c:v>372.96</c:v>
                </c:pt>
                <c:pt idx="12">
                  <c:v>358.28</c:v>
                </c:pt>
                <c:pt idx="13">
                  <c:v>369.47</c:v>
                </c:pt>
                <c:pt idx="14">
                  <c:v>423.87</c:v>
                </c:pt>
                <c:pt idx="15">
                  <c:v>391.52</c:v>
                </c:pt>
                <c:pt idx="16">
                  <c:v>426.23</c:v>
                </c:pt>
                <c:pt idx="17">
                  <c:v>480.95</c:v>
                </c:pt>
                <c:pt idx="18">
                  <c:v>609.55999999999995</c:v>
                </c:pt>
                <c:pt idx="19">
                  <c:v>591.14</c:v>
                </c:pt>
                <c:pt idx="20">
                  <c:v>399.6</c:v>
                </c:pt>
                <c:pt idx="21">
                  <c:v>406.69</c:v>
                </c:pt>
                <c:pt idx="22">
                  <c:v>473.88</c:v>
                </c:pt>
                <c:pt idx="23">
                  <c:v>386.95</c:v>
                </c:pt>
                <c:pt idx="24">
                  <c:v>244.68</c:v>
                </c:pt>
                <c:pt idx="25">
                  <c:v>357.03</c:v>
                </c:pt>
                <c:pt idx="26">
                  <c:v>339.97</c:v>
                </c:pt>
                <c:pt idx="27">
                  <c:v>468.28</c:v>
                </c:pt>
                <c:pt idx="28">
                  <c:v>443.37</c:v>
                </c:pt>
                <c:pt idx="29">
                  <c:v>358.18</c:v>
                </c:pt>
                <c:pt idx="30">
                  <c:v>563.08000000000004</c:v>
                </c:pt>
                <c:pt idx="31">
                  <c:v>550.07000000000005</c:v>
                </c:pt>
                <c:pt idx="32">
                  <c:v>717.55</c:v>
                </c:pt>
                <c:pt idx="33">
                  <c:v>825.98</c:v>
                </c:pt>
                <c:pt idx="34">
                  <c:v>913.24</c:v>
                </c:pt>
                <c:pt idx="35">
                  <c:v>777.94</c:v>
                </c:pt>
                <c:pt idx="36">
                  <c:v>683.95</c:v>
                </c:pt>
                <c:pt idx="37">
                  <c:v>648.62</c:v>
                </c:pt>
                <c:pt idx="38">
                  <c:v>975.45</c:v>
                </c:pt>
                <c:pt idx="39">
                  <c:v>1201.9000000000001</c:v>
                </c:pt>
                <c:pt idx="40">
                  <c:v>1010.35</c:v>
                </c:pt>
                <c:pt idx="41">
                  <c:v>894.28</c:v>
                </c:pt>
                <c:pt idx="42">
                  <c:v>897.83</c:v>
                </c:pt>
                <c:pt idx="43">
                  <c:v>826.34</c:v>
                </c:pt>
                <c:pt idx="44">
                  <c:v>799.83</c:v>
                </c:pt>
                <c:pt idx="45">
                  <c:v>803.56</c:v>
                </c:pt>
                <c:pt idx="46">
                  <c:v>783.73</c:v>
                </c:pt>
                <c:pt idx="47">
                  <c:v>765.53</c:v>
                </c:pt>
                <c:pt idx="48">
                  <c:v>783.02</c:v>
                </c:pt>
                <c:pt idx="49">
                  <c:v>803.69</c:v>
                </c:pt>
                <c:pt idx="50">
                  <c:v>760.26</c:v>
                </c:pt>
                <c:pt idx="51">
                  <c:v>742.33</c:v>
                </c:pt>
                <c:pt idx="52">
                  <c:v>761.55</c:v>
                </c:pt>
                <c:pt idx="53">
                  <c:v>775.64</c:v>
                </c:pt>
                <c:pt idx="54">
                  <c:v>830.64</c:v>
                </c:pt>
                <c:pt idx="55">
                  <c:v>851.57</c:v>
                </c:pt>
                <c:pt idx="56">
                  <c:v>859.14</c:v>
                </c:pt>
                <c:pt idx="57">
                  <c:v>882.76</c:v>
                </c:pt>
                <c:pt idx="58">
                  <c:v>704.35</c:v>
                </c:pt>
                <c:pt idx="59">
                  <c:v>561.28</c:v>
                </c:pt>
                <c:pt idx="60">
                  <c:v>495.67</c:v>
                </c:pt>
                <c:pt idx="61">
                  <c:v>522.91</c:v>
                </c:pt>
                <c:pt idx="62">
                  <c:v>655.32000000000005</c:v>
                </c:pt>
                <c:pt idx="63">
                  <c:v>776.71</c:v>
                </c:pt>
                <c:pt idx="64">
                  <c:v>991.87</c:v>
                </c:pt>
                <c:pt idx="65">
                  <c:v>1424.57</c:v>
                </c:pt>
                <c:pt idx="66">
                  <c:v>1385.5</c:v>
                </c:pt>
                <c:pt idx="67">
                  <c:v>1340.24</c:v>
                </c:pt>
                <c:pt idx="68">
                  <c:v>1252.42</c:v>
                </c:pt>
                <c:pt idx="69">
                  <c:v>1223.02</c:v>
                </c:pt>
                <c:pt idx="70">
                  <c:v>1237.74</c:v>
                </c:pt>
                <c:pt idx="71">
                  <c:v>1179.3499999999999</c:v>
                </c:pt>
                <c:pt idx="72">
                  <c:v>1151.67</c:v>
                </c:pt>
                <c:pt idx="73">
                  <c:v>1158.3399999999999</c:v>
                </c:pt>
                <c:pt idx="74">
                  <c:v>1161.68</c:v>
                </c:pt>
                <c:pt idx="75">
                  <c:v>1161.04</c:v>
                </c:pt>
                <c:pt idx="76">
                  <c:v>1158.72</c:v>
                </c:pt>
                <c:pt idx="77">
                  <c:v>1188.4000000000001</c:v>
                </c:pt>
                <c:pt idx="78">
                  <c:v>1211.4000000000001</c:v>
                </c:pt>
                <c:pt idx="79">
                  <c:v>1120.46</c:v>
                </c:pt>
                <c:pt idx="80">
                  <c:v>1085.6400000000001</c:v>
                </c:pt>
                <c:pt idx="81">
                  <c:v>1093.72</c:v>
                </c:pt>
                <c:pt idx="82">
                  <c:v>1089.6099999999999</c:v>
                </c:pt>
                <c:pt idx="83">
                  <c:v>1083.81</c:v>
                </c:pt>
                <c:pt idx="84">
                  <c:v>1075.53</c:v>
                </c:pt>
                <c:pt idx="85">
                  <c:v>1093.71</c:v>
                </c:pt>
                <c:pt idx="86">
                  <c:v>1118.21</c:v>
                </c:pt>
                <c:pt idx="87">
                  <c:v>1266.75</c:v>
                </c:pt>
                <c:pt idx="88">
                  <c:v>1445.28</c:v>
                </c:pt>
                <c:pt idx="89">
                  <c:v>1633.49</c:v>
                </c:pt>
                <c:pt idx="90">
                  <c:v>1518.67</c:v>
                </c:pt>
                <c:pt idx="91">
                  <c:v>1468.46</c:v>
                </c:pt>
                <c:pt idx="92">
                  <c:v>1763.72</c:v>
                </c:pt>
                <c:pt idx="93">
                  <c:v>1753.49</c:v>
                </c:pt>
                <c:pt idx="94">
                  <c:v>1601.4</c:v>
                </c:pt>
                <c:pt idx="95">
                  <c:v>1342.77</c:v>
                </c:pt>
                <c:pt idx="96">
                  <c:v>1342.74</c:v>
                </c:pt>
                <c:pt idx="97">
                  <c:v>1313.14</c:v>
                </c:pt>
                <c:pt idx="98">
                  <c:v>1389.56</c:v>
                </c:pt>
                <c:pt idx="99">
                  <c:v>1556.16</c:v>
                </c:pt>
                <c:pt idx="100">
                  <c:v>1566.3</c:v>
                </c:pt>
                <c:pt idx="101">
                  <c:v>1534.91</c:v>
                </c:pt>
                <c:pt idx="102">
                  <c:v>1500.02</c:v>
                </c:pt>
                <c:pt idx="103">
                  <c:v>1607.4</c:v>
                </c:pt>
                <c:pt idx="104">
                  <c:v>1632.29</c:v>
                </c:pt>
                <c:pt idx="105">
                  <c:v>1409.38</c:v>
                </c:pt>
                <c:pt idx="106">
                  <c:v>1305.17</c:v>
                </c:pt>
                <c:pt idx="107">
                  <c:v>970.41</c:v>
                </c:pt>
                <c:pt idx="108">
                  <c:v>877.65</c:v>
                </c:pt>
                <c:pt idx="109">
                  <c:v>918.65</c:v>
                </c:pt>
                <c:pt idx="110">
                  <c:v>937.92</c:v>
                </c:pt>
                <c:pt idx="111">
                  <c:v>913.67</c:v>
                </c:pt>
                <c:pt idx="112">
                  <c:v>908.85</c:v>
                </c:pt>
                <c:pt idx="113">
                  <c:v>972.69</c:v>
                </c:pt>
                <c:pt idx="114">
                  <c:v>946.89</c:v>
                </c:pt>
                <c:pt idx="115">
                  <c:v>1010.1</c:v>
                </c:pt>
                <c:pt idx="116">
                  <c:v>978.88</c:v>
                </c:pt>
                <c:pt idx="117">
                  <c:v>942.93</c:v>
                </c:pt>
                <c:pt idx="118">
                  <c:v>946.21</c:v>
                </c:pt>
                <c:pt idx="119">
                  <c:v>856.24</c:v>
                </c:pt>
                <c:pt idx="120">
                  <c:v>809.98</c:v>
                </c:pt>
                <c:pt idx="121">
                  <c:v>797.4</c:v>
                </c:pt>
                <c:pt idx="122">
                  <c:v>792.88</c:v>
                </c:pt>
                <c:pt idx="123">
                  <c:v>761.6</c:v>
                </c:pt>
                <c:pt idx="124">
                  <c:v>791.54</c:v>
                </c:pt>
                <c:pt idx="125">
                  <c:v>780.83</c:v>
                </c:pt>
                <c:pt idx="126">
                  <c:v>713.11</c:v>
                </c:pt>
                <c:pt idx="127">
                  <c:v>661.26</c:v>
                </c:pt>
                <c:pt idx="128">
                  <c:v>578.07000000000005</c:v>
                </c:pt>
                <c:pt idx="129">
                  <c:v>475.77</c:v>
                </c:pt>
                <c:pt idx="130">
                  <c:v>210.95</c:v>
                </c:pt>
                <c:pt idx="131">
                  <c:v>0</c:v>
                </c:pt>
                <c:pt idx="132">
                  <c:v>0</c:v>
                </c:pt>
                <c:pt idx="133">
                  <c:v>15.8</c:v>
                </c:pt>
                <c:pt idx="134">
                  <c:v>0</c:v>
                </c:pt>
                <c:pt idx="135">
                  <c:v>8.4600000000000009</c:v>
                </c:pt>
                <c:pt idx="136">
                  <c:v>242.69</c:v>
                </c:pt>
                <c:pt idx="137">
                  <c:v>599.24</c:v>
                </c:pt>
                <c:pt idx="138">
                  <c:v>701.08</c:v>
                </c:pt>
                <c:pt idx="139">
                  <c:v>752.54</c:v>
                </c:pt>
                <c:pt idx="140">
                  <c:v>720</c:v>
                </c:pt>
                <c:pt idx="141">
                  <c:v>718.44</c:v>
                </c:pt>
                <c:pt idx="142">
                  <c:v>722.83</c:v>
                </c:pt>
                <c:pt idx="143">
                  <c:v>644.71</c:v>
                </c:pt>
                <c:pt idx="144">
                  <c:v>764.03</c:v>
                </c:pt>
                <c:pt idx="145">
                  <c:v>757.75</c:v>
                </c:pt>
                <c:pt idx="146">
                  <c:v>747.46</c:v>
                </c:pt>
                <c:pt idx="147">
                  <c:v>785.57</c:v>
                </c:pt>
                <c:pt idx="148">
                  <c:v>758.32</c:v>
                </c:pt>
                <c:pt idx="149">
                  <c:v>894.25</c:v>
                </c:pt>
                <c:pt idx="150">
                  <c:v>743.74</c:v>
                </c:pt>
                <c:pt idx="151">
                  <c:v>828.73</c:v>
                </c:pt>
                <c:pt idx="152">
                  <c:v>890.41</c:v>
                </c:pt>
                <c:pt idx="153">
                  <c:v>742.64</c:v>
                </c:pt>
                <c:pt idx="154">
                  <c:v>743.34</c:v>
                </c:pt>
                <c:pt idx="155">
                  <c:v>888.89</c:v>
                </c:pt>
                <c:pt idx="156">
                  <c:v>901.02</c:v>
                </c:pt>
                <c:pt idx="157">
                  <c:v>852.39</c:v>
                </c:pt>
                <c:pt idx="158">
                  <c:v>767.93</c:v>
                </c:pt>
                <c:pt idx="159">
                  <c:v>830.23</c:v>
                </c:pt>
                <c:pt idx="160">
                  <c:v>889.51</c:v>
                </c:pt>
                <c:pt idx="161">
                  <c:v>852.13</c:v>
                </c:pt>
                <c:pt idx="162">
                  <c:v>733.74</c:v>
                </c:pt>
                <c:pt idx="163">
                  <c:v>614.34</c:v>
                </c:pt>
                <c:pt idx="164">
                  <c:v>567.85</c:v>
                </c:pt>
                <c:pt idx="165">
                  <c:v>553.71</c:v>
                </c:pt>
                <c:pt idx="166">
                  <c:v>522.4</c:v>
                </c:pt>
                <c:pt idx="167">
                  <c:v>424.58</c:v>
                </c:pt>
                <c:pt idx="168">
                  <c:v>324.01</c:v>
                </c:pt>
                <c:pt idx="169">
                  <c:v>333.31</c:v>
                </c:pt>
                <c:pt idx="170">
                  <c:v>326.72000000000003</c:v>
                </c:pt>
                <c:pt idx="171">
                  <c:v>365.31</c:v>
                </c:pt>
                <c:pt idx="172">
                  <c:v>386.38</c:v>
                </c:pt>
                <c:pt idx="173">
                  <c:v>398.01</c:v>
                </c:pt>
                <c:pt idx="174">
                  <c:v>580.14</c:v>
                </c:pt>
                <c:pt idx="175">
                  <c:v>564.89</c:v>
                </c:pt>
                <c:pt idx="176">
                  <c:v>512.38</c:v>
                </c:pt>
                <c:pt idx="177">
                  <c:v>401.44</c:v>
                </c:pt>
                <c:pt idx="178">
                  <c:v>194.56</c:v>
                </c:pt>
                <c:pt idx="179">
                  <c:v>35.39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303.83999999999997</c:v>
                </c:pt>
                <c:pt idx="185">
                  <c:v>715.54</c:v>
                </c:pt>
                <c:pt idx="186">
                  <c:v>820.01</c:v>
                </c:pt>
                <c:pt idx="187">
                  <c:v>789.49</c:v>
                </c:pt>
                <c:pt idx="188">
                  <c:v>897.18</c:v>
                </c:pt>
                <c:pt idx="189">
                  <c:v>692.13</c:v>
                </c:pt>
                <c:pt idx="190">
                  <c:v>770.53</c:v>
                </c:pt>
                <c:pt idx="191">
                  <c:v>752.48</c:v>
                </c:pt>
                <c:pt idx="192">
                  <c:v>725.85</c:v>
                </c:pt>
                <c:pt idx="193">
                  <c:v>594.37</c:v>
                </c:pt>
                <c:pt idx="194">
                  <c:v>554.54</c:v>
                </c:pt>
                <c:pt idx="195">
                  <c:v>470.53</c:v>
                </c:pt>
                <c:pt idx="196">
                  <c:v>585.94000000000005</c:v>
                </c:pt>
                <c:pt idx="197">
                  <c:v>329.01</c:v>
                </c:pt>
                <c:pt idx="198">
                  <c:v>441.79</c:v>
                </c:pt>
                <c:pt idx="199">
                  <c:v>426.04</c:v>
                </c:pt>
                <c:pt idx="200">
                  <c:v>456.03</c:v>
                </c:pt>
                <c:pt idx="201">
                  <c:v>467.9</c:v>
                </c:pt>
                <c:pt idx="202">
                  <c:v>569.89</c:v>
                </c:pt>
                <c:pt idx="203">
                  <c:v>1059.2</c:v>
                </c:pt>
                <c:pt idx="204">
                  <c:v>1077.56</c:v>
                </c:pt>
                <c:pt idx="205">
                  <c:v>1066.77</c:v>
                </c:pt>
                <c:pt idx="206">
                  <c:v>1049.43</c:v>
                </c:pt>
                <c:pt idx="207">
                  <c:v>996.45</c:v>
                </c:pt>
                <c:pt idx="208">
                  <c:v>959.99</c:v>
                </c:pt>
                <c:pt idx="209">
                  <c:v>823.84</c:v>
                </c:pt>
                <c:pt idx="210">
                  <c:v>826.52</c:v>
                </c:pt>
                <c:pt idx="211">
                  <c:v>839.63</c:v>
                </c:pt>
                <c:pt idx="212">
                  <c:v>789.57</c:v>
                </c:pt>
                <c:pt idx="213">
                  <c:v>788.15</c:v>
                </c:pt>
                <c:pt idx="214">
                  <c:v>786.67</c:v>
                </c:pt>
                <c:pt idx="215">
                  <c:v>782.11</c:v>
                </c:pt>
                <c:pt idx="216">
                  <c:v>856.85</c:v>
                </c:pt>
                <c:pt idx="217">
                  <c:v>940.09</c:v>
                </c:pt>
                <c:pt idx="218">
                  <c:v>911.07</c:v>
                </c:pt>
                <c:pt idx="219">
                  <c:v>940.03</c:v>
                </c:pt>
                <c:pt idx="220">
                  <c:v>888.7</c:v>
                </c:pt>
                <c:pt idx="221">
                  <c:v>979.77</c:v>
                </c:pt>
                <c:pt idx="222">
                  <c:v>1177.1400000000001</c:v>
                </c:pt>
                <c:pt idx="223">
                  <c:v>1162.75</c:v>
                </c:pt>
                <c:pt idx="224">
                  <c:v>1146.95</c:v>
                </c:pt>
                <c:pt idx="225">
                  <c:v>1084.27</c:v>
                </c:pt>
                <c:pt idx="226">
                  <c:v>989.79</c:v>
                </c:pt>
                <c:pt idx="227">
                  <c:v>707.07</c:v>
                </c:pt>
                <c:pt idx="228">
                  <c:v>667.32</c:v>
                </c:pt>
                <c:pt idx="229">
                  <c:v>583.91999999999996</c:v>
                </c:pt>
                <c:pt idx="230">
                  <c:v>734.9</c:v>
                </c:pt>
                <c:pt idx="231">
                  <c:v>714.54</c:v>
                </c:pt>
                <c:pt idx="232">
                  <c:v>962.71</c:v>
                </c:pt>
                <c:pt idx="233">
                  <c:v>1228.28</c:v>
                </c:pt>
                <c:pt idx="234">
                  <c:v>1162.07</c:v>
                </c:pt>
                <c:pt idx="235">
                  <c:v>1122.33</c:v>
                </c:pt>
                <c:pt idx="236">
                  <c:v>1114.8900000000001</c:v>
                </c:pt>
                <c:pt idx="237">
                  <c:v>1113.3</c:v>
                </c:pt>
                <c:pt idx="238">
                  <c:v>1052.3499999999999</c:v>
                </c:pt>
                <c:pt idx="239">
                  <c:v>925.28</c:v>
                </c:pt>
                <c:pt idx="240">
                  <c:v>914.72</c:v>
                </c:pt>
                <c:pt idx="241">
                  <c:v>907.66</c:v>
                </c:pt>
                <c:pt idx="242">
                  <c:v>906.06</c:v>
                </c:pt>
                <c:pt idx="243">
                  <c:v>863.9</c:v>
                </c:pt>
                <c:pt idx="244">
                  <c:v>907.39</c:v>
                </c:pt>
                <c:pt idx="245">
                  <c:v>804.33</c:v>
                </c:pt>
                <c:pt idx="246">
                  <c:v>805.58</c:v>
                </c:pt>
                <c:pt idx="247">
                  <c:v>726.44</c:v>
                </c:pt>
                <c:pt idx="248">
                  <c:v>617.04</c:v>
                </c:pt>
                <c:pt idx="249">
                  <c:v>645.45000000000005</c:v>
                </c:pt>
                <c:pt idx="250">
                  <c:v>667.17</c:v>
                </c:pt>
                <c:pt idx="251">
                  <c:v>1031.05</c:v>
                </c:pt>
                <c:pt idx="252">
                  <c:v>1143.03</c:v>
                </c:pt>
                <c:pt idx="253">
                  <c:v>1149.19</c:v>
                </c:pt>
                <c:pt idx="254">
                  <c:v>1184.05</c:v>
                </c:pt>
                <c:pt idx="255">
                  <c:v>1264.25</c:v>
                </c:pt>
                <c:pt idx="256">
                  <c:v>1288.56</c:v>
                </c:pt>
                <c:pt idx="257">
                  <c:v>1368.04</c:v>
                </c:pt>
                <c:pt idx="258">
                  <c:v>1437.46</c:v>
                </c:pt>
                <c:pt idx="259">
                  <c:v>1507.01</c:v>
                </c:pt>
                <c:pt idx="260">
                  <c:v>1490.62</c:v>
                </c:pt>
                <c:pt idx="261">
                  <c:v>1442.74</c:v>
                </c:pt>
                <c:pt idx="262">
                  <c:v>1363.85</c:v>
                </c:pt>
                <c:pt idx="263">
                  <c:v>1352.12</c:v>
                </c:pt>
                <c:pt idx="264">
                  <c:v>1481.85</c:v>
                </c:pt>
                <c:pt idx="265">
                  <c:v>1570.65</c:v>
                </c:pt>
                <c:pt idx="266">
                  <c:v>1408.46</c:v>
                </c:pt>
                <c:pt idx="267">
                  <c:v>1588.21</c:v>
                </c:pt>
                <c:pt idx="268">
                  <c:v>1510.71</c:v>
                </c:pt>
                <c:pt idx="269">
                  <c:v>1457.04</c:v>
                </c:pt>
                <c:pt idx="270">
                  <c:v>1511.17</c:v>
                </c:pt>
                <c:pt idx="271">
                  <c:v>1536.81</c:v>
                </c:pt>
                <c:pt idx="272">
                  <c:v>1496.86</c:v>
                </c:pt>
                <c:pt idx="273">
                  <c:v>1417.78</c:v>
                </c:pt>
                <c:pt idx="274">
                  <c:v>1450.46</c:v>
                </c:pt>
                <c:pt idx="275">
                  <c:v>1265.78</c:v>
                </c:pt>
                <c:pt idx="276">
                  <c:v>1204.83</c:v>
                </c:pt>
                <c:pt idx="277">
                  <c:v>1077.33</c:v>
                </c:pt>
                <c:pt idx="278">
                  <c:v>1339.87</c:v>
                </c:pt>
                <c:pt idx="279">
                  <c:v>1200.06</c:v>
                </c:pt>
                <c:pt idx="280">
                  <c:v>1182.24</c:v>
                </c:pt>
                <c:pt idx="281">
                  <c:v>1013.79</c:v>
                </c:pt>
                <c:pt idx="282">
                  <c:v>1046.6300000000001</c:v>
                </c:pt>
                <c:pt idx="283">
                  <c:v>964.61</c:v>
                </c:pt>
                <c:pt idx="284">
                  <c:v>899.33</c:v>
                </c:pt>
                <c:pt idx="285">
                  <c:v>960.5</c:v>
                </c:pt>
                <c:pt idx="286">
                  <c:v>861.21</c:v>
                </c:pt>
                <c:pt idx="287">
                  <c:v>715.38</c:v>
                </c:pt>
                <c:pt idx="288">
                  <c:v>752.23</c:v>
                </c:pt>
                <c:pt idx="289">
                  <c:v>795.81</c:v>
                </c:pt>
                <c:pt idx="290">
                  <c:v>825.72</c:v>
                </c:pt>
                <c:pt idx="291">
                  <c:v>801.68</c:v>
                </c:pt>
                <c:pt idx="292">
                  <c:v>796.69</c:v>
                </c:pt>
                <c:pt idx="293">
                  <c:v>819.58</c:v>
                </c:pt>
                <c:pt idx="294">
                  <c:v>780.88</c:v>
                </c:pt>
                <c:pt idx="295">
                  <c:v>805.28</c:v>
                </c:pt>
                <c:pt idx="296">
                  <c:v>893.14</c:v>
                </c:pt>
                <c:pt idx="297">
                  <c:v>931.81</c:v>
                </c:pt>
                <c:pt idx="298">
                  <c:v>952.48</c:v>
                </c:pt>
                <c:pt idx="299">
                  <c:v>1048.56</c:v>
                </c:pt>
                <c:pt idx="300">
                  <c:v>1203.54</c:v>
                </c:pt>
                <c:pt idx="301">
                  <c:v>1320.33</c:v>
                </c:pt>
                <c:pt idx="302">
                  <c:v>1351.63</c:v>
                </c:pt>
                <c:pt idx="303">
                  <c:v>1331.13</c:v>
                </c:pt>
                <c:pt idx="304">
                  <c:v>1338.94</c:v>
                </c:pt>
                <c:pt idx="305">
                  <c:v>1324.47</c:v>
                </c:pt>
                <c:pt idx="306">
                  <c:v>1249.76</c:v>
                </c:pt>
                <c:pt idx="307">
                  <c:v>1112.75</c:v>
                </c:pt>
                <c:pt idx="308">
                  <c:v>1004.62</c:v>
                </c:pt>
                <c:pt idx="309">
                  <c:v>934.67</c:v>
                </c:pt>
                <c:pt idx="310">
                  <c:v>903.45</c:v>
                </c:pt>
                <c:pt idx="311">
                  <c:v>956.18</c:v>
                </c:pt>
                <c:pt idx="312">
                  <c:v>731.18</c:v>
                </c:pt>
                <c:pt idx="313">
                  <c:v>570.51</c:v>
                </c:pt>
                <c:pt idx="314">
                  <c:v>567.84</c:v>
                </c:pt>
                <c:pt idx="315">
                  <c:v>523.20000000000005</c:v>
                </c:pt>
                <c:pt idx="316">
                  <c:v>459.56</c:v>
                </c:pt>
                <c:pt idx="317">
                  <c:v>457.41</c:v>
                </c:pt>
                <c:pt idx="318">
                  <c:v>461.84</c:v>
                </c:pt>
                <c:pt idx="319">
                  <c:v>336.68</c:v>
                </c:pt>
                <c:pt idx="320">
                  <c:v>316.18</c:v>
                </c:pt>
                <c:pt idx="321">
                  <c:v>316.49</c:v>
                </c:pt>
                <c:pt idx="322">
                  <c:v>279.83</c:v>
                </c:pt>
                <c:pt idx="323">
                  <c:v>217.05</c:v>
                </c:pt>
                <c:pt idx="324">
                  <c:v>340.96</c:v>
                </c:pt>
                <c:pt idx="325">
                  <c:v>431.06</c:v>
                </c:pt>
                <c:pt idx="326">
                  <c:v>514.67999999999995</c:v>
                </c:pt>
                <c:pt idx="327">
                  <c:v>380.35</c:v>
                </c:pt>
                <c:pt idx="328">
                  <c:v>352.23</c:v>
                </c:pt>
                <c:pt idx="329">
                  <c:v>421.08</c:v>
                </c:pt>
                <c:pt idx="330">
                  <c:v>503.39</c:v>
                </c:pt>
                <c:pt idx="331">
                  <c:v>589.14</c:v>
                </c:pt>
                <c:pt idx="332">
                  <c:v>527.89</c:v>
                </c:pt>
                <c:pt idx="333">
                  <c:v>445.49</c:v>
                </c:pt>
                <c:pt idx="334">
                  <c:v>743.35</c:v>
                </c:pt>
                <c:pt idx="335">
                  <c:v>1170.92</c:v>
                </c:pt>
                <c:pt idx="336">
                  <c:v>1156.31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3-0E45-A084-E9E620B18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cked"/>
        <c:varyColors val="0"/>
        <c:ser>
          <c:idx val="10"/>
          <c:order val="1"/>
          <c:tx>
            <c:strRef>
              <c:f>'Data exploration'!$V$1</c:f>
              <c:strCache>
                <c:ptCount val="1"/>
                <c:pt idx="0">
                  <c:v>Emissions Intensity - kgCO₂e/MWh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exploration'!$V$2:$V$338</c:f>
              <c:numCache>
                <c:formatCode>#,##0</c:formatCode>
                <c:ptCount val="337"/>
                <c:pt idx="0">
                  <c:v>443.49</c:v>
                </c:pt>
                <c:pt idx="1">
                  <c:v>364.25</c:v>
                </c:pt>
                <c:pt idx="2">
                  <c:v>315.14999999999998</c:v>
                </c:pt>
                <c:pt idx="3">
                  <c:v>315.64</c:v>
                </c:pt>
                <c:pt idx="4">
                  <c:v>329.07</c:v>
                </c:pt>
                <c:pt idx="5">
                  <c:v>384.44</c:v>
                </c:pt>
                <c:pt idx="6">
                  <c:v>430.63</c:v>
                </c:pt>
                <c:pt idx="7">
                  <c:v>503.02</c:v>
                </c:pt>
                <c:pt idx="8">
                  <c:v>573.92999999999995</c:v>
                </c:pt>
                <c:pt idx="9">
                  <c:v>609.23</c:v>
                </c:pt>
                <c:pt idx="10">
                  <c:v>614.98</c:v>
                </c:pt>
                <c:pt idx="11">
                  <c:v>626.9</c:v>
                </c:pt>
                <c:pt idx="12">
                  <c:v>628.27</c:v>
                </c:pt>
                <c:pt idx="13">
                  <c:v>635.47</c:v>
                </c:pt>
                <c:pt idx="14">
                  <c:v>641.4</c:v>
                </c:pt>
                <c:pt idx="15">
                  <c:v>647.57000000000005</c:v>
                </c:pt>
                <c:pt idx="16">
                  <c:v>652.88</c:v>
                </c:pt>
                <c:pt idx="17">
                  <c:v>661.86</c:v>
                </c:pt>
                <c:pt idx="18">
                  <c:v>684.04</c:v>
                </c:pt>
                <c:pt idx="19">
                  <c:v>697.6</c:v>
                </c:pt>
                <c:pt idx="20">
                  <c:v>704.69</c:v>
                </c:pt>
                <c:pt idx="21">
                  <c:v>704.45</c:v>
                </c:pt>
                <c:pt idx="22">
                  <c:v>714.69</c:v>
                </c:pt>
                <c:pt idx="23">
                  <c:v>721.88</c:v>
                </c:pt>
                <c:pt idx="24">
                  <c:v>724.24</c:v>
                </c:pt>
                <c:pt idx="25">
                  <c:v>715.83</c:v>
                </c:pt>
                <c:pt idx="26">
                  <c:v>713.37</c:v>
                </c:pt>
                <c:pt idx="27">
                  <c:v>714.98</c:v>
                </c:pt>
                <c:pt idx="28">
                  <c:v>707.48</c:v>
                </c:pt>
                <c:pt idx="29">
                  <c:v>711.47</c:v>
                </c:pt>
                <c:pt idx="30">
                  <c:v>687.09</c:v>
                </c:pt>
                <c:pt idx="31">
                  <c:v>659.92</c:v>
                </c:pt>
                <c:pt idx="32">
                  <c:v>625.37</c:v>
                </c:pt>
                <c:pt idx="33">
                  <c:v>586.72</c:v>
                </c:pt>
                <c:pt idx="34">
                  <c:v>573.44000000000005</c:v>
                </c:pt>
                <c:pt idx="35">
                  <c:v>573.99</c:v>
                </c:pt>
                <c:pt idx="36">
                  <c:v>578.44000000000005</c:v>
                </c:pt>
                <c:pt idx="37">
                  <c:v>581.19000000000005</c:v>
                </c:pt>
                <c:pt idx="38">
                  <c:v>572.15</c:v>
                </c:pt>
                <c:pt idx="39">
                  <c:v>564.29999999999995</c:v>
                </c:pt>
                <c:pt idx="40">
                  <c:v>543.76</c:v>
                </c:pt>
                <c:pt idx="41">
                  <c:v>490.36</c:v>
                </c:pt>
                <c:pt idx="42">
                  <c:v>436.75</c:v>
                </c:pt>
                <c:pt idx="43">
                  <c:v>392.73</c:v>
                </c:pt>
                <c:pt idx="44">
                  <c:v>341.29</c:v>
                </c:pt>
                <c:pt idx="45">
                  <c:v>304.85000000000002</c:v>
                </c:pt>
                <c:pt idx="46">
                  <c:v>290.74</c:v>
                </c:pt>
                <c:pt idx="47">
                  <c:v>293.8</c:v>
                </c:pt>
                <c:pt idx="48">
                  <c:v>300.2</c:v>
                </c:pt>
                <c:pt idx="49">
                  <c:v>300.94</c:v>
                </c:pt>
                <c:pt idx="50">
                  <c:v>302.08999999999997</c:v>
                </c:pt>
                <c:pt idx="51">
                  <c:v>304.57</c:v>
                </c:pt>
                <c:pt idx="52">
                  <c:v>310.42</c:v>
                </c:pt>
                <c:pt idx="53">
                  <c:v>328.01</c:v>
                </c:pt>
                <c:pt idx="54">
                  <c:v>353.78</c:v>
                </c:pt>
                <c:pt idx="55">
                  <c:v>417.02</c:v>
                </c:pt>
                <c:pt idx="56">
                  <c:v>499.64</c:v>
                </c:pt>
                <c:pt idx="57">
                  <c:v>572.96</c:v>
                </c:pt>
                <c:pt idx="58">
                  <c:v>633.65</c:v>
                </c:pt>
                <c:pt idx="59">
                  <c:v>657.28</c:v>
                </c:pt>
                <c:pt idx="60">
                  <c:v>670.74</c:v>
                </c:pt>
                <c:pt idx="61">
                  <c:v>683.09</c:v>
                </c:pt>
                <c:pt idx="62">
                  <c:v>693.51</c:v>
                </c:pt>
                <c:pt idx="63">
                  <c:v>698.56</c:v>
                </c:pt>
                <c:pt idx="64">
                  <c:v>697.54</c:v>
                </c:pt>
                <c:pt idx="65">
                  <c:v>674.87</c:v>
                </c:pt>
                <c:pt idx="66">
                  <c:v>683.04</c:v>
                </c:pt>
                <c:pt idx="67">
                  <c:v>690.09</c:v>
                </c:pt>
                <c:pt idx="68">
                  <c:v>695.38</c:v>
                </c:pt>
                <c:pt idx="69">
                  <c:v>700.43</c:v>
                </c:pt>
                <c:pt idx="70">
                  <c:v>717.73</c:v>
                </c:pt>
                <c:pt idx="71">
                  <c:v>729.83</c:v>
                </c:pt>
                <c:pt idx="72">
                  <c:v>724.8</c:v>
                </c:pt>
                <c:pt idx="73">
                  <c:v>715.75</c:v>
                </c:pt>
                <c:pt idx="74">
                  <c:v>697.65</c:v>
                </c:pt>
                <c:pt idx="75">
                  <c:v>694.23</c:v>
                </c:pt>
                <c:pt idx="76">
                  <c:v>707.14</c:v>
                </c:pt>
                <c:pt idx="77">
                  <c:v>696.27</c:v>
                </c:pt>
                <c:pt idx="78">
                  <c:v>682.52</c:v>
                </c:pt>
                <c:pt idx="79">
                  <c:v>690.77</c:v>
                </c:pt>
                <c:pt idx="80">
                  <c:v>705.29</c:v>
                </c:pt>
                <c:pt idx="81">
                  <c:v>708.82</c:v>
                </c:pt>
                <c:pt idx="82">
                  <c:v>721.01</c:v>
                </c:pt>
                <c:pt idx="83">
                  <c:v>740.17</c:v>
                </c:pt>
                <c:pt idx="84">
                  <c:v>743.1</c:v>
                </c:pt>
                <c:pt idx="85">
                  <c:v>741.47</c:v>
                </c:pt>
                <c:pt idx="86">
                  <c:v>707.27</c:v>
                </c:pt>
                <c:pt idx="87">
                  <c:v>608.14</c:v>
                </c:pt>
                <c:pt idx="88">
                  <c:v>475.71</c:v>
                </c:pt>
                <c:pt idx="89">
                  <c:v>395.02</c:v>
                </c:pt>
                <c:pt idx="90">
                  <c:v>364.66</c:v>
                </c:pt>
                <c:pt idx="91">
                  <c:v>324.04000000000002</c:v>
                </c:pt>
                <c:pt idx="92">
                  <c:v>274.77999999999997</c:v>
                </c:pt>
                <c:pt idx="93">
                  <c:v>235.61</c:v>
                </c:pt>
                <c:pt idx="94">
                  <c:v>229.77</c:v>
                </c:pt>
                <c:pt idx="95">
                  <c:v>230.5</c:v>
                </c:pt>
                <c:pt idx="96">
                  <c:v>227.63</c:v>
                </c:pt>
                <c:pt idx="97">
                  <c:v>228.83</c:v>
                </c:pt>
                <c:pt idx="98">
                  <c:v>233.83</c:v>
                </c:pt>
                <c:pt idx="99">
                  <c:v>252</c:v>
                </c:pt>
                <c:pt idx="100">
                  <c:v>272.45999999999998</c:v>
                </c:pt>
                <c:pt idx="101">
                  <c:v>341.71</c:v>
                </c:pt>
                <c:pt idx="102">
                  <c:v>401.78</c:v>
                </c:pt>
                <c:pt idx="103">
                  <c:v>457.98</c:v>
                </c:pt>
                <c:pt idx="104">
                  <c:v>519.25</c:v>
                </c:pt>
                <c:pt idx="105">
                  <c:v>568.15</c:v>
                </c:pt>
                <c:pt idx="106">
                  <c:v>577.61</c:v>
                </c:pt>
                <c:pt idx="107">
                  <c:v>599.34</c:v>
                </c:pt>
                <c:pt idx="108">
                  <c:v>601.29</c:v>
                </c:pt>
                <c:pt idx="109">
                  <c:v>604.6</c:v>
                </c:pt>
                <c:pt idx="110">
                  <c:v>608.45000000000005</c:v>
                </c:pt>
                <c:pt idx="111">
                  <c:v>615.91</c:v>
                </c:pt>
                <c:pt idx="112">
                  <c:v>617.55999999999995</c:v>
                </c:pt>
                <c:pt idx="113">
                  <c:v>627.37</c:v>
                </c:pt>
                <c:pt idx="114">
                  <c:v>644.39</c:v>
                </c:pt>
                <c:pt idx="115">
                  <c:v>643.58000000000004</c:v>
                </c:pt>
                <c:pt idx="116">
                  <c:v>651.41999999999996</c:v>
                </c:pt>
                <c:pt idx="117">
                  <c:v>636.44000000000005</c:v>
                </c:pt>
                <c:pt idx="118">
                  <c:v>626.87</c:v>
                </c:pt>
                <c:pt idx="119">
                  <c:v>630.85</c:v>
                </c:pt>
                <c:pt idx="120">
                  <c:v>623.04999999999995</c:v>
                </c:pt>
                <c:pt idx="121">
                  <c:v>612.92999999999995</c:v>
                </c:pt>
                <c:pt idx="122">
                  <c:v>606.24</c:v>
                </c:pt>
                <c:pt idx="123">
                  <c:v>599.12</c:v>
                </c:pt>
                <c:pt idx="124">
                  <c:v>596.54999999999995</c:v>
                </c:pt>
                <c:pt idx="125">
                  <c:v>593.12</c:v>
                </c:pt>
                <c:pt idx="126">
                  <c:v>596.32000000000005</c:v>
                </c:pt>
                <c:pt idx="127">
                  <c:v>611.67999999999995</c:v>
                </c:pt>
                <c:pt idx="128">
                  <c:v>656.22</c:v>
                </c:pt>
                <c:pt idx="129">
                  <c:v>673.33</c:v>
                </c:pt>
                <c:pt idx="130">
                  <c:v>726.13</c:v>
                </c:pt>
                <c:pt idx="131">
                  <c:v>741.62</c:v>
                </c:pt>
                <c:pt idx="132">
                  <c:v>733.6</c:v>
                </c:pt>
                <c:pt idx="133">
                  <c:v>710.58</c:v>
                </c:pt>
                <c:pt idx="134">
                  <c:v>681.96</c:v>
                </c:pt>
                <c:pt idx="135">
                  <c:v>636.20000000000005</c:v>
                </c:pt>
                <c:pt idx="136">
                  <c:v>538.37</c:v>
                </c:pt>
                <c:pt idx="137">
                  <c:v>435.2</c:v>
                </c:pt>
                <c:pt idx="138">
                  <c:v>366.65</c:v>
                </c:pt>
                <c:pt idx="139">
                  <c:v>321.01</c:v>
                </c:pt>
                <c:pt idx="140">
                  <c:v>305.45</c:v>
                </c:pt>
                <c:pt idx="141">
                  <c:v>302.77</c:v>
                </c:pt>
                <c:pt idx="142">
                  <c:v>307.39</c:v>
                </c:pt>
                <c:pt idx="143">
                  <c:v>301.51</c:v>
                </c:pt>
                <c:pt idx="144">
                  <c:v>311.52</c:v>
                </c:pt>
                <c:pt idx="145">
                  <c:v>315.52999999999997</c:v>
                </c:pt>
                <c:pt idx="146">
                  <c:v>316.29000000000002</c:v>
                </c:pt>
                <c:pt idx="147">
                  <c:v>324.19</c:v>
                </c:pt>
                <c:pt idx="148">
                  <c:v>332.66</c:v>
                </c:pt>
                <c:pt idx="149">
                  <c:v>352.13</c:v>
                </c:pt>
                <c:pt idx="150">
                  <c:v>416.43</c:v>
                </c:pt>
                <c:pt idx="151">
                  <c:v>508.66</c:v>
                </c:pt>
                <c:pt idx="152">
                  <c:v>615.54999999999995</c:v>
                </c:pt>
                <c:pt idx="153">
                  <c:v>693.83</c:v>
                </c:pt>
                <c:pt idx="154">
                  <c:v>699.96</c:v>
                </c:pt>
                <c:pt idx="155">
                  <c:v>674.88</c:v>
                </c:pt>
                <c:pt idx="156">
                  <c:v>662.51</c:v>
                </c:pt>
                <c:pt idx="157">
                  <c:v>660.89</c:v>
                </c:pt>
                <c:pt idx="158">
                  <c:v>664.58</c:v>
                </c:pt>
                <c:pt idx="159">
                  <c:v>673.31</c:v>
                </c:pt>
                <c:pt idx="160">
                  <c:v>681.48</c:v>
                </c:pt>
                <c:pt idx="161">
                  <c:v>685.66</c:v>
                </c:pt>
                <c:pt idx="162">
                  <c:v>684.2</c:v>
                </c:pt>
                <c:pt idx="163">
                  <c:v>700.19</c:v>
                </c:pt>
                <c:pt idx="164">
                  <c:v>689.89</c:v>
                </c:pt>
                <c:pt idx="165">
                  <c:v>709.39</c:v>
                </c:pt>
                <c:pt idx="166">
                  <c:v>719.65</c:v>
                </c:pt>
                <c:pt idx="167">
                  <c:v>734.5</c:v>
                </c:pt>
                <c:pt idx="168">
                  <c:v>762.21</c:v>
                </c:pt>
                <c:pt idx="169">
                  <c:v>772.45</c:v>
                </c:pt>
                <c:pt idx="170">
                  <c:v>788.86</c:v>
                </c:pt>
                <c:pt idx="171">
                  <c:v>777.86</c:v>
                </c:pt>
                <c:pt idx="172">
                  <c:v>779.84</c:v>
                </c:pt>
                <c:pt idx="173">
                  <c:v>779.3</c:v>
                </c:pt>
                <c:pt idx="174">
                  <c:v>755.73</c:v>
                </c:pt>
                <c:pt idx="175">
                  <c:v>765.52</c:v>
                </c:pt>
                <c:pt idx="176">
                  <c:v>756.28</c:v>
                </c:pt>
                <c:pt idx="177">
                  <c:v>732.36</c:v>
                </c:pt>
                <c:pt idx="178">
                  <c:v>749.61</c:v>
                </c:pt>
                <c:pt idx="179">
                  <c:v>754.62</c:v>
                </c:pt>
                <c:pt idx="180">
                  <c:v>715.79</c:v>
                </c:pt>
                <c:pt idx="181">
                  <c:v>699.03</c:v>
                </c:pt>
                <c:pt idx="182">
                  <c:v>678.76</c:v>
                </c:pt>
                <c:pt idx="183">
                  <c:v>656.74</c:v>
                </c:pt>
                <c:pt idx="184">
                  <c:v>636.16</c:v>
                </c:pt>
                <c:pt idx="185">
                  <c:v>595.63</c:v>
                </c:pt>
                <c:pt idx="186">
                  <c:v>577.78</c:v>
                </c:pt>
                <c:pt idx="187">
                  <c:v>580.69000000000005</c:v>
                </c:pt>
                <c:pt idx="188">
                  <c:v>561.13</c:v>
                </c:pt>
                <c:pt idx="189">
                  <c:v>531.16999999999996</c:v>
                </c:pt>
                <c:pt idx="190">
                  <c:v>527.54</c:v>
                </c:pt>
                <c:pt idx="191">
                  <c:v>533.58000000000004</c:v>
                </c:pt>
                <c:pt idx="192">
                  <c:v>542.70000000000005</c:v>
                </c:pt>
                <c:pt idx="193">
                  <c:v>540.28</c:v>
                </c:pt>
                <c:pt idx="194">
                  <c:v>547.36</c:v>
                </c:pt>
                <c:pt idx="195">
                  <c:v>559.02</c:v>
                </c:pt>
                <c:pt idx="196">
                  <c:v>576.35</c:v>
                </c:pt>
                <c:pt idx="197">
                  <c:v>597.51</c:v>
                </c:pt>
                <c:pt idx="198">
                  <c:v>611.04999999999995</c:v>
                </c:pt>
                <c:pt idx="199">
                  <c:v>625.98</c:v>
                </c:pt>
                <c:pt idx="200">
                  <c:v>642.69000000000005</c:v>
                </c:pt>
                <c:pt idx="201">
                  <c:v>655.51</c:v>
                </c:pt>
                <c:pt idx="202">
                  <c:v>641.49</c:v>
                </c:pt>
                <c:pt idx="203">
                  <c:v>602.54</c:v>
                </c:pt>
                <c:pt idx="204">
                  <c:v>582.14</c:v>
                </c:pt>
                <c:pt idx="205">
                  <c:v>586.45000000000005</c:v>
                </c:pt>
                <c:pt idx="206">
                  <c:v>592.34</c:v>
                </c:pt>
                <c:pt idx="207">
                  <c:v>596.9</c:v>
                </c:pt>
                <c:pt idx="208">
                  <c:v>609.66999999999996</c:v>
                </c:pt>
                <c:pt idx="209">
                  <c:v>630.21</c:v>
                </c:pt>
                <c:pt idx="210">
                  <c:v>638.36</c:v>
                </c:pt>
                <c:pt idx="211">
                  <c:v>657.28</c:v>
                </c:pt>
                <c:pt idx="212">
                  <c:v>662.11</c:v>
                </c:pt>
                <c:pt idx="213">
                  <c:v>671.53</c:v>
                </c:pt>
                <c:pt idx="214">
                  <c:v>680.68</c:v>
                </c:pt>
                <c:pt idx="215">
                  <c:v>691.08</c:v>
                </c:pt>
                <c:pt idx="216">
                  <c:v>691.52</c:v>
                </c:pt>
                <c:pt idx="217">
                  <c:v>693.03</c:v>
                </c:pt>
                <c:pt idx="218">
                  <c:v>692.37</c:v>
                </c:pt>
                <c:pt idx="219">
                  <c:v>690.94</c:v>
                </c:pt>
                <c:pt idx="220">
                  <c:v>703.71</c:v>
                </c:pt>
                <c:pt idx="221">
                  <c:v>705.44</c:v>
                </c:pt>
                <c:pt idx="222">
                  <c:v>684.04</c:v>
                </c:pt>
                <c:pt idx="223">
                  <c:v>678.07</c:v>
                </c:pt>
                <c:pt idx="224">
                  <c:v>666.91</c:v>
                </c:pt>
                <c:pt idx="225">
                  <c:v>665.61</c:v>
                </c:pt>
                <c:pt idx="226">
                  <c:v>663.35</c:v>
                </c:pt>
                <c:pt idx="227">
                  <c:v>669.39</c:v>
                </c:pt>
                <c:pt idx="228">
                  <c:v>650.82000000000005</c:v>
                </c:pt>
                <c:pt idx="229">
                  <c:v>641.27</c:v>
                </c:pt>
                <c:pt idx="230">
                  <c:v>624.39</c:v>
                </c:pt>
                <c:pt idx="231">
                  <c:v>603.71</c:v>
                </c:pt>
                <c:pt idx="232">
                  <c:v>570.99</c:v>
                </c:pt>
                <c:pt idx="233">
                  <c:v>522.41999999999996</c:v>
                </c:pt>
                <c:pt idx="234">
                  <c:v>479.77</c:v>
                </c:pt>
                <c:pt idx="235">
                  <c:v>429.14</c:v>
                </c:pt>
                <c:pt idx="236">
                  <c:v>388.83</c:v>
                </c:pt>
                <c:pt idx="237">
                  <c:v>336.52</c:v>
                </c:pt>
                <c:pt idx="238">
                  <c:v>304.37</c:v>
                </c:pt>
                <c:pt idx="239">
                  <c:v>301.12</c:v>
                </c:pt>
                <c:pt idx="240">
                  <c:v>297.99</c:v>
                </c:pt>
                <c:pt idx="241">
                  <c:v>304.44</c:v>
                </c:pt>
                <c:pt idx="242">
                  <c:v>311</c:v>
                </c:pt>
                <c:pt idx="243">
                  <c:v>314.89999999999998</c:v>
                </c:pt>
                <c:pt idx="244">
                  <c:v>336.7</c:v>
                </c:pt>
                <c:pt idx="245">
                  <c:v>375.52</c:v>
                </c:pt>
                <c:pt idx="246">
                  <c:v>422.45</c:v>
                </c:pt>
                <c:pt idx="247">
                  <c:v>500.48</c:v>
                </c:pt>
                <c:pt idx="248">
                  <c:v>603.44000000000005</c:v>
                </c:pt>
                <c:pt idx="249">
                  <c:v>629.61</c:v>
                </c:pt>
                <c:pt idx="250">
                  <c:v>645.51</c:v>
                </c:pt>
                <c:pt idx="251">
                  <c:v>617.16</c:v>
                </c:pt>
                <c:pt idx="252">
                  <c:v>606.67999999999995</c:v>
                </c:pt>
                <c:pt idx="253">
                  <c:v>607.01</c:v>
                </c:pt>
                <c:pt idx="254">
                  <c:v>617.54999999999995</c:v>
                </c:pt>
                <c:pt idx="255">
                  <c:v>627.69000000000005</c:v>
                </c:pt>
                <c:pt idx="256">
                  <c:v>631.39</c:v>
                </c:pt>
                <c:pt idx="257">
                  <c:v>634.24</c:v>
                </c:pt>
                <c:pt idx="258">
                  <c:v>647.15</c:v>
                </c:pt>
                <c:pt idx="259">
                  <c:v>661.09</c:v>
                </c:pt>
                <c:pt idx="260">
                  <c:v>664.81</c:v>
                </c:pt>
                <c:pt idx="261">
                  <c:v>682.42</c:v>
                </c:pt>
                <c:pt idx="262">
                  <c:v>694.56</c:v>
                </c:pt>
                <c:pt idx="263">
                  <c:v>695.16</c:v>
                </c:pt>
                <c:pt idx="264">
                  <c:v>685.27</c:v>
                </c:pt>
                <c:pt idx="265">
                  <c:v>678.12</c:v>
                </c:pt>
                <c:pt idx="266">
                  <c:v>700.44</c:v>
                </c:pt>
                <c:pt idx="267">
                  <c:v>689.28</c:v>
                </c:pt>
                <c:pt idx="268">
                  <c:v>688.5</c:v>
                </c:pt>
                <c:pt idx="269">
                  <c:v>690.08</c:v>
                </c:pt>
                <c:pt idx="270">
                  <c:v>694</c:v>
                </c:pt>
                <c:pt idx="271">
                  <c:v>692.2</c:v>
                </c:pt>
                <c:pt idx="272">
                  <c:v>694.5</c:v>
                </c:pt>
                <c:pt idx="273">
                  <c:v>706.52</c:v>
                </c:pt>
                <c:pt idx="274">
                  <c:v>706.53</c:v>
                </c:pt>
                <c:pt idx="275">
                  <c:v>719.08</c:v>
                </c:pt>
                <c:pt idx="276">
                  <c:v>714.64</c:v>
                </c:pt>
                <c:pt idx="277">
                  <c:v>704.7</c:v>
                </c:pt>
                <c:pt idx="278">
                  <c:v>668.35</c:v>
                </c:pt>
                <c:pt idx="279">
                  <c:v>639.45000000000005</c:v>
                </c:pt>
                <c:pt idx="280">
                  <c:v>596.95000000000005</c:v>
                </c:pt>
                <c:pt idx="281">
                  <c:v>547.64</c:v>
                </c:pt>
                <c:pt idx="282">
                  <c:v>489.5</c:v>
                </c:pt>
                <c:pt idx="283">
                  <c:v>445.83</c:v>
                </c:pt>
                <c:pt idx="284">
                  <c:v>423.65</c:v>
                </c:pt>
                <c:pt idx="285">
                  <c:v>398.47</c:v>
                </c:pt>
                <c:pt idx="286">
                  <c:v>373.48</c:v>
                </c:pt>
                <c:pt idx="287">
                  <c:v>354.52</c:v>
                </c:pt>
                <c:pt idx="288">
                  <c:v>340.62</c:v>
                </c:pt>
                <c:pt idx="289">
                  <c:v>352.55</c:v>
                </c:pt>
                <c:pt idx="290">
                  <c:v>364.57</c:v>
                </c:pt>
                <c:pt idx="291">
                  <c:v>376.69</c:v>
                </c:pt>
                <c:pt idx="292">
                  <c:v>396.33</c:v>
                </c:pt>
                <c:pt idx="293">
                  <c:v>455.02</c:v>
                </c:pt>
                <c:pt idx="294">
                  <c:v>521.45000000000005</c:v>
                </c:pt>
                <c:pt idx="295">
                  <c:v>624.63</c:v>
                </c:pt>
                <c:pt idx="296">
                  <c:v>701.6</c:v>
                </c:pt>
                <c:pt idx="297">
                  <c:v>704.62</c:v>
                </c:pt>
                <c:pt idx="298">
                  <c:v>691.78</c:v>
                </c:pt>
                <c:pt idx="299">
                  <c:v>675.28</c:v>
                </c:pt>
                <c:pt idx="300">
                  <c:v>667.56</c:v>
                </c:pt>
                <c:pt idx="301">
                  <c:v>660.52</c:v>
                </c:pt>
                <c:pt idx="302">
                  <c:v>666.03</c:v>
                </c:pt>
                <c:pt idx="303">
                  <c:v>668.98</c:v>
                </c:pt>
                <c:pt idx="304">
                  <c:v>677.29</c:v>
                </c:pt>
                <c:pt idx="305">
                  <c:v>686.96</c:v>
                </c:pt>
                <c:pt idx="306">
                  <c:v>701.57</c:v>
                </c:pt>
                <c:pt idx="307">
                  <c:v>731.74</c:v>
                </c:pt>
                <c:pt idx="308">
                  <c:v>746.91</c:v>
                </c:pt>
                <c:pt idx="309">
                  <c:v>762.92</c:v>
                </c:pt>
                <c:pt idx="310">
                  <c:v>778.09</c:v>
                </c:pt>
                <c:pt idx="311">
                  <c:v>794.03</c:v>
                </c:pt>
                <c:pt idx="312">
                  <c:v>808.34</c:v>
                </c:pt>
                <c:pt idx="313">
                  <c:v>816.13</c:v>
                </c:pt>
                <c:pt idx="314">
                  <c:v>818.05</c:v>
                </c:pt>
                <c:pt idx="315">
                  <c:v>812.24</c:v>
                </c:pt>
                <c:pt idx="316">
                  <c:v>819.98</c:v>
                </c:pt>
                <c:pt idx="317">
                  <c:v>823.11</c:v>
                </c:pt>
                <c:pt idx="318">
                  <c:v>832.06</c:v>
                </c:pt>
                <c:pt idx="319">
                  <c:v>849.05</c:v>
                </c:pt>
                <c:pt idx="320">
                  <c:v>838.66</c:v>
                </c:pt>
                <c:pt idx="321">
                  <c:v>828.38</c:v>
                </c:pt>
                <c:pt idx="322">
                  <c:v>829.51</c:v>
                </c:pt>
                <c:pt idx="323">
                  <c:v>818.49</c:v>
                </c:pt>
                <c:pt idx="324">
                  <c:v>785.99</c:v>
                </c:pt>
                <c:pt idx="325">
                  <c:v>753.72</c:v>
                </c:pt>
                <c:pt idx="326">
                  <c:v>723.94</c:v>
                </c:pt>
                <c:pt idx="327">
                  <c:v>684.47</c:v>
                </c:pt>
                <c:pt idx="328">
                  <c:v>655.82</c:v>
                </c:pt>
                <c:pt idx="329">
                  <c:v>640.59</c:v>
                </c:pt>
                <c:pt idx="330">
                  <c:v>634.54999999999995</c:v>
                </c:pt>
                <c:pt idx="331">
                  <c:v>630.08000000000004</c:v>
                </c:pt>
                <c:pt idx="332">
                  <c:v>616.4</c:v>
                </c:pt>
                <c:pt idx="333">
                  <c:v>607.76</c:v>
                </c:pt>
                <c:pt idx="334">
                  <c:v>577.79</c:v>
                </c:pt>
                <c:pt idx="335">
                  <c:v>457.13</c:v>
                </c:pt>
                <c:pt idx="336">
                  <c:v>461.23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F-E64D-8DB3-DC3C5DFC6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6160"/>
        <c:axId val="1648128016"/>
      </c:lineChart>
      <c:lineChart>
        <c:grouping val="stacked"/>
        <c:varyColors val="0"/>
        <c:ser>
          <c:idx val="9"/>
          <c:order val="0"/>
          <c:tx>
            <c:strRef>
              <c:f>'Data exploration'!$O$1</c:f>
              <c:strCache>
                <c:ptCount val="1"/>
                <c:pt idx="0">
                  <c:v>Temperature - 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exploration'!$O$2:$O$338</c:f>
              <c:numCache>
                <c:formatCode>#,##0</c:formatCode>
                <c:ptCount val="337"/>
                <c:pt idx="0">
                  <c:v>17.7</c:v>
                </c:pt>
                <c:pt idx="1">
                  <c:v>17.86</c:v>
                </c:pt>
                <c:pt idx="2">
                  <c:v>17.98</c:v>
                </c:pt>
                <c:pt idx="3">
                  <c:v>17.87</c:v>
                </c:pt>
                <c:pt idx="4">
                  <c:v>17.37</c:v>
                </c:pt>
                <c:pt idx="5">
                  <c:v>16.97</c:v>
                </c:pt>
                <c:pt idx="6">
                  <c:v>16.91</c:v>
                </c:pt>
                <c:pt idx="7">
                  <c:v>16.22</c:v>
                </c:pt>
                <c:pt idx="8">
                  <c:v>15.82</c:v>
                </c:pt>
                <c:pt idx="9">
                  <c:v>15.44</c:v>
                </c:pt>
                <c:pt idx="10">
                  <c:v>15.12</c:v>
                </c:pt>
                <c:pt idx="11">
                  <c:v>14.85</c:v>
                </c:pt>
                <c:pt idx="12">
                  <c:v>14.73</c:v>
                </c:pt>
                <c:pt idx="13">
                  <c:v>13.97</c:v>
                </c:pt>
                <c:pt idx="14">
                  <c:v>13.17</c:v>
                </c:pt>
                <c:pt idx="15">
                  <c:v>13.17</c:v>
                </c:pt>
                <c:pt idx="16">
                  <c:v>13.23</c:v>
                </c:pt>
                <c:pt idx="17">
                  <c:v>12.78</c:v>
                </c:pt>
                <c:pt idx="18">
                  <c:v>12.54</c:v>
                </c:pt>
                <c:pt idx="19">
                  <c:v>12.57</c:v>
                </c:pt>
                <c:pt idx="20">
                  <c:v>12.54</c:v>
                </c:pt>
                <c:pt idx="21">
                  <c:v>12.76</c:v>
                </c:pt>
                <c:pt idx="22">
                  <c:v>12.91</c:v>
                </c:pt>
                <c:pt idx="23">
                  <c:v>13.14</c:v>
                </c:pt>
                <c:pt idx="24">
                  <c:v>13.11</c:v>
                </c:pt>
                <c:pt idx="25">
                  <c:v>13.01</c:v>
                </c:pt>
                <c:pt idx="26">
                  <c:v>12.89</c:v>
                </c:pt>
                <c:pt idx="27">
                  <c:v>12.68</c:v>
                </c:pt>
                <c:pt idx="28">
                  <c:v>12.95</c:v>
                </c:pt>
                <c:pt idx="29">
                  <c:v>13.14</c:v>
                </c:pt>
                <c:pt idx="30">
                  <c:v>12.94</c:v>
                </c:pt>
                <c:pt idx="31">
                  <c:v>12.8</c:v>
                </c:pt>
                <c:pt idx="32">
                  <c:v>12.66</c:v>
                </c:pt>
                <c:pt idx="33">
                  <c:v>12.87</c:v>
                </c:pt>
                <c:pt idx="34">
                  <c:v>13.03</c:v>
                </c:pt>
                <c:pt idx="35">
                  <c:v>12.64</c:v>
                </c:pt>
                <c:pt idx="36">
                  <c:v>11.38</c:v>
                </c:pt>
                <c:pt idx="37">
                  <c:v>10.46</c:v>
                </c:pt>
                <c:pt idx="38">
                  <c:v>10.42</c:v>
                </c:pt>
                <c:pt idx="39">
                  <c:v>10.81</c:v>
                </c:pt>
                <c:pt idx="40">
                  <c:v>11.73</c:v>
                </c:pt>
                <c:pt idx="41">
                  <c:v>13.64</c:v>
                </c:pt>
                <c:pt idx="42">
                  <c:v>15.05</c:v>
                </c:pt>
                <c:pt idx="43">
                  <c:v>15.92</c:v>
                </c:pt>
                <c:pt idx="44">
                  <c:v>16.559999999999999</c:v>
                </c:pt>
                <c:pt idx="45">
                  <c:v>17.190000000000001</c:v>
                </c:pt>
                <c:pt idx="46">
                  <c:v>17.43</c:v>
                </c:pt>
                <c:pt idx="47">
                  <c:v>17.88</c:v>
                </c:pt>
                <c:pt idx="48">
                  <c:v>18.57</c:v>
                </c:pt>
                <c:pt idx="49">
                  <c:v>18.78</c:v>
                </c:pt>
                <c:pt idx="50">
                  <c:v>18.75</c:v>
                </c:pt>
                <c:pt idx="51">
                  <c:v>18.989999999999998</c:v>
                </c:pt>
                <c:pt idx="52">
                  <c:v>18.670000000000002</c:v>
                </c:pt>
                <c:pt idx="53">
                  <c:v>18.38</c:v>
                </c:pt>
                <c:pt idx="54">
                  <c:v>17.809999999999999</c:v>
                </c:pt>
                <c:pt idx="55">
                  <c:v>16.82</c:v>
                </c:pt>
                <c:pt idx="56">
                  <c:v>16.05</c:v>
                </c:pt>
                <c:pt idx="57">
                  <c:v>15.3</c:v>
                </c:pt>
                <c:pt idx="58">
                  <c:v>14.81</c:v>
                </c:pt>
                <c:pt idx="59">
                  <c:v>14.17</c:v>
                </c:pt>
                <c:pt idx="60">
                  <c:v>13.63</c:v>
                </c:pt>
                <c:pt idx="61">
                  <c:v>12.97</c:v>
                </c:pt>
                <c:pt idx="62">
                  <c:v>12.35</c:v>
                </c:pt>
                <c:pt idx="63">
                  <c:v>11.77</c:v>
                </c:pt>
                <c:pt idx="64">
                  <c:v>11.41</c:v>
                </c:pt>
                <c:pt idx="65">
                  <c:v>10.97</c:v>
                </c:pt>
                <c:pt idx="66">
                  <c:v>10.75</c:v>
                </c:pt>
                <c:pt idx="67">
                  <c:v>10.83</c:v>
                </c:pt>
                <c:pt idx="68">
                  <c:v>10.52</c:v>
                </c:pt>
                <c:pt idx="69">
                  <c:v>10.050000000000001</c:v>
                </c:pt>
                <c:pt idx="70">
                  <c:v>9.6199999999999992</c:v>
                </c:pt>
                <c:pt idx="71">
                  <c:v>9.2100000000000009</c:v>
                </c:pt>
                <c:pt idx="72">
                  <c:v>9.34</c:v>
                </c:pt>
                <c:pt idx="73">
                  <c:v>9.2899999999999991</c:v>
                </c:pt>
                <c:pt idx="74">
                  <c:v>9.0299999999999994</c:v>
                </c:pt>
                <c:pt idx="75">
                  <c:v>8.82</c:v>
                </c:pt>
                <c:pt idx="76">
                  <c:v>8.6199999999999992</c:v>
                </c:pt>
                <c:pt idx="77">
                  <c:v>8.43</c:v>
                </c:pt>
                <c:pt idx="78">
                  <c:v>8.3699999999999992</c:v>
                </c:pt>
                <c:pt idx="79">
                  <c:v>8.0299999999999994</c:v>
                </c:pt>
                <c:pt idx="80">
                  <c:v>7.68</c:v>
                </c:pt>
                <c:pt idx="81">
                  <c:v>7.71</c:v>
                </c:pt>
                <c:pt idx="82">
                  <c:v>7.95</c:v>
                </c:pt>
                <c:pt idx="83">
                  <c:v>7.99</c:v>
                </c:pt>
                <c:pt idx="84">
                  <c:v>7.91</c:v>
                </c:pt>
                <c:pt idx="85">
                  <c:v>7.81</c:v>
                </c:pt>
                <c:pt idx="86">
                  <c:v>7.72</c:v>
                </c:pt>
                <c:pt idx="87">
                  <c:v>7.77</c:v>
                </c:pt>
                <c:pt idx="88">
                  <c:v>8.5299999999999994</c:v>
                </c:pt>
                <c:pt idx="89">
                  <c:v>9.4600000000000009</c:v>
                </c:pt>
                <c:pt idx="90">
                  <c:v>10.59</c:v>
                </c:pt>
                <c:pt idx="91">
                  <c:v>10.98</c:v>
                </c:pt>
                <c:pt idx="92">
                  <c:v>11.97</c:v>
                </c:pt>
                <c:pt idx="93">
                  <c:v>12.91</c:v>
                </c:pt>
                <c:pt idx="94">
                  <c:v>13.65</c:v>
                </c:pt>
                <c:pt idx="95">
                  <c:v>14.42</c:v>
                </c:pt>
                <c:pt idx="96">
                  <c:v>15.17</c:v>
                </c:pt>
                <c:pt idx="97">
                  <c:v>16.100000000000001</c:v>
                </c:pt>
                <c:pt idx="98">
                  <c:v>16.899999999999999</c:v>
                </c:pt>
                <c:pt idx="99">
                  <c:v>17.350000000000001</c:v>
                </c:pt>
                <c:pt idx="100">
                  <c:v>17.48</c:v>
                </c:pt>
                <c:pt idx="101">
                  <c:v>16.72</c:v>
                </c:pt>
                <c:pt idx="102">
                  <c:v>16.16</c:v>
                </c:pt>
                <c:pt idx="103">
                  <c:v>15.83</c:v>
                </c:pt>
                <c:pt idx="104">
                  <c:v>15.61</c:v>
                </c:pt>
                <c:pt idx="105">
                  <c:v>15.37</c:v>
                </c:pt>
                <c:pt idx="106">
                  <c:v>15.45</c:v>
                </c:pt>
                <c:pt idx="107">
                  <c:v>15.35</c:v>
                </c:pt>
                <c:pt idx="108">
                  <c:v>15.42</c:v>
                </c:pt>
                <c:pt idx="109">
                  <c:v>14.98</c:v>
                </c:pt>
                <c:pt idx="110">
                  <c:v>14.75</c:v>
                </c:pt>
                <c:pt idx="111">
                  <c:v>14.82</c:v>
                </c:pt>
                <c:pt idx="112">
                  <c:v>14.45</c:v>
                </c:pt>
                <c:pt idx="113">
                  <c:v>14.76</c:v>
                </c:pt>
                <c:pt idx="114">
                  <c:v>14.5</c:v>
                </c:pt>
                <c:pt idx="115">
                  <c:v>14.54</c:v>
                </c:pt>
                <c:pt idx="116">
                  <c:v>14.35</c:v>
                </c:pt>
                <c:pt idx="117">
                  <c:v>14.28</c:v>
                </c:pt>
                <c:pt idx="118">
                  <c:v>14.03</c:v>
                </c:pt>
                <c:pt idx="119">
                  <c:v>13.92</c:v>
                </c:pt>
                <c:pt idx="120">
                  <c:v>14.68</c:v>
                </c:pt>
                <c:pt idx="121">
                  <c:v>14.54</c:v>
                </c:pt>
                <c:pt idx="122">
                  <c:v>14.27</c:v>
                </c:pt>
                <c:pt idx="123">
                  <c:v>14.4</c:v>
                </c:pt>
                <c:pt idx="124">
                  <c:v>14.03</c:v>
                </c:pt>
                <c:pt idx="125">
                  <c:v>14.21</c:v>
                </c:pt>
                <c:pt idx="126">
                  <c:v>13.98</c:v>
                </c:pt>
                <c:pt idx="127">
                  <c:v>13.29</c:v>
                </c:pt>
                <c:pt idx="128">
                  <c:v>12.77</c:v>
                </c:pt>
                <c:pt idx="129">
                  <c:v>12.53</c:v>
                </c:pt>
                <c:pt idx="130">
                  <c:v>12.42</c:v>
                </c:pt>
                <c:pt idx="131">
                  <c:v>11.77</c:v>
                </c:pt>
                <c:pt idx="132">
                  <c:v>11.87</c:v>
                </c:pt>
                <c:pt idx="133">
                  <c:v>12.89</c:v>
                </c:pt>
                <c:pt idx="134">
                  <c:v>13.92</c:v>
                </c:pt>
                <c:pt idx="135">
                  <c:v>14.14</c:v>
                </c:pt>
                <c:pt idx="136">
                  <c:v>14.6</c:v>
                </c:pt>
                <c:pt idx="137">
                  <c:v>15.48</c:v>
                </c:pt>
                <c:pt idx="138">
                  <c:v>16.13</c:v>
                </c:pt>
                <c:pt idx="139">
                  <c:v>16.489999999999998</c:v>
                </c:pt>
                <c:pt idx="140">
                  <c:v>16.97</c:v>
                </c:pt>
                <c:pt idx="141">
                  <c:v>17.53</c:v>
                </c:pt>
                <c:pt idx="142">
                  <c:v>17.86</c:v>
                </c:pt>
                <c:pt idx="143">
                  <c:v>18.03</c:v>
                </c:pt>
                <c:pt idx="144">
                  <c:v>18.55</c:v>
                </c:pt>
                <c:pt idx="145">
                  <c:v>19.079999999999998</c:v>
                </c:pt>
                <c:pt idx="146">
                  <c:v>18.989999999999998</c:v>
                </c:pt>
                <c:pt idx="147">
                  <c:v>19.32</c:v>
                </c:pt>
                <c:pt idx="148">
                  <c:v>19.489999999999998</c:v>
                </c:pt>
                <c:pt idx="149">
                  <c:v>19.46</c:v>
                </c:pt>
                <c:pt idx="150">
                  <c:v>18.18</c:v>
                </c:pt>
                <c:pt idx="151">
                  <c:v>16.37</c:v>
                </c:pt>
                <c:pt idx="152">
                  <c:v>15.4</c:v>
                </c:pt>
                <c:pt idx="153">
                  <c:v>14.94</c:v>
                </c:pt>
                <c:pt idx="154">
                  <c:v>14.64</c:v>
                </c:pt>
                <c:pt idx="155">
                  <c:v>14.46</c:v>
                </c:pt>
                <c:pt idx="156">
                  <c:v>13.88</c:v>
                </c:pt>
                <c:pt idx="157">
                  <c:v>13.34</c:v>
                </c:pt>
                <c:pt idx="158">
                  <c:v>12.79</c:v>
                </c:pt>
                <c:pt idx="159">
                  <c:v>11.83</c:v>
                </c:pt>
                <c:pt idx="160">
                  <c:v>11.15</c:v>
                </c:pt>
                <c:pt idx="161">
                  <c:v>10.58</c:v>
                </c:pt>
                <c:pt idx="162">
                  <c:v>10.34</c:v>
                </c:pt>
                <c:pt idx="163">
                  <c:v>10.34</c:v>
                </c:pt>
                <c:pt idx="164">
                  <c:v>9.98</c:v>
                </c:pt>
                <c:pt idx="165">
                  <c:v>9.8699999999999992</c:v>
                </c:pt>
                <c:pt idx="166">
                  <c:v>9.6300000000000008</c:v>
                </c:pt>
                <c:pt idx="167">
                  <c:v>9.41</c:v>
                </c:pt>
                <c:pt idx="168">
                  <c:v>9.1300000000000008</c:v>
                </c:pt>
                <c:pt idx="169">
                  <c:v>8.83</c:v>
                </c:pt>
                <c:pt idx="170">
                  <c:v>8.6199999999999992</c:v>
                </c:pt>
                <c:pt idx="171">
                  <c:v>8.4700000000000006</c:v>
                </c:pt>
                <c:pt idx="172">
                  <c:v>8.73</c:v>
                </c:pt>
                <c:pt idx="173">
                  <c:v>8.82</c:v>
                </c:pt>
                <c:pt idx="174">
                  <c:v>9.0299999999999994</c:v>
                </c:pt>
                <c:pt idx="175">
                  <c:v>8.93</c:v>
                </c:pt>
                <c:pt idx="176">
                  <c:v>8.9</c:v>
                </c:pt>
                <c:pt idx="177">
                  <c:v>8.8800000000000008</c:v>
                </c:pt>
                <c:pt idx="178">
                  <c:v>8.65</c:v>
                </c:pt>
                <c:pt idx="179">
                  <c:v>8.57</c:v>
                </c:pt>
                <c:pt idx="180">
                  <c:v>8.3800000000000008</c:v>
                </c:pt>
                <c:pt idx="181">
                  <c:v>8.6</c:v>
                </c:pt>
                <c:pt idx="182">
                  <c:v>9.14</c:v>
                </c:pt>
                <c:pt idx="183">
                  <c:v>9.65</c:v>
                </c:pt>
                <c:pt idx="184">
                  <c:v>10.07</c:v>
                </c:pt>
                <c:pt idx="185">
                  <c:v>10.47</c:v>
                </c:pt>
                <c:pt idx="186">
                  <c:v>10.87</c:v>
                </c:pt>
                <c:pt idx="187">
                  <c:v>11.25</c:v>
                </c:pt>
                <c:pt idx="188">
                  <c:v>11.48</c:v>
                </c:pt>
                <c:pt idx="189">
                  <c:v>11.68</c:v>
                </c:pt>
                <c:pt idx="190">
                  <c:v>11.91</c:v>
                </c:pt>
                <c:pt idx="191">
                  <c:v>12.37</c:v>
                </c:pt>
                <c:pt idx="192">
                  <c:v>13.04</c:v>
                </c:pt>
                <c:pt idx="193">
                  <c:v>13.7</c:v>
                </c:pt>
                <c:pt idx="194">
                  <c:v>13.97</c:v>
                </c:pt>
                <c:pt idx="195">
                  <c:v>14.07</c:v>
                </c:pt>
                <c:pt idx="196">
                  <c:v>14.01</c:v>
                </c:pt>
                <c:pt idx="197">
                  <c:v>13.9</c:v>
                </c:pt>
                <c:pt idx="198">
                  <c:v>13.7</c:v>
                </c:pt>
                <c:pt idx="199">
                  <c:v>13.35</c:v>
                </c:pt>
                <c:pt idx="200">
                  <c:v>13.12</c:v>
                </c:pt>
                <c:pt idx="201">
                  <c:v>12.91</c:v>
                </c:pt>
                <c:pt idx="202">
                  <c:v>12.65</c:v>
                </c:pt>
                <c:pt idx="203">
                  <c:v>12.59</c:v>
                </c:pt>
                <c:pt idx="204">
                  <c:v>12.5</c:v>
                </c:pt>
                <c:pt idx="205">
                  <c:v>12.31</c:v>
                </c:pt>
                <c:pt idx="206">
                  <c:v>12.01</c:v>
                </c:pt>
                <c:pt idx="207">
                  <c:v>11.55</c:v>
                </c:pt>
                <c:pt idx="208">
                  <c:v>11.14</c:v>
                </c:pt>
                <c:pt idx="209">
                  <c:v>10.84</c:v>
                </c:pt>
                <c:pt idx="210">
                  <c:v>10.7</c:v>
                </c:pt>
                <c:pt idx="211">
                  <c:v>10.5</c:v>
                </c:pt>
                <c:pt idx="212">
                  <c:v>10.14</c:v>
                </c:pt>
                <c:pt idx="213">
                  <c:v>9.84</c:v>
                </c:pt>
                <c:pt idx="214">
                  <c:v>9.6999999999999993</c:v>
                </c:pt>
                <c:pt idx="215">
                  <c:v>9.52</c:v>
                </c:pt>
                <c:pt idx="216">
                  <c:v>9.32</c:v>
                </c:pt>
                <c:pt idx="217">
                  <c:v>9.14</c:v>
                </c:pt>
                <c:pt idx="218">
                  <c:v>9.16</c:v>
                </c:pt>
                <c:pt idx="219">
                  <c:v>8.94</c:v>
                </c:pt>
                <c:pt idx="220">
                  <c:v>8.81</c:v>
                </c:pt>
                <c:pt idx="221">
                  <c:v>8.68</c:v>
                </c:pt>
                <c:pt idx="222">
                  <c:v>8.35</c:v>
                </c:pt>
                <c:pt idx="223">
                  <c:v>8.1300000000000008</c:v>
                </c:pt>
                <c:pt idx="224">
                  <c:v>8.1</c:v>
                </c:pt>
                <c:pt idx="225">
                  <c:v>8.07</c:v>
                </c:pt>
                <c:pt idx="226">
                  <c:v>7.85</c:v>
                </c:pt>
                <c:pt idx="227">
                  <c:v>7.81</c:v>
                </c:pt>
                <c:pt idx="228">
                  <c:v>7.88</c:v>
                </c:pt>
                <c:pt idx="229">
                  <c:v>7.81</c:v>
                </c:pt>
                <c:pt idx="230">
                  <c:v>7.74</c:v>
                </c:pt>
                <c:pt idx="231">
                  <c:v>8.0299999999999994</c:v>
                </c:pt>
                <c:pt idx="232">
                  <c:v>8.9600000000000009</c:v>
                </c:pt>
                <c:pt idx="233">
                  <c:v>10.35</c:v>
                </c:pt>
                <c:pt idx="234">
                  <c:v>11.57</c:v>
                </c:pt>
                <c:pt idx="235">
                  <c:v>12.44</c:v>
                </c:pt>
                <c:pt idx="236">
                  <c:v>13.29</c:v>
                </c:pt>
                <c:pt idx="237">
                  <c:v>13.85</c:v>
                </c:pt>
                <c:pt idx="238">
                  <c:v>14.32</c:v>
                </c:pt>
                <c:pt idx="239">
                  <c:v>15.18</c:v>
                </c:pt>
                <c:pt idx="240">
                  <c:v>15.85</c:v>
                </c:pt>
                <c:pt idx="241">
                  <c:v>16.43</c:v>
                </c:pt>
                <c:pt idx="242">
                  <c:v>16.79</c:v>
                </c:pt>
                <c:pt idx="243">
                  <c:v>17.25</c:v>
                </c:pt>
                <c:pt idx="244">
                  <c:v>17.63</c:v>
                </c:pt>
                <c:pt idx="245">
                  <c:v>17.66</c:v>
                </c:pt>
                <c:pt idx="246">
                  <c:v>17.87</c:v>
                </c:pt>
                <c:pt idx="247">
                  <c:v>16.55</c:v>
                </c:pt>
                <c:pt idx="248">
                  <c:v>15.73</c:v>
                </c:pt>
                <c:pt idx="249">
                  <c:v>14.95</c:v>
                </c:pt>
                <c:pt idx="250">
                  <c:v>14.01</c:v>
                </c:pt>
                <c:pt idx="251">
                  <c:v>13.34</c:v>
                </c:pt>
                <c:pt idx="252">
                  <c:v>13.36</c:v>
                </c:pt>
                <c:pt idx="253">
                  <c:v>12.53</c:v>
                </c:pt>
                <c:pt idx="254">
                  <c:v>11.86</c:v>
                </c:pt>
                <c:pt idx="255">
                  <c:v>11.34</c:v>
                </c:pt>
                <c:pt idx="256">
                  <c:v>10.84</c:v>
                </c:pt>
                <c:pt idx="257">
                  <c:v>10.38</c:v>
                </c:pt>
                <c:pt idx="258">
                  <c:v>10.23</c:v>
                </c:pt>
                <c:pt idx="259">
                  <c:v>9.6300000000000008</c:v>
                </c:pt>
                <c:pt idx="260">
                  <c:v>9.3699999999999992</c:v>
                </c:pt>
                <c:pt idx="261">
                  <c:v>8.92</c:v>
                </c:pt>
                <c:pt idx="262">
                  <c:v>9.06</c:v>
                </c:pt>
                <c:pt idx="263">
                  <c:v>9.19</c:v>
                </c:pt>
                <c:pt idx="264">
                  <c:v>9.27</c:v>
                </c:pt>
                <c:pt idx="265">
                  <c:v>9.18</c:v>
                </c:pt>
                <c:pt idx="266">
                  <c:v>8.85</c:v>
                </c:pt>
                <c:pt idx="267">
                  <c:v>8.6199999999999992</c:v>
                </c:pt>
                <c:pt idx="268">
                  <c:v>8.52</c:v>
                </c:pt>
                <c:pt idx="269">
                  <c:v>8.49</c:v>
                </c:pt>
                <c:pt idx="270">
                  <c:v>8.39</c:v>
                </c:pt>
                <c:pt idx="271">
                  <c:v>8.11</c:v>
                </c:pt>
                <c:pt idx="272">
                  <c:v>7.67</c:v>
                </c:pt>
                <c:pt idx="273">
                  <c:v>7.43</c:v>
                </c:pt>
                <c:pt idx="274">
                  <c:v>7.39</c:v>
                </c:pt>
                <c:pt idx="275">
                  <c:v>7.29</c:v>
                </c:pt>
                <c:pt idx="276">
                  <c:v>7.02</c:v>
                </c:pt>
                <c:pt idx="277">
                  <c:v>6.75</c:v>
                </c:pt>
                <c:pt idx="278">
                  <c:v>6.73</c:v>
                </c:pt>
                <c:pt idx="279">
                  <c:v>7.15</c:v>
                </c:pt>
                <c:pt idx="280">
                  <c:v>8.31</c:v>
                </c:pt>
                <c:pt idx="281">
                  <c:v>9.01</c:v>
                </c:pt>
                <c:pt idx="282">
                  <c:v>10</c:v>
                </c:pt>
                <c:pt idx="283">
                  <c:v>10.98</c:v>
                </c:pt>
                <c:pt idx="284">
                  <c:v>11.72</c:v>
                </c:pt>
                <c:pt idx="285">
                  <c:v>12.9</c:v>
                </c:pt>
                <c:pt idx="286">
                  <c:v>13.53</c:v>
                </c:pt>
                <c:pt idx="287">
                  <c:v>14.48</c:v>
                </c:pt>
                <c:pt idx="288">
                  <c:v>15.33</c:v>
                </c:pt>
                <c:pt idx="289">
                  <c:v>16.12</c:v>
                </c:pt>
                <c:pt idx="290">
                  <c:v>16.73</c:v>
                </c:pt>
                <c:pt idx="291">
                  <c:v>17.13</c:v>
                </c:pt>
                <c:pt idx="292">
                  <c:v>17.2</c:v>
                </c:pt>
                <c:pt idx="293">
                  <c:v>17.190000000000001</c:v>
                </c:pt>
                <c:pt idx="294">
                  <c:v>17.02</c:v>
                </c:pt>
                <c:pt idx="295">
                  <c:v>16.02</c:v>
                </c:pt>
                <c:pt idx="296">
                  <c:v>14.99</c:v>
                </c:pt>
                <c:pt idx="297">
                  <c:v>14.12</c:v>
                </c:pt>
                <c:pt idx="298">
                  <c:v>13.62</c:v>
                </c:pt>
                <c:pt idx="299">
                  <c:v>13.09</c:v>
                </c:pt>
                <c:pt idx="300">
                  <c:v>12.89</c:v>
                </c:pt>
                <c:pt idx="301">
                  <c:v>12.58</c:v>
                </c:pt>
                <c:pt idx="302">
                  <c:v>11.9</c:v>
                </c:pt>
                <c:pt idx="303">
                  <c:v>11.47</c:v>
                </c:pt>
                <c:pt idx="304">
                  <c:v>11.44</c:v>
                </c:pt>
                <c:pt idx="305">
                  <c:v>11.79</c:v>
                </c:pt>
                <c:pt idx="306">
                  <c:v>11.62</c:v>
                </c:pt>
                <c:pt idx="307">
                  <c:v>11.19</c:v>
                </c:pt>
                <c:pt idx="308">
                  <c:v>10.42</c:v>
                </c:pt>
                <c:pt idx="309">
                  <c:v>9.98</c:v>
                </c:pt>
                <c:pt idx="310">
                  <c:v>10.050000000000001</c:v>
                </c:pt>
                <c:pt idx="311">
                  <c:v>9.8800000000000008</c:v>
                </c:pt>
                <c:pt idx="312">
                  <c:v>9.32</c:v>
                </c:pt>
                <c:pt idx="313">
                  <c:v>9.18</c:v>
                </c:pt>
                <c:pt idx="314">
                  <c:v>9.0299999999999994</c:v>
                </c:pt>
                <c:pt idx="315">
                  <c:v>9</c:v>
                </c:pt>
                <c:pt idx="316">
                  <c:v>8.99</c:v>
                </c:pt>
                <c:pt idx="317">
                  <c:v>8.91</c:v>
                </c:pt>
                <c:pt idx="318">
                  <c:v>8.8000000000000007</c:v>
                </c:pt>
                <c:pt idx="319">
                  <c:v>8.6300000000000008</c:v>
                </c:pt>
                <c:pt idx="320">
                  <c:v>8.58</c:v>
                </c:pt>
                <c:pt idx="321">
                  <c:v>8.43</c:v>
                </c:pt>
                <c:pt idx="322">
                  <c:v>8.32</c:v>
                </c:pt>
                <c:pt idx="323">
                  <c:v>8.36</c:v>
                </c:pt>
                <c:pt idx="324">
                  <c:v>8.16</c:v>
                </c:pt>
                <c:pt idx="325">
                  <c:v>8.18</c:v>
                </c:pt>
                <c:pt idx="326">
                  <c:v>8.23</c:v>
                </c:pt>
                <c:pt idx="327">
                  <c:v>8.52</c:v>
                </c:pt>
                <c:pt idx="328">
                  <c:v>9.42</c:v>
                </c:pt>
                <c:pt idx="329">
                  <c:v>11.24</c:v>
                </c:pt>
                <c:pt idx="330">
                  <c:v>12.41</c:v>
                </c:pt>
                <c:pt idx="331">
                  <c:v>12.49</c:v>
                </c:pt>
                <c:pt idx="332">
                  <c:v>12.29</c:v>
                </c:pt>
                <c:pt idx="333">
                  <c:v>12.72</c:v>
                </c:pt>
                <c:pt idx="334">
                  <c:v>13.8</c:v>
                </c:pt>
                <c:pt idx="335">
                  <c:v>14.95</c:v>
                </c:pt>
                <c:pt idx="336">
                  <c:v>15.55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F-E64D-8DB3-DC3C5DFC6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508960"/>
        <c:axId val="1672968864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67296886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08960"/>
        <c:crosses val="max"/>
        <c:crossBetween val="between"/>
      </c:valAx>
      <c:catAx>
        <c:axId val="1673508960"/>
        <c:scaling>
          <c:orientation val="minMax"/>
        </c:scaling>
        <c:delete val="1"/>
        <c:axPos val="b"/>
        <c:majorTickMark val="out"/>
        <c:minorTickMark val="none"/>
        <c:tickLblPos val="nextTo"/>
        <c:crossAx val="1672968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[1]Prices!$F$1</c:f>
              <c:strCache>
                <c:ptCount val="1"/>
                <c:pt idx="0">
                  <c:v>Coal (Black)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[1]Prices!$F$2:$F$338</c:f>
              <c:numCache>
                <c:formatCode>General</c:formatCode>
                <c:ptCount val="337"/>
                <c:pt idx="0">
                  <c:v>3381.98</c:v>
                </c:pt>
                <c:pt idx="1">
                  <c:v>3430.37</c:v>
                </c:pt>
                <c:pt idx="2">
                  <c:v>3463.22</c:v>
                </c:pt>
                <c:pt idx="3">
                  <c:v>3444.6</c:v>
                </c:pt>
                <c:pt idx="4">
                  <c:v>3513.54</c:v>
                </c:pt>
                <c:pt idx="5">
                  <c:v>3972.11</c:v>
                </c:pt>
                <c:pt idx="6">
                  <c:v>4521.03</c:v>
                </c:pt>
                <c:pt idx="7">
                  <c:v>5370.25</c:v>
                </c:pt>
                <c:pt idx="8">
                  <c:v>6233.9</c:v>
                </c:pt>
                <c:pt idx="9">
                  <c:v>6792.19</c:v>
                </c:pt>
                <c:pt idx="10">
                  <c:v>7173.65</c:v>
                </c:pt>
                <c:pt idx="11">
                  <c:v>7371.04</c:v>
                </c:pt>
                <c:pt idx="12">
                  <c:v>7404.26</c:v>
                </c:pt>
                <c:pt idx="13">
                  <c:v>7406.87</c:v>
                </c:pt>
                <c:pt idx="14">
                  <c:v>7405.12</c:v>
                </c:pt>
                <c:pt idx="15">
                  <c:v>7406.79</c:v>
                </c:pt>
                <c:pt idx="16">
                  <c:v>7394.76</c:v>
                </c:pt>
                <c:pt idx="17">
                  <c:v>7400.16</c:v>
                </c:pt>
                <c:pt idx="18">
                  <c:v>7394.61</c:v>
                </c:pt>
                <c:pt idx="19">
                  <c:v>7344.47</c:v>
                </c:pt>
                <c:pt idx="20">
                  <c:v>7331.12</c:v>
                </c:pt>
                <c:pt idx="21">
                  <c:v>7136.3</c:v>
                </c:pt>
                <c:pt idx="22">
                  <c:v>6924.32</c:v>
                </c:pt>
                <c:pt idx="23">
                  <c:v>6706.91</c:v>
                </c:pt>
                <c:pt idx="24">
                  <c:v>6653.65</c:v>
                </c:pt>
                <c:pt idx="25">
                  <c:v>6514.32</c:v>
                </c:pt>
                <c:pt idx="26">
                  <c:v>6333.29</c:v>
                </c:pt>
                <c:pt idx="27">
                  <c:v>6183.43</c:v>
                </c:pt>
                <c:pt idx="28">
                  <c:v>6012.58</c:v>
                </c:pt>
                <c:pt idx="29">
                  <c:v>5886.86</c:v>
                </c:pt>
                <c:pt idx="30">
                  <c:v>5576.23</c:v>
                </c:pt>
                <c:pt idx="31">
                  <c:v>5208.9399999999996</c:v>
                </c:pt>
                <c:pt idx="32">
                  <c:v>4885.05</c:v>
                </c:pt>
                <c:pt idx="33">
                  <c:v>4551.1000000000004</c:v>
                </c:pt>
                <c:pt idx="34">
                  <c:v>4439.37</c:v>
                </c:pt>
                <c:pt idx="35">
                  <c:v>4467.91</c:v>
                </c:pt>
                <c:pt idx="36">
                  <c:v>4683.13</c:v>
                </c:pt>
                <c:pt idx="37">
                  <c:v>4935.49</c:v>
                </c:pt>
                <c:pt idx="38">
                  <c:v>5117.78</c:v>
                </c:pt>
                <c:pt idx="39">
                  <c:v>5303.66</c:v>
                </c:pt>
                <c:pt idx="40">
                  <c:v>5316.74</c:v>
                </c:pt>
                <c:pt idx="41">
                  <c:v>4978.33</c:v>
                </c:pt>
                <c:pt idx="42">
                  <c:v>4610.5200000000004</c:v>
                </c:pt>
                <c:pt idx="43">
                  <c:v>4159.3</c:v>
                </c:pt>
                <c:pt idx="44">
                  <c:v>3605.46</c:v>
                </c:pt>
                <c:pt idx="45">
                  <c:v>3174.08</c:v>
                </c:pt>
                <c:pt idx="46">
                  <c:v>3001.72</c:v>
                </c:pt>
                <c:pt idx="47">
                  <c:v>2956.86</c:v>
                </c:pt>
                <c:pt idx="48">
                  <c:v>2976.78</c:v>
                </c:pt>
                <c:pt idx="49">
                  <c:v>2954.66</c:v>
                </c:pt>
                <c:pt idx="50">
                  <c:v>2922.89</c:v>
                </c:pt>
                <c:pt idx="51">
                  <c:v>2930.97</c:v>
                </c:pt>
                <c:pt idx="52">
                  <c:v>2953.08</c:v>
                </c:pt>
                <c:pt idx="53">
                  <c:v>3081.65</c:v>
                </c:pt>
                <c:pt idx="54">
                  <c:v>3254.49</c:v>
                </c:pt>
                <c:pt idx="55">
                  <c:v>3737.21</c:v>
                </c:pt>
                <c:pt idx="56">
                  <c:v>4544.6099999999997</c:v>
                </c:pt>
                <c:pt idx="57">
                  <c:v>5435.55</c:v>
                </c:pt>
                <c:pt idx="58">
                  <c:v>6348.36</c:v>
                </c:pt>
                <c:pt idx="59">
                  <c:v>6998.02</c:v>
                </c:pt>
                <c:pt idx="60">
                  <c:v>7255.17</c:v>
                </c:pt>
                <c:pt idx="61">
                  <c:v>7304.28</c:v>
                </c:pt>
                <c:pt idx="62">
                  <c:v>7304.57</c:v>
                </c:pt>
                <c:pt idx="63">
                  <c:v>7305.94</c:v>
                </c:pt>
                <c:pt idx="64">
                  <c:v>7345.75</c:v>
                </c:pt>
                <c:pt idx="65">
                  <c:v>7322.64</c:v>
                </c:pt>
                <c:pt idx="66">
                  <c:v>7337.44</c:v>
                </c:pt>
                <c:pt idx="67">
                  <c:v>7279.91</c:v>
                </c:pt>
                <c:pt idx="68">
                  <c:v>7283.77</c:v>
                </c:pt>
                <c:pt idx="69">
                  <c:v>7263.7</c:v>
                </c:pt>
                <c:pt idx="70">
                  <c:v>7253.23</c:v>
                </c:pt>
                <c:pt idx="71">
                  <c:v>7003.96</c:v>
                </c:pt>
                <c:pt idx="72">
                  <c:v>6735.58</c:v>
                </c:pt>
                <c:pt idx="73">
                  <c:v>6466.19</c:v>
                </c:pt>
                <c:pt idx="74">
                  <c:v>6103.18</c:v>
                </c:pt>
                <c:pt idx="75">
                  <c:v>5914.4</c:v>
                </c:pt>
                <c:pt idx="76">
                  <c:v>5907.53</c:v>
                </c:pt>
                <c:pt idx="77">
                  <c:v>5740.51</c:v>
                </c:pt>
                <c:pt idx="78">
                  <c:v>5590.23</c:v>
                </c:pt>
                <c:pt idx="79">
                  <c:v>5569.67</c:v>
                </c:pt>
                <c:pt idx="80">
                  <c:v>5769.39</c:v>
                </c:pt>
                <c:pt idx="81">
                  <c:v>5952.8</c:v>
                </c:pt>
                <c:pt idx="82">
                  <c:v>6074.21</c:v>
                </c:pt>
                <c:pt idx="83">
                  <c:v>6290</c:v>
                </c:pt>
                <c:pt idx="84">
                  <c:v>6564.67</c:v>
                </c:pt>
                <c:pt idx="85">
                  <c:v>6830.02</c:v>
                </c:pt>
                <c:pt idx="86">
                  <c:v>6744.1</c:v>
                </c:pt>
                <c:pt idx="87">
                  <c:v>5955.03</c:v>
                </c:pt>
                <c:pt idx="88">
                  <c:v>4894.42</c:v>
                </c:pt>
                <c:pt idx="89">
                  <c:v>4349.53</c:v>
                </c:pt>
                <c:pt idx="90">
                  <c:v>4108.16</c:v>
                </c:pt>
                <c:pt idx="91">
                  <c:v>3656.04</c:v>
                </c:pt>
                <c:pt idx="92">
                  <c:v>2964.61</c:v>
                </c:pt>
                <c:pt idx="93">
                  <c:v>2519.48</c:v>
                </c:pt>
                <c:pt idx="94">
                  <c:v>2448.65</c:v>
                </c:pt>
                <c:pt idx="95">
                  <c:v>2458.89</c:v>
                </c:pt>
                <c:pt idx="96">
                  <c:v>2389.2800000000002</c:v>
                </c:pt>
                <c:pt idx="97">
                  <c:v>2388.5500000000002</c:v>
                </c:pt>
                <c:pt idx="98">
                  <c:v>2374.46</c:v>
                </c:pt>
                <c:pt idx="99">
                  <c:v>2492.27</c:v>
                </c:pt>
                <c:pt idx="100">
                  <c:v>2708.77</c:v>
                </c:pt>
                <c:pt idx="101">
                  <c:v>3432.06</c:v>
                </c:pt>
                <c:pt idx="102">
                  <c:v>4114.53</c:v>
                </c:pt>
                <c:pt idx="103">
                  <c:v>4724.3100000000004</c:v>
                </c:pt>
                <c:pt idx="104">
                  <c:v>5543.33</c:v>
                </c:pt>
                <c:pt idx="105">
                  <c:v>6377.1</c:v>
                </c:pt>
                <c:pt idx="106">
                  <c:v>6798.69</c:v>
                </c:pt>
                <c:pt idx="107">
                  <c:v>6926.95</c:v>
                </c:pt>
                <c:pt idx="108">
                  <c:v>6945.25</c:v>
                </c:pt>
                <c:pt idx="109">
                  <c:v>6942.21</c:v>
                </c:pt>
                <c:pt idx="110">
                  <c:v>6938.83</c:v>
                </c:pt>
                <c:pt idx="111">
                  <c:v>6935.89</c:v>
                </c:pt>
                <c:pt idx="112">
                  <c:v>6948.12</c:v>
                </c:pt>
                <c:pt idx="113">
                  <c:v>6973.47</c:v>
                </c:pt>
                <c:pt idx="114">
                  <c:v>6949.76</c:v>
                </c:pt>
                <c:pt idx="115">
                  <c:v>6692.86</c:v>
                </c:pt>
                <c:pt idx="116">
                  <c:v>6625.97</c:v>
                </c:pt>
                <c:pt idx="117">
                  <c:v>6276.39</c:v>
                </c:pt>
                <c:pt idx="118">
                  <c:v>5983.07</c:v>
                </c:pt>
                <c:pt idx="119">
                  <c:v>5820.55</c:v>
                </c:pt>
                <c:pt idx="120">
                  <c:v>5517.03</c:v>
                </c:pt>
                <c:pt idx="121">
                  <c:v>5349.02</c:v>
                </c:pt>
                <c:pt idx="122">
                  <c:v>5143.7</c:v>
                </c:pt>
                <c:pt idx="123">
                  <c:v>4920.88</c:v>
                </c:pt>
                <c:pt idx="124">
                  <c:v>4781.75</c:v>
                </c:pt>
                <c:pt idx="125">
                  <c:v>4703</c:v>
                </c:pt>
                <c:pt idx="126">
                  <c:v>4627.54</c:v>
                </c:pt>
                <c:pt idx="127">
                  <c:v>4765.43</c:v>
                </c:pt>
                <c:pt idx="128">
                  <c:v>5265.24</c:v>
                </c:pt>
                <c:pt idx="129">
                  <c:v>5618.82</c:v>
                </c:pt>
                <c:pt idx="130">
                  <c:v>6309.23</c:v>
                </c:pt>
                <c:pt idx="131">
                  <c:v>6751.5</c:v>
                </c:pt>
                <c:pt idx="132">
                  <c:v>7123.99</c:v>
                </c:pt>
                <c:pt idx="133">
                  <c:v>7297.42</c:v>
                </c:pt>
                <c:pt idx="134">
                  <c:v>7328.85</c:v>
                </c:pt>
                <c:pt idx="135">
                  <c:v>6969.81</c:v>
                </c:pt>
                <c:pt idx="136">
                  <c:v>5979.68</c:v>
                </c:pt>
                <c:pt idx="137">
                  <c:v>5028.6499999999996</c:v>
                </c:pt>
                <c:pt idx="138">
                  <c:v>4242.24</c:v>
                </c:pt>
                <c:pt idx="139">
                  <c:v>3632.09</c:v>
                </c:pt>
                <c:pt idx="140">
                  <c:v>3455.68</c:v>
                </c:pt>
                <c:pt idx="141">
                  <c:v>3370.09</c:v>
                </c:pt>
                <c:pt idx="142">
                  <c:v>3416</c:v>
                </c:pt>
                <c:pt idx="143">
                  <c:v>3325.91</c:v>
                </c:pt>
                <c:pt idx="144">
                  <c:v>3347.89</c:v>
                </c:pt>
                <c:pt idx="145">
                  <c:v>3353.05</c:v>
                </c:pt>
                <c:pt idx="146">
                  <c:v>3321.31</c:v>
                </c:pt>
                <c:pt idx="147">
                  <c:v>3353.2</c:v>
                </c:pt>
                <c:pt idx="148">
                  <c:v>3396.13</c:v>
                </c:pt>
                <c:pt idx="149">
                  <c:v>3611.65</c:v>
                </c:pt>
                <c:pt idx="150">
                  <c:v>4298.8100000000004</c:v>
                </c:pt>
                <c:pt idx="151">
                  <c:v>5171.8599999999997</c:v>
                </c:pt>
                <c:pt idx="152">
                  <c:v>6325.23</c:v>
                </c:pt>
                <c:pt idx="153">
                  <c:v>7169.81</c:v>
                </c:pt>
                <c:pt idx="154">
                  <c:v>7371.24</c:v>
                </c:pt>
                <c:pt idx="155">
                  <c:v>7437.64</c:v>
                </c:pt>
                <c:pt idx="156">
                  <c:v>7437.2</c:v>
                </c:pt>
                <c:pt idx="157">
                  <c:v>7414.18</c:v>
                </c:pt>
                <c:pt idx="158">
                  <c:v>7423.35</c:v>
                </c:pt>
                <c:pt idx="159">
                  <c:v>7430.95</c:v>
                </c:pt>
                <c:pt idx="160">
                  <c:v>7436</c:v>
                </c:pt>
                <c:pt idx="161">
                  <c:v>7435.9</c:v>
                </c:pt>
                <c:pt idx="162">
                  <c:v>7432.86</c:v>
                </c:pt>
                <c:pt idx="163">
                  <c:v>7398.19</c:v>
                </c:pt>
                <c:pt idx="164">
                  <c:v>7405.01</c:v>
                </c:pt>
                <c:pt idx="165">
                  <c:v>7391.56</c:v>
                </c:pt>
                <c:pt idx="166">
                  <c:v>7296.79</c:v>
                </c:pt>
                <c:pt idx="167">
                  <c:v>7146.93</c:v>
                </c:pt>
                <c:pt idx="168">
                  <c:v>7147.07</c:v>
                </c:pt>
                <c:pt idx="169">
                  <c:v>7127.96</c:v>
                </c:pt>
                <c:pt idx="170">
                  <c:v>7094.64</c:v>
                </c:pt>
                <c:pt idx="171">
                  <c:v>6718.34</c:v>
                </c:pt>
                <c:pt idx="172">
                  <c:v>6540.19</c:v>
                </c:pt>
                <c:pt idx="173">
                  <c:v>6419.66</c:v>
                </c:pt>
                <c:pt idx="174">
                  <c:v>6256.13</c:v>
                </c:pt>
                <c:pt idx="175">
                  <c:v>6318.02</c:v>
                </c:pt>
                <c:pt idx="176">
                  <c:v>6334.44</c:v>
                </c:pt>
                <c:pt idx="177">
                  <c:v>6376.07</c:v>
                </c:pt>
                <c:pt idx="178">
                  <c:v>6874.18</c:v>
                </c:pt>
                <c:pt idx="179">
                  <c:v>7283</c:v>
                </c:pt>
                <c:pt idx="180">
                  <c:v>7400.33</c:v>
                </c:pt>
                <c:pt idx="181">
                  <c:v>7453.31</c:v>
                </c:pt>
                <c:pt idx="182">
                  <c:v>7456.8</c:v>
                </c:pt>
                <c:pt idx="183">
                  <c:v>7457.68</c:v>
                </c:pt>
                <c:pt idx="184">
                  <c:v>7406.16</c:v>
                </c:pt>
                <c:pt idx="185">
                  <c:v>7310.86</c:v>
                </c:pt>
                <c:pt idx="186">
                  <c:v>7183.54</c:v>
                </c:pt>
                <c:pt idx="187">
                  <c:v>7298.68</c:v>
                </c:pt>
                <c:pt idx="188">
                  <c:v>7071.56</c:v>
                </c:pt>
                <c:pt idx="189">
                  <c:v>6796.41</c:v>
                </c:pt>
                <c:pt idx="190">
                  <c:v>6706.88</c:v>
                </c:pt>
                <c:pt idx="191">
                  <c:v>6683.2</c:v>
                </c:pt>
                <c:pt idx="192">
                  <c:v>6809.4</c:v>
                </c:pt>
                <c:pt idx="193">
                  <c:v>6867.09</c:v>
                </c:pt>
                <c:pt idx="194">
                  <c:v>6861.4</c:v>
                </c:pt>
                <c:pt idx="195">
                  <c:v>6880.14</c:v>
                </c:pt>
                <c:pt idx="196">
                  <c:v>6908.09</c:v>
                </c:pt>
                <c:pt idx="197">
                  <c:v>6977.79</c:v>
                </c:pt>
                <c:pt idx="198">
                  <c:v>7024.53</c:v>
                </c:pt>
                <c:pt idx="199">
                  <c:v>7192.34</c:v>
                </c:pt>
                <c:pt idx="200">
                  <c:v>7361.76</c:v>
                </c:pt>
                <c:pt idx="201">
                  <c:v>7430.85</c:v>
                </c:pt>
                <c:pt idx="202">
                  <c:v>7425.79</c:v>
                </c:pt>
                <c:pt idx="203">
                  <c:v>7285.92</c:v>
                </c:pt>
                <c:pt idx="204">
                  <c:v>7043.9</c:v>
                </c:pt>
                <c:pt idx="205">
                  <c:v>7031.93</c:v>
                </c:pt>
                <c:pt idx="206">
                  <c:v>7010.03</c:v>
                </c:pt>
                <c:pt idx="207">
                  <c:v>6974.25</c:v>
                </c:pt>
                <c:pt idx="208">
                  <c:v>7001.03</c:v>
                </c:pt>
                <c:pt idx="209">
                  <c:v>6981.95</c:v>
                </c:pt>
                <c:pt idx="210">
                  <c:v>6969.56</c:v>
                </c:pt>
                <c:pt idx="211">
                  <c:v>6924.38</c:v>
                </c:pt>
                <c:pt idx="212">
                  <c:v>6895.02</c:v>
                </c:pt>
                <c:pt idx="213">
                  <c:v>6891.76</c:v>
                </c:pt>
                <c:pt idx="214">
                  <c:v>6848.61</c:v>
                </c:pt>
                <c:pt idx="215">
                  <c:v>6764.92</c:v>
                </c:pt>
                <c:pt idx="216">
                  <c:v>6589.13</c:v>
                </c:pt>
                <c:pt idx="217">
                  <c:v>6365.28</c:v>
                </c:pt>
                <c:pt idx="218">
                  <c:v>6234.07</c:v>
                </c:pt>
                <c:pt idx="219">
                  <c:v>6096.22</c:v>
                </c:pt>
                <c:pt idx="220">
                  <c:v>6098.62</c:v>
                </c:pt>
                <c:pt idx="221">
                  <c:v>5986.73</c:v>
                </c:pt>
                <c:pt idx="222">
                  <c:v>5813.57</c:v>
                </c:pt>
                <c:pt idx="223">
                  <c:v>5836.79</c:v>
                </c:pt>
                <c:pt idx="224">
                  <c:v>5783.17</c:v>
                </c:pt>
                <c:pt idx="225">
                  <c:v>5928.17</c:v>
                </c:pt>
                <c:pt idx="226">
                  <c:v>6183.11</c:v>
                </c:pt>
                <c:pt idx="227">
                  <c:v>6584.98</c:v>
                </c:pt>
                <c:pt idx="228">
                  <c:v>6800.91</c:v>
                </c:pt>
                <c:pt idx="229">
                  <c:v>6816.89</c:v>
                </c:pt>
                <c:pt idx="230">
                  <c:v>6875.66</c:v>
                </c:pt>
                <c:pt idx="231">
                  <c:v>6884.99</c:v>
                </c:pt>
                <c:pt idx="232">
                  <c:v>6740.14</c:v>
                </c:pt>
                <c:pt idx="233">
                  <c:v>6353.45</c:v>
                </c:pt>
                <c:pt idx="234">
                  <c:v>6027.26</c:v>
                </c:pt>
                <c:pt idx="235">
                  <c:v>5381.56</c:v>
                </c:pt>
                <c:pt idx="236">
                  <c:v>4791.59</c:v>
                </c:pt>
                <c:pt idx="237">
                  <c:v>4094.45</c:v>
                </c:pt>
                <c:pt idx="238">
                  <c:v>3594.12</c:v>
                </c:pt>
                <c:pt idx="239">
                  <c:v>3480.66</c:v>
                </c:pt>
                <c:pt idx="240">
                  <c:v>3401.49</c:v>
                </c:pt>
                <c:pt idx="241">
                  <c:v>3382.89</c:v>
                </c:pt>
                <c:pt idx="242">
                  <c:v>3391.47</c:v>
                </c:pt>
                <c:pt idx="243">
                  <c:v>3393.65</c:v>
                </c:pt>
                <c:pt idx="244">
                  <c:v>3576.46</c:v>
                </c:pt>
                <c:pt idx="245">
                  <c:v>3890.8</c:v>
                </c:pt>
                <c:pt idx="246">
                  <c:v>4338.79</c:v>
                </c:pt>
                <c:pt idx="247">
                  <c:v>5004.04</c:v>
                </c:pt>
                <c:pt idx="248">
                  <c:v>6023.8</c:v>
                </c:pt>
                <c:pt idx="249">
                  <c:v>6450.83</c:v>
                </c:pt>
                <c:pt idx="250">
                  <c:v>6796.95</c:v>
                </c:pt>
                <c:pt idx="251">
                  <c:v>6879</c:v>
                </c:pt>
                <c:pt idx="252">
                  <c:v>6902.17</c:v>
                </c:pt>
                <c:pt idx="253">
                  <c:v>6929.51</c:v>
                </c:pt>
                <c:pt idx="254">
                  <c:v>6949.18</c:v>
                </c:pt>
                <c:pt idx="255">
                  <c:v>6958.2</c:v>
                </c:pt>
                <c:pt idx="256">
                  <c:v>6928.49</c:v>
                </c:pt>
                <c:pt idx="257">
                  <c:v>6979.48</c:v>
                </c:pt>
                <c:pt idx="258">
                  <c:v>7052.77</c:v>
                </c:pt>
                <c:pt idx="259">
                  <c:v>7089.3</c:v>
                </c:pt>
                <c:pt idx="260">
                  <c:v>7103.07</c:v>
                </c:pt>
                <c:pt idx="261">
                  <c:v>7103.03</c:v>
                </c:pt>
                <c:pt idx="262">
                  <c:v>7075.44</c:v>
                </c:pt>
                <c:pt idx="263">
                  <c:v>6928.5</c:v>
                </c:pt>
                <c:pt idx="264">
                  <c:v>6704.77</c:v>
                </c:pt>
                <c:pt idx="265">
                  <c:v>6563.28</c:v>
                </c:pt>
                <c:pt idx="266">
                  <c:v>6593.27</c:v>
                </c:pt>
                <c:pt idx="267">
                  <c:v>6335.81</c:v>
                </c:pt>
                <c:pt idx="268">
                  <c:v>6186.98</c:v>
                </c:pt>
                <c:pt idx="269">
                  <c:v>6094.46</c:v>
                </c:pt>
                <c:pt idx="270">
                  <c:v>6042.81</c:v>
                </c:pt>
                <c:pt idx="271">
                  <c:v>6084.84</c:v>
                </c:pt>
                <c:pt idx="272">
                  <c:v>6235.52</c:v>
                </c:pt>
                <c:pt idx="273">
                  <c:v>6404.62</c:v>
                </c:pt>
                <c:pt idx="274">
                  <c:v>6728.24</c:v>
                </c:pt>
                <c:pt idx="275">
                  <c:v>7186.1</c:v>
                </c:pt>
                <c:pt idx="276">
                  <c:v>7720.06</c:v>
                </c:pt>
                <c:pt idx="277">
                  <c:v>7916.34</c:v>
                </c:pt>
                <c:pt idx="278">
                  <c:v>7991.77</c:v>
                </c:pt>
                <c:pt idx="279">
                  <c:v>7934.04</c:v>
                </c:pt>
                <c:pt idx="280">
                  <c:v>7701.28</c:v>
                </c:pt>
                <c:pt idx="281">
                  <c:v>7238.66</c:v>
                </c:pt>
                <c:pt idx="282">
                  <c:v>6365.08</c:v>
                </c:pt>
                <c:pt idx="283">
                  <c:v>5709.09</c:v>
                </c:pt>
                <c:pt idx="284">
                  <c:v>5334.09</c:v>
                </c:pt>
                <c:pt idx="285">
                  <c:v>4956.08</c:v>
                </c:pt>
                <c:pt idx="286">
                  <c:v>4581.97</c:v>
                </c:pt>
                <c:pt idx="287">
                  <c:v>4220.4799999999996</c:v>
                </c:pt>
                <c:pt idx="288">
                  <c:v>3998.16</c:v>
                </c:pt>
                <c:pt idx="289">
                  <c:v>4020.32</c:v>
                </c:pt>
                <c:pt idx="290">
                  <c:v>4073.91</c:v>
                </c:pt>
                <c:pt idx="291">
                  <c:v>4130.7700000000004</c:v>
                </c:pt>
                <c:pt idx="292">
                  <c:v>4290.54</c:v>
                </c:pt>
                <c:pt idx="293">
                  <c:v>4915.79</c:v>
                </c:pt>
                <c:pt idx="294">
                  <c:v>5674.82</c:v>
                </c:pt>
                <c:pt idx="295">
                  <c:v>6816.53</c:v>
                </c:pt>
                <c:pt idx="296">
                  <c:v>7710.41</c:v>
                </c:pt>
                <c:pt idx="297">
                  <c:v>7965.6</c:v>
                </c:pt>
                <c:pt idx="298">
                  <c:v>7969.07</c:v>
                </c:pt>
                <c:pt idx="299">
                  <c:v>7997.94</c:v>
                </c:pt>
                <c:pt idx="300">
                  <c:v>8078.78</c:v>
                </c:pt>
                <c:pt idx="301">
                  <c:v>8130.66</c:v>
                </c:pt>
                <c:pt idx="302">
                  <c:v>8129.35</c:v>
                </c:pt>
                <c:pt idx="303">
                  <c:v>8134.41</c:v>
                </c:pt>
                <c:pt idx="304">
                  <c:v>8147.78</c:v>
                </c:pt>
                <c:pt idx="305">
                  <c:v>8145.84</c:v>
                </c:pt>
                <c:pt idx="306">
                  <c:v>8129.83</c:v>
                </c:pt>
                <c:pt idx="307">
                  <c:v>8061.09</c:v>
                </c:pt>
                <c:pt idx="308">
                  <c:v>8073.74</c:v>
                </c:pt>
                <c:pt idx="309">
                  <c:v>8119.62</c:v>
                </c:pt>
                <c:pt idx="310">
                  <c:v>8122.02</c:v>
                </c:pt>
                <c:pt idx="311">
                  <c:v>8067.67</c:v>
                </c:pt>
                <c:pt idx="312">
                  <c:v>7973.44</c:v>
                </c:pt>
                <c:pt idx="313">
                  <c:v>7814.07</c:v>
                </c:pt>
                <c:pt idx="314">
                  <c:v>7627.58</c:v>
                </c:pt>
                <c:pt idx="315">
                  <c:v>7425.33</c:v>
                </c:pt>
                <c:pt idx="316">
                  <c:v>7290</c:v>
                </c:pt>
                <c:pt idx="317">
                  <c:v>7203.53</c:v>
                </c:pt>
                <c:pt idx="318">
                  <c:v>7227.16</c:v>
                </c:pt>
                <c:pt idx="319">
                  <c:v>7270.43</c:v>
                </c:pt>
                <c:pt idx="320">
                  <c:v>7289.57</c:v>
                </c:pt>
                <c:pt idx="321">
                  <c:v>7449.21</c:v>
                </c:pt>
                <c:pt idx="322">
                  <c:v>7844.03</c:v>
                </c:pt>
                <c:pt idx="323">
                  <c:v>8092.69</c:v>
                </c:pt>
                <c:pt idx="324">
                  <c:v>8143.84</c:v>
                </c:pt>
                <c:pt idx="325">
                  <c:v>8100.52</c:v>
                </c:pt>
                <c:pt idx="326">
                  <c:v>8064.88</c:v>
                </c:pt>
                <c:pt idx="327">
                  <c:v>8133.81</c:v>
                </c:pt>
                <c:pt idx="328">
                  <c:v>8086.29</c:v>
                </c:pt>
                <c:pt idx="329">
                  <c:v>7942.53</c:v>
                </c:pt>
                <c:pt idx="330">
                  <c:v>7744.28</c:v>
                </c:pt>
                <c:pt idx="331">
                  <c:v>7298.85</c:v>
                </c:pt>
                <c:pt idx="332">
                  <c:v>6846.27</c:v>
                </c:pt>
                <c:pt idx="333">
                  <c:v>6486.45</c:v>
                </c:pt>
                <c:pt idx="334">
                  <c:v>5928.26</c:v>
                </c:pt>
                <c:pt idx="335">
                  <c:v>5705.43</c:v>
                </c:pt>
                <c:pt idx="336">
                  <c:v>5653.77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3-0A45-9E1A-2B5F15816A8C}"/>
            </c:ext>
          </c:extLst>
        </c:ser>
        <c:ser>
          <c:idx val="1"/>
          <c:order val="1"/>
          <c:tx>
            <c:strRef>
              <c:f>[1]Prices!$G$1</c:f>
              <c:strCache>
                <c:ptCount val="1"/>
                <c:pt idx="0">
                  <c:v>Bioenergy (Biomass) -  MW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[1]Prices!$G$2:$G$338</c:f>
              <c:numCache>
                <c:formatCode>General</c:formatCode>
                <c:ptCount val="337"/>
                <c:pt idx="0">
                  <c:v>28.92</c:v>
                </c:pt>
                <c:pt idx="1">
                  <c:v>29.64</c:v>
                </c:pt>
                <c:pt idx="2">
                  <c:v>20.71</c:v>
                </c:pt>
                <c:pt idx="3">
                  <c:v>11.93</c:v>
                </c:pt>
                <c:pt idx="4">
                  <c:v>11.22</c:v>
                </c:pt>
                <c:pt idx="5">
                  <c:v>12.25</c:v>
                </c:pt>
                <c:pt idx="6">
                  <c:v>11.73</c:v>
                </c:pt>
                <c:pt idx="7">
                  <c:v>13.43</c:v>
                </c:pt>
                <c:pt idx="8">
                  <c:v>1.38</c:v>
                </c:pt>
                <c:pt idx="9">
                  <c:v>-0.54</c:v>
                </c:pt>
                <c:pt idx="10">
                  <c:v>-1.78</c:v>
                </c:pt>
                <c:pt idx="11">
                  <c:v>-1.23</c:v>
                </c:pt>
                <c:pt idx="12">
                  <c:v>-0.77</c:v>
                </c:pt>
                <c:pt idx="13">
                  <c:v>-0.91</c:v>
                </c:pt>
                <c:pt idx="14">
                  <c:v>-0.89</c:v>
                </c:pt>
                <c:pt idx="15">
                  <c:v>-0.47</c:v>
                </c:pt>
                <c:pt idx="16">
                  <c:v>-0.82</c:v>
                </c:pt>
                <c:pt idx="17">
                  <c:v>-1.1000000000000001</c:v>
                </c:pt>
                <c:pt idx="18">
                  <c:v>-0.79</c:v>
                </c:pt>
                <c:pt idx="19">
                  <c:v>-0.79</c:v>
                </c:pt>
                <c:pt idx="20">
                  <c:v>-0.99</c:v>
                </c:pt>
                <c:pt idx="21">
                  <c:v>-0.71</c:v>
                </c:pt>
                <c:pt idx="22">
                  <c:v>-1.29</c:v>
                </c:pt>
                <c:pt idx="23">
                  <c:v>-1.49</c:v>
                </c:pt>
                <c:pt idx="24">
                  <c:v>-0.83</c:v>
                </c:pt>
                <c:pt idx="25">
                  <c:v>-0.99</c:v>
                </c:pt>
                <c:pt idx="26">
                  <c:v>-0.74</c:v>
                </c:pt>
                <c:pt idx="27">
                  <c:v>-0.75</c:v>
                </c:pt>
                <c:pt idx="28">
                  <c:v>-0.76</c:v>
                </c:pt>
                <c:pt idx="29">
                  <c:v>-0.85</c:v>
                </c:pt>
                <c:pt idx="30">
                  <c:v>-0.73</c:v>
                </c:pt>
                <c:pt idx="31">
                  <c:v>-1.29</c:v>
                </c:pt>
                <c:pt idx="32">
                  <c:v>-0.95</c:v>
                </c:pt>
                <c:pt idx="33">
                  <c:v>-0.84</c:v>
                </c:pt>
                <c:pt idx="34">
                  <c:v>-1.22</c:v>
                </c:pt>
                <c:pt idx="35">
                  <c:v>-1.65</c:v>
                </c:pt>
                <c:pt idx="36">
                  <c:v>-0.77</c:v>
                </c:pt>
                <c:pt idx="37">
                  <c:v>-0.84</c:v>
                </c:pt>
                <c:pt idx="38">
                  <c:v>-0.57999999999999996</c:v>
                </c:pt>
                <c:pt idx="39">
                  <c:v>-0.16</c:v>
                </c:pt>
                <c:pt idx="40">
                  <c:v>-0.73</c:v>
                </c:pt>
                <c:pt idx="41">
                  <c:v>-0.99</c:v>
                </c:pt>
                <c:pt idx="42">
                  <c:v>-1.86</c:v>
                </c:pt>
                <c:pt idx="43">
                  <c:v>-4.28</c:v>
                </c:pt>
                <c:pt idx="44">
                  <c:v>-5.28</c:v>
                </c:pt>
                <c:pt idx="45">
                  <c:v>-2.37</c:v>
                </c:pt>
                <c:pt idx="46">
                  <c:v>1.53</c:v>
                </c:pt>
                <c:pt idx="47">
                  <c:v>1.76</c:v>
                </c:pt>
                <c:pt idx="48">
                  <c:v>2.52</c:v>
                </c:pt>
                <c:pt idx="49">
                  <c:v>8.02</c:v>
                </c:pt>
                <c:pt idx="50">
                  <c:v>8.64</c:v>
                </c:pt>
                <c:pt idx="51">
                  <c:v>9.1</c:v>
                </c:pt>
                <c:pt idx="52">
                  <c:v>8.36</c:v>
                </c:pt>
                <c:pt idx="53">
                  <c:v>8.32</c:v>
                </c:pt>
                <c:pt idx="54">
                  <c:v>9.65</c:v>
                </c:pt>
                <c:pt idx="55">
                  <c:v>5.32</c:v>
                </c:pt>
                <c:pt idx="56">
                  <c:v>1.41</c:v>
                </c:pt>
                <c:pt idx="57">
                  <c:v>-1.76</c:v>
                </c:pt>
                <c:pt idx="58">
                  <c:v>-1.57</c:v>
                </c:pt>
                <c:pt idx="59">
                  <c:v>-1.22</c:v>
                </c:pt>
                <c:pt idx="60">
                  <c:v>-0.99</c:v>
                </c:pt>
                <c:pt idx="61">
                  <c:v>-0.62</c:v>
                </c:pt>
                <c:pt idx="62">
                  <c:v>-0.75</c:v>
                </c:pt>
                <c:pt idx="63">
                  <c:v>-1.31</c:v>
                </c:pt>
                <c:pt idx="64">
                  <c:v>-0.97</c:v>
                </c:pt>
                <c:pt idx="65">
                  <c:v>-1.25</c:v>
                </c:pt>
                <c:pt idx="66">
                  <c:v>-1.28</c:v>
                </c:pt>
                <c:pt idx="67">
                  <c:v>-1.21</c:v>
                </c:pt>
                <c:pt idx="68">
                  <c:v>-1.43</c:v>
                </c:pt>
                <c:pt idx="69">
                  <c:v>-1.1299999999999999</c:v>
                </c:pt>
                <c:pt idx="70">
                  <c:v>-1.45</c:v>
                </c:pt>
                <c:pt idx="71">
                  <c:v>-1.01</c:v>
                </c:pt>
                <c:pt idx="72">
                  <c:v>-1.24</c:v>
                </c:pt>
                <c:pt idx="73">
                  <c:v>-3.77</c:v>
                </c:pt>
                <c:pt idx="74">
                  <c:v>-1.63</c:v>
                </c:pt>
                <c:pt idx="75">
                  <c:v>-1.05</c:v>
                </c:pt>
                <c:pt idx="76">
                  <c:v>-1.07</c:v>
                </c:pt>
                <c:pt idx="77">
                  <c:v>-2.63</c:v>
                </c:pt>
                <c:pt idx="78">
                  <c:v>-0.85</c:v>
                </c:pt>
                <c:pt idx="79">
                  <c:v>-1.02</c:v>
                </c:pt>
                <c:pt idx="80">
                  <c:v>-1.77</c:v>
                </c:pt>
                <c:pt idx="81">
                  <c:v>-0.21</c:v>
                </c:pt>
                <c:pt idx="82">
                  <c:v>-0.14000000000000001</c:v>
                </c:pt>
                <c:pt idx="83">
                  <c:v>-2.2200000000000002</c:v>
                </c:pt>
                <c:pt idx="84">
                  <c:v>-0.64</c:v>
                </c:pt>
                <c:pt idx="85">
                  <c:v>-0.47</c:v>
                </c:pt>
                <c:pt idx="86">
                  <c:v>-1.1599999999999999</c:v>
                </c:pt>
                <c:pt idx="87">
                  <c:v>-0.05</c:v>
                </c:pt>
                <c:pt idx="88">
                  <c:v>-0.27</c:v>
                </c:pt>
                <c:pt idx="89">
                  <c:v>0.14000000000000001</c:v>
                </c:pt>
                <c:pt idx="90">
                  <c:v>9.33</c:v>
                </c:pt>
                <c:pt idx="91">
                  <c:v>9.5399999999999991</c:v>
                </c:pt>
                <c:pt idx="92">
                  <c:v>9.11</c:v>
                </c:pt>
                <c:pt idx="93">
                  <c:v>7.68</c:v>
                </c:pt>
                <c:pt idx="94">
                  <c:v>4.12</c:v>
                </c:pt>
                <c:pt idx="95">
                  <c:v>1.95</c:v>
                </c:pt>
                <c:pt idx="96">
                  <c:v>0.11</c:v>
                </c:pt>
                <c:pt idx="97">
                  <c:v>-0.12</c:v>
                </c:pt>
                <c:pt idx="98">
                  <c:v>-0.39</c:v>
                </c:pt>
                <c:pt idx="99">
                  <c:v>-0.02</c:v>
                </c:pt>
                <c:pt idx="100">
                  <c:v>-0.12</c:v>
                </c:pt>
                <c:pt idx="101">
                  <c:v>-0.49</c:v>
                </c:pt>
                <c:pt idx="102">
                  <c:v>0.55000000000000004</c:v>
                </c:pt>
                <c:pt idx="103">
                  <c:v>7.25</c:v>
                </c:pt>
                <c:pt idx="104">
                  <c:v>3.33</c:v>
                </c:pt>
                <c:pt idx="105">
                  <c:v>-1.0900000000000001</c:v>
                </c:pt>
                <c:pt idx="106">
                  <c:v>-2.9</c:v>
                </c:pt>
                <c:pt idx="107">
                  <c:v>-3.66</c:v>
                </c:pt>
                <c:pt idx="108">
                  <c:v>-2.25</c:v>
                </c:pt>
                <c:pt idx="109">
                  <c:v>-2.2599999999999998</c:v>
                </c:pt>
                <c:pt idx="110">
                  <c:v>-2.15</c:v>
                </c:pt>
                <c:pt idx="111">
                  <c:v>-0.85</c:v>
                </c:pt>
                <c:pt idx="112">
                  <c:v>-0.95</c:v>
                </c:pt>
                <c:pt idx="113">
                  <c:v>-1.49</c:v>
                </c:pt>
                <c:pt idx="114">
                  <c:v>-0.97</c:v>
                </c:pt>
                <c:pt idx="115">
                  <c:v>-0.57999999999999996</c:v>
                </c:pt>
                <c:pt idx="116">
                  <c:v>-0.85</c:v>
                </c:pt>
                <c:pt idx="117">
                  <c:v>1.53</c:v>
                </c:pt>
                <c:pt idx="118">
                  <c:v>2.4</c:v>
                </c:pt>
                <c:pt idx="119">
                  <c:v>1.32</c:v>
                </c:pt>
                <c:pt idx="120">
                  <c:v>-0.23</c:v>
                </c:pt>
                <c:pt idx="121">
                  <c:v>0.21</c:v>
                </c:pt>
                <c:pt idx="122">
                  <c:v>0.69</c:v>
                </c:pt>
                <c:pt idx="123">
                  <c:v>0.38</c:v>
                </c:pt>
                <c:pt idx="124">
                  <c:v>0.89</c:v>
                </c:pt>
                <c:pt idx="125">
                  <c:v>-0.04</c:v>
                </c:pt>
                <c:pt idx="126">
                  <c:v>-0.24</c:v>
                </c:pt>
                <c:pt idx="127">
                  <c:v>-1.26</c:v>
                </c:pt>
                <c:pt idx="128">
                  <c:v>-0.54</c:v>
                </c:pt>
                <c:pt idx="129">
                  <c:v>0.56999999999999995</c:v>
                </c:pt>
                <c:pt idx="130">
                  <c:v>-0.28999999999999998</c:v>
                </c:pt>
                <c:pt idx="131">
                  <c:v>-1.1299999999999999</c:v>
                </c:pt>
                <c:pt idx="132">
                  <c:v>-3.58</c:v>
                </c:pt>
                <c:pt idx="133">
                  <c:v>-1.92</c:v>
                </c:pt>
                <c:pt idx="134">
                  <c:v>-3.31</c:v>
                </c:pt>
                <c:pt idx="135">
                  <c:v>-3.44</c:v>
                </c:pt>
                <c:pt idx="136">
                  <c:v>-3.45</c:v>
                </c:pt>
                <c:pt idx="137">
                  <c:v>0.96</c:v>
                </c:pt>
                <c:pt idx="138">
                  <c:v>11.53</c:v>
                </c:pt>
                <c:pt idx="139">
                  <c:v>13.54</c:v>
                </c:pt>
                <c:pt idx="140">
                  <c:v>13.92</c:v>
                </c:pt>
                <c:pt idx="141">
                  <c:v>13.54</c:v>
                </c:pt>
                <c:pt idx="142">
                  <c:v>13.34</c:v>
                </c:pt>
                <c:pt idx="143">
                  <c:v>9.8000000000000007</c:v>
                </c:pt>
                <c:pt idx="144">
                  <c:v>7.17</c:v>
                </c:pt>
                <c:pt idx="145">
                  <c:v>6.59</c:v>
                </c:pt>
                <c:pt idx="146">
                  <c:v>6.74</c:v>
                </c:pt>
                <c:pt idx="147">
                  <c:v>6.09</c:v>
                </c:pt>
                <c:pt idx="148">
                  <c:v>6.7</c:v>
                </c:pt>
                <c:pt idx="149">
                  <c:v>6.89</c:v>
                </c:pt>
                <c:pt idx="150">
                  <c:v>8.69</c:v>
                </c:pt>
                <c:pt idx="151">
                  <c:v>0.46</c:v>
                </c:pt>
                <c:pt idx="152">
                  <c:v>-1.73</c:v>
                </c:pt>
                <c:pt idx="153">
                  <c:v>-1.71</c:v>
                </c:pt>
                <c:pt idx="154">
                  <c:v>-1.51</c:v>
                </c:pt>
                <c:pt idx="155">
                  <c:v>-1.55</c:v>
                </c:pt>
                <c:pt idx="156">
                  <c:v>-1.6</c:v>
                </c:pt>
                <c:pt idx="157">
                  <c:v>-1.92</c:v>
                </c:pt>
                <c:pt idx="158">
                  <c:v>-1.74</c:v>
                </c:pt>
                <c:pt idx="159">
                  <c:v>-2.23</c:v>
                </c:pt>
                <c:pt idx="160">
                  <c:v>-0.23</c:v>
                </c:pt>
                <c:pt idx="161">
                  <c:v>-0.18</c:v>
                </c:pt>
                <c:pt idx="162">
                  <c:v>-0.37</c:v>
                </c:pt>
                <c:pt idx="163">
                  <c:v>0.05</c:v>
                </c:pt>
                <c:pt idx="164">
                  <c:v>-0.48</c:v>
                </c:pt>
                <c:pt idx="165">
                  <c:v>-0.56000000000000005</c:v>
                </c:pt>
                <c:pt idx="166">
                  <c:v>-0.33</c:v>
                </c:pt>
                <c:pt idx="167">
                  <c:v>-0.41</c:v>
                </c:pt>
                <c:pt idx="168">
                  <c:v>-0.94</c:v>
                </c:pt>
                <c:pt idx="169">
                  <c:v>-0.92</c:v>
                </c:pt>
                <c:pt idx="170">
                  <c:v>-0.83</c:v>
                </c:pt>
                <c:pt idx="171">
                  <c:v>-0.88</c:v>
                </c:pt>
                <c:pt idx="172">
                  <c:v>-0.84</c:v>
                </c:pt>
                <c:pt idx="173">
                  <c:v>-0.62</c:v>
                </c:pt>
                <c:pt idx="174">
                  <c:v>-0.88</c:v>
                </c:pt>
                <c:pt idx="175">
                  <c:v>-0.7</c:v>
                </c:pt>
                <c:pt idx="176">
                  <c:v>-0.88</c:v>
                </c:pt>
                <c:pt idx="177">
                  <c:v>-0.74</c:v>
                </c:pt>
                <c:pt idx="178">
                  <c:v>-0.11</c:v>
                </c:pt>
                <c:pt idx="179">
                  <c:v>-0.3</c:v>
                </c:pt>
                <c:pt idx="180">
                  <c:v>-2.27</c:v>
                </c:pt>
                <c:pt idx="181">
                  <c:v>-1.19</c:v>
                </c:pt>
                <c:pt idx="182">
                  <c:v>-0.82</c:v>
                </c:pt>
                <c:pt idx="183">
                  <c:v>-0.18</c:v>
                </c:pt>
                <c:pt idx="184">
                  <c:v>-2.0099999999999998</c:v>
                </c:pt>
                <c:pt idx="185">
                  <c:v>-3.12</c:v>
                </c:pt>
                <c:pt idx="186">
                  <c:v>4.5</c:v>
                </c:pt>
                <c:pt idx="187">
                  <c:v>10.39</c:v>
                </c:pt>
                <c:pt idx="188">
                  <c:v>13.03</c:v>
                </c:pt>
                <c:pt idx="189">
                  <c:v>10.81</c:v>
                </c:pt>
                <c:pt idx="190">
                  <c:v>8.76</c:v>
                </c:pt>
                <c:pt idx="191">
                  <c:v>10.55</c:v>
                </c:pt>
                <c:pt idx="192">
                  <c:v>11.8</c:v>
                </c:pt>
                <c:pt idx="193">
                  <c:v>10.96</c:v>
                </c:pt>
                <c:pt idx="194">
                  <c:v>8.0399999999999991</c:v>
                </c:pt>
                <c:pt idx="195">
                  <c:v>8.73</c:v>
                </c:pt>
                <c:pt idx="196">
                  <c:v>8.48</c:v>
                </c:pt>
                <c:pt idx="197">
                  <c:v>8.2899999999999991</c:v>
                </c:pt>
                <c:pt idx="198">
                  <c:v>8.23</c:v>
                </c:pt>
                <c:pt idx="199">
                  <c:v>5.2</c:v>
                </c:pt>
                <c:pt idx="200">
                  <c:v>-2.56</c:v>
                </c:pt>
                <c:pt idx="201">
                  <c:v>-1.78</c:v>
                </c:pt>
                <c:pt idx="202">
                  <c:v>-2.58</c:v>
                </c:pt>
                <c:pt idx="203">
                  <c:v>-2.46</c:v>
                </c:pt>
                <c:pt idx="204">
                  <c:v>-1.97</c:v>
                </c:pt>
                <c:pt idx="205">
                  <c:v>-2.2599999999999998</c:v>
                </c:pt>
                <c:pt idx="206">
                  <c:v>-1.56</c:v>
                </c:pt>
                <c:pt idx="207">
                  <c:v>-2.63</c:v>
                </c:pt>
                <c:pt idx="208">
                  <c:v>-2.11</c:v>
                </c:pt>
                <c:pt idx="209">
                  <c:v>-2.66</c:v>
                </c:pt>
                <c:pt idx="210">
                  <c:v>-2.46</c:v>
                </c:pt>
                <c:pt idx="211">
                  <c:v>-1.59</c:v>
                </c:pt>
                <c:pt idx="212">
                  <c:v>-2.08</c:v>
                </c:pt>
                <c:pt idx="213">
                  <c:v>-1.45</c:v>
                </c:pt>
                <c:pt idx="214">
                  <c:v>-2.06</c:v>
                </c:pt>
                <c:pt idx="215">
                  <c:v>-2.4500000000000002</c:v>
                </c:pt>
                <c:pt idx="216">
                  <c:v>-0.92</c:v>
                </c:pt>
                <c:pt idx="217">
                  <c:v>-0.75</c:v>
                </c:pt>
                <c:pt idx="218">
                  <c:v>-2.37</c:v>
                </c:pt>
                <c:pt idx="219">
                  <c:v>-4.2699999999999996</c:v>
                </c:pt>
                <c:pt idx="220">
                  <c:v>-4.49</c:v>
                </c:pt>
                <c:pt idx="221">
                  <c:v>-4.3600000000000003</c:v>
                </c:pt>
                <c:pt idx="222">
                  <c:v>-4.25</c:v>
                </c:pt>
                <c:pt idx="223">
                  <c:v>5.95</c:v>
                </c:pt>
                <c:pt idx="224">
                  <c:v>21.02</c:v>
                </c:pt>
                <c:pt idx="225">
                  <c:v>20.59</c:v>
                </c:pt>
                <c:pt idx="226">
                  <c:v>20.440000000000001</c:v>
                </c:pt>
                <c:pt idx="227">
                  <c:v>21.97</c:v>
                </c:pt>
                <c:pt idx="228">
                  <c:v>22.15</c:v>
                </c:pt>
                <c:pt idx="229">
                  <c:v>23.93</c:v>
                </c:pt>
                <c:pt idx="230">
                  <c:v>26.83</c:v>
                </c:pt>
                <c:pt idx="231">
                  <c:v>28.03</c:v>
                </c:pt>
                <c:pt idx="232">
                  <c:v>28.17</c:v>
                </c:pt>
                <c:pt idx="233">
                  <c:v>26.62</c:v>
                </c:pt>
                <c:pt idx="234">
                  <c:v>7.14</c:v>
                </c:pt>
                <c:pt idx="235">
                  <c:v>-0.23</c:v>
                </c:pt>
                <c:pt idx="236">
                  <c:v>-0.13</c:v>
                </c:pt>
                <c:pt idx="237">
                  <c:v>-0.03</c:v>
                </c:pt>
                <c:pt idx="238">
                  <c:v>-0.05</c:v>
                </c:pt>
                <c:pt idx="239">
                  <c:v>-0.81</c:v>
                </c:pt>
                <c:pt idx="240">
                  <c:v>-0.89</c:v>
                </c:pt>
                <c:pt idx="241">
                  <c:v>5.98</c:v>
                </c:pt>
                <c:pt idx="242">
                  <c:v>17.32</c:v>
                </c:pt>
                <c:pt idx="243">
                  <c:v>16.13</c:v>
                </c:pt>
                <c:pt idx="244">
                  <c:v>14.86</c:v>
                </c:pt>
                <c:pt idx="245">
                  <c:v>14.82</c:v>
                </c:pt>
                <c:pt idx="246">
                  <c:v>15.96</c:v>
                </c:pt>
                <c:pt idx="247">
                  <c:v>15.33</c:v>
                </c:pt>
                <c:pt idx="248">
                  <c:v>5.85</c:v>
                </c:pt>
                <c:pt idx="249">
                  <c:v>-4.87</c:v>
                </c:pt>
                <c:pt idx="250">
                  <c:v>-6.02</c:v>
                </c:pt>
                <c:pt idx="251">
                  <c:v>-4.0199999999999996</c:v>
                </c:pt>
                <c:pt idx="252">
                  <c:v>-2.09</c:v>
                </c:pt>
                <c:pt idx="253">
                  <c:v>-2.2000000000000002</c:v>
                </c:pt>
                <c:pt idx="254">
                  <c:v>-0.41</c:v>
                </c:pt>
                <c:pt idx="255">
                  <c:v>-1.6</c:v>
                </c:pt>
                <c:pt idx="256">
                  <c:v>-1.25</c:v>
                </c:pt>
                <c:pt idx="257">
                  <c:v>-0.04</c:v>
                </c:pt>
                <c:pt idx="258">
                  <c:v>-1.1499999999999999</c:v>
                </c:pt>
                <c:pt idx="259">
                  <c:v>-0.57999999999999996</c:v>
                </c:pt>
                <c:pt idx="260">
                  <c:v>0.47</c:v>
                </c:pt>
                <c:pt idx="261">
                  <c:v>3.5</c:v>
                </c:pt>
                <c:pt idx="262">
                  <c:v>4.43</c:v>
                </c:pt>
                <c:pt idx="263">
                  <c:v>3.16</c:v>
                </c:pt>
                <c:pt idx="264">
                  <c:v>0.84</c:v>
                </c:pt>
                <c:pt idx="265">
                  <c:v>-1.02</c:v>
                </c:pt>
                <c:pt idx="266">
                  <c:v>-0.79</c:v>
                </c:pt>
                <c:pt idx="267">
                  <c:v>-1.03</c:v>
                </c:pt>
                <c:pt idx="268">
                  <c:v>-0.9</c:v>
                </c:pt>
                <c:pt idx="269">
                  <c:v>-0.59</c:v>
                </c:pt>
                <c:pt idx="270">
                  <c:v>-0.97</c:v>
                </c:pt>
                <c:pt idx="271">
                  <c:v>-0.6</c:v>
                </c:pt>
                <c:pt idx="272">
                  <c:v>-1.36</c:v>
                </c:pt>
                <c:pt idx="273">
                  <c:v>-0.95</c:v>
                </c:pt>
                <c:pt idx="274">
                  <c:v>-1.57</c:v>
                </c:pt>
                <c:pt idx="275">
                  <c:v>-0.95</c:v>
                </c:pt>
                <c:pt idx="276">
                  <c:v>0.36</c:v>
                </c:pt>
                <c:pt idx="277">
                  <c:v>3.42</c:v>
                </c:pt>
                <c:pt idx="278">
                  <c:v>1.62</c:v>
                </c:pt>
                <c:pt idx="279">
                  <c:v>-0.55000000000000004</c:v>
                </c:pt>
                <c:pt idx="280">
                  <c:v>1.71</c:v>
                </c:pt>
                <c:pt idx="281">
                  <c:v>12.53</c:v>
                </c:pt>
                <c:pt idx="282">
                  <c:v>10.27</c:v>
                </c:pt>
                <c:pt idx="283">
                  <c:v>5.35</c:v>
                </c:pt>
                <c:pt idx="284">
                  <c:v>6.48</c:v>
                </c:pt>
                <c:pt idx="285">
                  <c:v>9.8800000000000008</c:v>
                </c:pt>
                <c:pt idx="286">
                  <c:v>9.6</c:v>
                </c:pt>
                <c:pt idx="287">
                  <c:v>9.5399999999999991</c:v>
                </c:pt>
                <c:pt idx="288">
                  <c:v>9.18</c:v>
                </c:pt>
                <c:pt idx="289">
                  <c:v>8.73</c:v>
                </c:pt>
                <c:pt idx="290">
                  <c:v>8.4</c:v>
                </c:pt>
                <c:pt idx="291">
                  <c:v>8.9700000000000006</c:v>
                </c:pt>
                <c:pt idx="292">
                  <c:v>9.51</c:v>
                </c:pt>
                <c:pt idx="293">
                  <c:v>9.5399999999999991</c:v>
                </c:pt>
                <c:pt idx="294">
                  <c:v>10.43</c:v>
                </c:pt>
                <c:pt idx="295">
                  <c:v>9.0299999999999994</c:v>
                </c:pt>
                <c:pt idx="296">
                  <c:v>-0.04</c:v>
                </c:pt>
                <c:pt idx="297">
                  <c:v>-0.95</c:v>
                </c:pt>
                <c:pt idx="298">
                  <c:v>-0.15</c:v>
                </c:pt>
                <c:pt idx="299">
                  <c:v>0.25</c:v>
                </c:pt>
                <c:pt idx="300">
                  <c:v>-0.3</c:v>
                </c:pt>
                <c:pt idx="301">
                  <c:v>-0.02</c:v>
                </c:pt>
                <c:pt idx="302">
                  <c:v>-0.18</c:v>
                </c:pt>
                <c:pt idx="303">
                  <c:v>0.51</c:v>
                </c:pt>
                <c:pt idx="304">
                  <c:v>0.03</c:v>
                </c:pt>
                <c:pt idx="305">
                  <c:v>-0.2</c:v>
                </c:pt>
                <c:pt idx="306">
                  <c:v>0.27</c:v>
                </c:pt>
                <c:pt idx="307">
                  <c:v>-2.5499999999999998</c:v>
                </c:pt>
                <c:pt idx="308">
                  <c:v>-2.5099999999999998</c:v>
                </c:pt>
                <c:pt idx="309">
                  <c:v>-0.33</c:v>
                </c:pt>
                <c:pt idx="310">
                  <c:v>-0.5</c:v>
                </c:pt>
                <c:pt idx="311">
                  <c:v>-0.74</c:v>
                </c:pt>
                <c:pt idx="312">
                  <c:v>-2.65</c:v>
                </c:pt>
                <c:pt idx="313">
                  <c:v>-1.69</c:v>
                </c:pt>
                <c:pt idx="314">
                  <c:v>-1.04</c:v>
                </c:pt>
                <c:pt idx="315">
                  <c:v>-1.43</c:v>
                </c:pt>
                <c:pt idx="316">
                  <c:v>-2.1800000000000002</c:v>
                </c:pt>
                <c:pt idx="317">
                  <c:v>-2.29</c:v>
                </c:pt>
                <c:pt idx="318">
                  <c:v>-2.92</c:v>
                </c:pt>
                <c:pt idx="319">
                  <c:v>-2.83</c:v>
                </c:pt>
                <c:pt idx="320">
                  <c:v>-2.35</c:v>
                </c:pt>
                <c:pt idx="321">
                  <c:v>-3.22</c:v>
                </c:pt>
                <c:pt idx="322">
                  <c:v>-0.92</c:v>
                </c:pt>
                <c:pt idx="323">
                  <c:v>-1.32</c:v>
                </c:pt>
                <c:pt idx="324">
                  <c:v>0.45</c:v>
                </c:pt>
                <c:pt idx="325">
                  <c:v>-0.76</c:v>
                </c:pt>
                <c:pt idx="326">
                  <c:v>-0.59</c:v>
                </c:pt>
                <c:pt idx="327">
                  <c:v>-0.13</c:v>
                </c:pt>
                <c:pt idx="328">
                  <c:v>2.06</c:v>
                </c:pt>
                <c:pt idx="329">
                  <c:v>12.36</c:v>
                </c:pt>
                <c:pt idx="330">
                  <c:v>12.89</c:v>
                </c:pt>
                <c:pt idx="331">
                  <c:v>10.83</c:v>
                </c:pt>
                <c:pt idx="332">
                  <c:v>10.45</c:v>
                </c:pt>
                <c:pt idx="333">
                  <c:v>10.32</c:v>
                </c:pt>
                <c:pt idx="334">
                  <c:v>10.49</c:v>
                </c:pt>
                <c:pt idx="335">
                  <c:v>10.53</c:v>
                </c:pt>
                <c:pt idx="336">
                  <c:v>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3-0A45-9E1A-2B5F15816A8C}"/>
            </c:ext>
          </c:extLst>
        </c:ser>
        <c:ser>
          <c:idx val="2"/>
          <c:order val="2"/>
          <c:tx>
            <c:strRef>
              <c:f>[1]Prices!$H$1</c:f>
              <c:strCache>
                <c:ptCount val="1"/>
                <c:pt idx="0">
                  <c:v>Gas (CCGT) -  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[1]Prices!$H$2:$H$338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1.17</c:v>
                </c:pt>
                <c:pt idx="4">
                  <c:v>52.33</c:v>
                </c:pt>
                <c:pt idx="5">
                  <c:v>179.83</c:v>
                </c:pt>
                <c:pt idx="6">
                  <c:v>190</c:v>
                </c:pt>
                <c:pt idx="7">
                  <c:v>199.67</c:v>
                </c:pt>
                <c:pt idx="8">
                  <c:v>345.83</c:v>
                </c:pt>
                <c:pt idx="9">
                  <c:v>447.33</c:v>
                </c:pt>
                <c:pt idx="10">
                  <c:v>445.5</c:v>
                </c:pt>
                <c:pt idx="11">
                  <c:v>445.5</c:v>
                </c:pt>
                <c:pt idx="12">
                  <c:v>445.33</c:v>
                </c:pt>
                <c:pt idx="13">
                  <c:v>446</c:v>
                </c:pt>
                <c:pt idx="14">
                  <c:v>445.83</c:v>
                </c:pt>
                <c:pt idx="15">
                  <c:v>446</c:v>
                </c:pt>
                <c:pt idx="16">
                  <c:v>448.33</c:v>
                </c:pt>
                <c:pt idx="17">
                  <c:v>446.83</c:v>
                </c:pt>
                <c:pt idx="18">
                  <c:v>445.67</c:v>
                </c:pt>
                <c:pt idx="19">
                  <c:v>437.5</c:v>
                </c:pt>
                <c:pt idx="20">
                  <c:v>448.67</c:v>
                </c:pt>
                <c:pt idx="21">
                  <c:v>440.5</c:v>
                </c:pt>
                <c:pt idx="22">
                  <c:v>443</c:v>
                </c:pt>
                <c:pt idx="23">
                  <c:v>357.83</c:v>
                </c:pt>
                <c:pt idx="24">
                  <c:v>300.5</c:v>
                </c:pt>
                <c:pt idx="25">
                  <c:v>291.83</c:v>
                </c:pt>
                <c:pt idx="26">
                  <c:v>194.17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199</c:v>
                </c:pt>
                <c:pt idx="32">
                  <c:v>208.33</c:v>
                </c:pt>
                <c:pt idx="33">
                  <c:v>258.33</c:v>
                </c:pt>
                <c:pt idx="34">
                  <c:v>308</c:v>
                </c:pt>
                <c:pt idx="35">
                  <c:v>442.17</c:v>
                </c:pt>
                <c:pt idx="36">
                  <c:v>444.67</c:v>
                </c:pt>
                <c:pt idx="37">
                  <c:v>445.83</c:v>
                </c:pt>
                <c:pt idx="38">
                  <c:v>444.83</c:v>
                </c:pt>
                <c:pt idx="39">
                  <c:v>443.83</c:v>
                </c:pt>
                <c:pt idx="40">
                  <c:v>429.67</c:v>
                </c:pt>
                <c:pt idx="41">
                  <c:v>240</c:v>
                </c:pt>
                <c:pt idx="42">
                  <c:v>6.33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131</c:v>
                </c:pt>
                <c:pt idx="55">
                  <c:v>264.5</c:v>
                </c:pt>
                <c:pt idx="56">
                  <c:v>399.67</c:v>
                </c:pt>
                <c:pt idx="57">
                  <c:v>270.83</c:v>
                </c:pt>
                <c:pt idx="58">
                  <c:v>4</c:v>
                </c:pt>
                <c:pt idx="59">
                  <c:v>26.63</c:v>
                </c:pt>
                <c:pt idx="60">
                  <c:v>26.56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1.33</c:v>
                </c:pt>
                <c:pt idx="148">
                  <c:v>14.5</c:v>
                </c:pt>
                <c:pt idx="149">
                  <c:v>17.329999999999998</c:v>
                </c:pt>
                <c:pt idx="150">
                  <c:v>37</c:v>
                </c:pt>
                <c:pt idx="151">
                  <c:v>181.67</c:v>
                </c:pt>
                <c:pt idx="152">
                  <c:v>199.5</c:v>
                </c:pt>
                <c:pt idx="153">
                  <c:v>400</c:v>
                </c:pt>
                <c:pt idx="154">
                  <c:v>443.83</c:v>
                </c:pt>
                <c:pt idx="155">
                  <c:v>442.83</c:v>
                </c:pt>
                <c:pt idx="156">
                  <c:v>441.83</c:v>
                </c:pt>
                <c:pt idx="157">
                  <c:v>442.33</c:v>
                </c:pt>
                <c:pt idx="158">
                  <c:v>443.83</c:v>
                </c:pt>
                <c:pt idx="159">
                  <c:v>451.17</c:v>
                </c:pt>
                <c:pt idx="160">
                  <c:v>451.83</c:v>
                </c:pt>
                <c:pt idx="161">
                  <c:v>451.83</c:v>
                </c:pt>
                <c:pt idx="162">
                  <c:v>448.17</c:v>
                </c:pt>
                <c:pt idx="163">
                  <c:v>449.5</c:v>
                </c:pt>
                <c:pt idx="164">
                  <c:v>450.83</c:v>
                </c:pt>
                <c:pt idx="165">
                  <c:v>446.17</c:v>
                </c:pt>
                <c:pt idx="166">
                  <c:v>440</c:v>
                </c:pt>
                <c:pt idx="167">
                  <c:v>308.5</c:v>
                </c:pt>
                <c:pt idx="168">
                  <c:v>195.33</c:v>
                </c:pt>
                <c:pt idx="169">
                  <c:v>190</c:v>
                </c:pt>
                <c:pt idx="170">
                  <c:v>190.17</c:v>
                </c:pt>
                <c:pt idx="171">
                  <c:v>190.5</c:v>
                </c:pt>
                <c:pt idx="172">
                  <c:v>190.17</c:v>
                </c:pt>
                <c:pt idx="173">
                  <c:v>190.17</c:v>
                </c:pt>
                <c:pt idx="174">
                  <c:v>190.17</c:v>
                </c:pt>
                <c:pt idx="175">
                  <c:v>190.17</c:v>
                </c:pt>
                <c:pt idx="176">
                  <c:v>190.17</c:v>
                </c:pt>
                <c:pt idx="177">
                  <c:v>198.17</c:v>
                </c:pt>
                <c:pt idx="178">
                  <c:v>297.67</c:v>
                </c:pt>
                <c:pt idx="179">
                  <c:v>306.83</c:v>
                </c:pt>
                <c:pt idx="180">
                  <c:v>443.83</c:v>
                </c:pt>
                <c:pt idx="181">
                  <c:v>450</c:v>
                </c:pt>
                <c:pt idx="182">
                  <c:v>450</c:v>
                </c:pt>
                <c:pt idx="183">
                  <c:v>449.67</c:v>
                </c:pt>
                <c:pt idx="184">
                  <c:v>449.83</c:v>
                </c:pt>
                <c:pt idx="185">
                  <c:v>442.5</c:v>
                </c:pt>
                <c:pt idx="186">
                  <c:v>448.83</c:v>
                </c:pt>
                <c:pt idx="187">
                  <c:v>449.67</c:v>
                </c:pt>
                <c:pt idx="188">
                  <c:v>448.5</c:v>
                </c:pt>
                <c:pt idx="189">
                  <c:v>442.17</c:v>
                </c:pt>
                <c:pt idx="190">
                  <c:v>271.83</c:v>
                </c:pt>
                <c:pt idx="191">
                  <c:v>151.83000000000001</c:v>
                </c:pt>
                <c:pt idx="192">
                  <c:v>199.17</c:v>
                </c:pt>
                <c:pt idx="193">
                  <c:v>190.17</c:v>
                </c:pt>
                <c:pt idx="194">
                  <c:v>190</c:v>
                </c:pt>
                <c:pt idx="195">
                  <c:v>190.17</c:v>
                </c:pt>
                <c:pt idx="196">
                  <c:v>190.17</c:v>
                </c:pt>
                <c:pt idx="197">
                  <c:v>198.17</c:v>
                </c:pt>
                <c:pt idx="198">
                  <c:v>317.17</c:v>
                </c:pt>
                <c:pt idx="199">
                  <c:v>447.5</c:v>
                </c:pt>
                <c:pt idx="200">
                  <c:v>450</c:v>
                </c:pt>
                <c:pt idx="201">
                  <c:v>449.33</c:v>
                </c:pt>
                <c:pt idx="202">
                  <c:v>451.67</c:v>
                </c:pt>
                <c:pt idx="203">
                  <c:v>450.33</c:v>
                </c:pt>
                <c:pt idx="204">
                  <c:v>451.83</c:v>
                </c:pt>
                <c:pt idx="205">
                  <c:v>450.83</c:v>
                </c:pt>
                <c:pt idx="206">
                  <c:v>450.83</c:v>
                </c:pt>
                <c:pt idx="207">
                  <c:v>453</c:v>
                </c:pt>
                <c:pt idx="208">
                  <c:v>454.33</c:v>
                </c:pt>
                <c:pt idx="209">
                  <c:v>454.33</c:v>
                </c:pt>
                <c:pt idx="210">
                  <c:v>453</c:v>
                </c:pt>
                <c:pt idx="211">
                  <c:v>430.83</c:v>
                </c:pt>
                <c:pt idx="212">
                  <c:v>455</c:v>
                </c:pt>
                <c:pt idx="213">
                  <c:v>422.83</c:v>
                </c:pt>
                <c:pt idx="214">
                  <c:v>302.17</c:v>
                </c:pt>
                <c:pt idx="215">
                  <c:v>291</c:v>
                </c:pt>
                <c:pt idx="216">
                  <c:v>194</c:v>
                </c:pt>
                <c:pt idx="217">
                  <c:v>190</c:v>
                </c:pt>
                <c:pt idx="218">
                  <c:v>189.83</c:v>
                </c:pt>
                <c:pt idx="219">
                  <c:v>190</c:v>
                </c:pt>
                <c:pt idx="220">
                  <c:v>190.33</c:v>
                </c:pt>
                <c:pt idx="221">
                  <c:v>190</c:v>
                </c:pt>
                <c:pt idx="222">
                  <c:v>190</c:v>
                </c:pt>
                <c:pt idx="223">
                  <c:v>190.33</c:v>
                </c:pt>
                <c:pt idx="224">
                  <c:v>189.83</c:v>
                </c:pt>
                <c:pt idx="225">
                  <c:v>190.33</c:v>
                </c:pt>
                <c:pt idx="226">
                  <c:v>198.33</c:v>
                </c:pt>
                <c:pt idx="227">
                  <c:v>400.33</c:v>
                </c:pt>
                <c:pt idx="228">
                  <c:v>450.5</c:v>
                </c:pt>
                <c:pt idx="229">
                  <c:v>451</c:v>
                </c:pt>
                <c:pt idx="230">
                  <c:v>451.5</c:v>
                </c:pt>
                <c:pt idx="231">
                  <c:v>451.33</c:v>
                </c:pt>
                <c:pt idx="232">
                  <c:v>380.33</c:v>
                </c:pt>
                <c:pt idx="233">
                  <c:v>120.67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3.83</c:v>
                </c:pt>
                <c:pt idx="246">
                  <c:v>101.33</c:v>
                </c:pt>
                <c:pt idx="247">
                  <c:v>233.17</c:v>
                </c:pt>
                <c:pt idx="248">
                  <c:v>401.83</c:v>
                </c:pt>
                <c:pt idx="249">
                  <c:v>441.5</c:v>
                </c:pt>
                <c:pt idx="250">
                  <c:v>449</c:v>
                </c:pt>
                <c:pt idx="251">
                  <c:v>476.23</c:v>
                </c:pt>
                <c:pt idx="252">
                  <c:v>529.34</c:v>
                </c:pt>
                <c:pt idx="253">
                  <c:v>530.91999999999996</c:v>
                </c:pt>
                <c:pt idx="254">
                  <c:v>530.16999999999996</c:v>
                </c:pt>
                <c:pt idx="255">
                  <c:v>531.04999999999995</c:v>
                </c:pt>
                <c:pt idx="256">
                  <c:v>517.71</c:v>
                </c:pt>
                <c:pt idx="257">
                  <c:v>450</c:v>
                </c:pt>
                <c:pt idx="258">
                  <c:v>451.33</c:v>
                </c:pt>
                <c:pt idx="259">
                  <c:v>449.17</c:v>
                </c:pt>
                <c:pt idx="260">
                  <c:v>451.83</c:v>
                </c:pt>
                <c:pt idx="261">
                  <c:v>451.5</c:v>
                </c:pt>
                <c:pt idx="262">
                  <c:v>409.5</c:v>
                </c:pt>
                <c:pt idx="263">
                  <c:v>253.83</c:v>
                </c:pt>
                <c:pt idx="264">
                  <c:v>50.17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52.17</c:v>
                </c:pt>
                <c:pt idx="296">
                  <c:v>189.67</c:v>
                </c:pt>
                <c:pt idx="297">
                  <c:v>308.83</c:v>
                </c:pt>
                <c:pt idx="298">
                  <c:v>443.33</c:v>
                </c:pt>
                <c:pt idx="299">
                  <c:v>441.67</c:v>
                </c:pt>
                <c:pt idx="300">
                  <c:v>443.5</c:v>
                </c:pt>
                <c:pt idx="301">
                  <c:v>450.33</c:v>
                </c:pt>
                <c:pt idx="302">
                  <c:v>450.83</c:v>
                </c:pt>
                <c:pt idx="303">
                  <c:v>451.5</c:v>
                </c:pt>
                <c:pt idx="304">
                  <c:v>451.5</c:v>
                </c:pt>
                <c:pt idx="305">
                  <c:v>450.17</c:v>
                </c:pt>
                <c:pt idx="306">
                  <c:v>450.67</c:v>
                </c:pt>
                <c:pt idx="307">
                  <c:v>449.83</c:v>
                </c:pt>
                <c:pt idx="308">
                  <c:v>453.17</c:v>
                </c:pt>
                <c:pt idx="309">
                  <c:v>444.17</c:v>
                </c:pt>
                <c:pt idx="310">
                  <c:v>305.17</c:v>
                </c:pt>
                <c:pt idx="311">
                  <c:v>194.33</c:v>
                </c:pt>
                <c:pt idx="312">
                  <c:v>190</c:v>
                </c:pt>
                <c:pt idx="313">
                  <c:v>189.83</c:v>
                </c:pt>
                <c:pt idx="314">
                  <c:v>189.67</c:v>
                </c:pt>
                <c:pt idx="315">
                  <c:v>190</c:v>
                </c:pt>
                <c:pt idx="316">
                  <c:v>190.17</c:v>
                </c:pt>
                <c:pt idx="317">
                  <c:v>189.83</c:v>
                </c:pt>
                <c:pt idx="318">
                  <c:v>189.67</c:v>
                </c:pt>
                <c:pt idx="319">
                  <c:v>190</c:v>
                </c:pt>
                <c:pt idx="320">
                  <c:v>189.83</c:v>
                </c:pt>
                <c:pt idx="321">
                  <c:v>190.17</c:v>
                </c:pt>
                <c:pt idx="322">
                  <c:v>208.17</c:v>
                </c:pt>
                <c:pt idx="323">
                  <c:v>376.17</c:v>
                </c:pt>
                <c:pt idx="324">
                  <c:v>457.92</c:v>
                </c:pt>
                <c:pt idx="325">
                  <c:v>534.85</c:v>
                </c:pt>
                <c:pt idx="326">
                  <c:v>576.74</c:v>
                </c:pt>
                <c:pt idx="327">
                  <c:v>568.51</c:v>
                </c:pt>
                <c:pt idx="328">
                  <c:v>373.48</c:v>
                </c:pt>
                <c:pt idx="329">
                  <c:v>9.67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3-0A45-9E1A-2B5F15816A8C}"/>
            </c:ext>
          </c:extLst>
        </c:ser>
        <c:ser>
          <c:idx val="3"/>
          <c:order val="3"/>
          <c:tx>
            <c:strRef>
              <c:f>[1]Prices!$I$1</c:f>
              <c:strCache>
                <c:ptCount val="1"/>
                <c:pt idx="0">
                  <c:v>Gas (OCGT) -  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[1]Prices!$I$2:$I$338</c:f>
              <c:numCache>
                <c:formatCode>General</c:formatCode>
                <c:ptCount val="337"/>
                <c:pt idx="0">
                  <c:v>37.35</c:v>
                </c:pt>
                <c:pt idx="1">
                  <c:v>37.369999999999997</c:v>
                </c:pt>
                <c:pt idx="2">
                  <c:v>37.19</c:v>
                </c:pt>
                <c:pt idx="3">
                  <c:v>38.090000000000003</c:v>
                </c:pt>
                <c:pt idx="4">
                  <c:v>38.33</c:v>
                </c:pt>
                <c:pt idx="5">
                  <c:v>37.979999999999997</c:v>
                </c:pt>
                <c:pt idx="6">
                  <c:v>38.64</c:v>
                </c:pt>
                <c:pt idx="7">
                  <c:v>40.81</c:v>
                </c:pt>
                <c:pt idx="8">
                  <c:v>41.5</c:v>
                </c:pt>
                <c:pt idx="9">
                  <c:v>159.38</c:v>
                </c:pt>
                <c:pt idx="10">
                  <c:v>207.84</c:v>
                </c:pt>
                <c:pt idx="11">
                  <c:v>208.9</c:v>
                </c:pt>
                <c:pt idx="12">
                  <c:v>208.73</c:v>
                </c:pt>
                <c:pt idx="13">
                  <c:v>207.75</c:v>
                </c:pt>
                <c:pt idx="14">
                  <c:v>208.19</c:v>
                </c:pt>
                <c:pt idx="15">
                  <c:v>202.7</c:v>
                </c:pt>
                <c:pt idx="16">
                  <c:v>134.81</c:v>
                </c:pt>
                <c:pt idx="17">
                  <c:v>43.05</c:v>
                </c:pt>
                <c:pt idx="18">
                  <c:v>42.96</c:v>
                </c:pt>
                <c:pt idx="19">
                  <c:v>43.81</c:v>
                </c:pt>
                <c:pt idx="20">
                  <c:v>44.19</c:v>
                </c:pt>
                <c:pt idx="21">
                  <c:v>44.26</c:v>
                </c:pt>
                <c:pt idx="22">
                  <c:v>43.43</c:v>
                </c:pt>
                <c:pt idx="23">
                  <c:v>43.2</c:v>
                </c:pt>
                <c:pt idx="24">
                  <c:v>43.07</c:v>
                </c:pt>
                <c:pt idx="25">
                  <c:v>43.06</c:v>
                </c:pt>
                <c:pt idx="26">
                  <c:v>43.13</c:v>
                </c:pt>
                <c:pt idx="27">
                  <c:v>43.12</c:v>
                </c:pt>
                <c:pt idx="28">
                  <c:v>43.23</c:v>
                </c:pt>
                <c:pt idx="29">
                  <c:v>43.27</c:v>
                </c:pt>
                <c:pt idx="30">
                  <c:v>43.26</c:v>
                </c:pt>
                <c:pt idx="31">
                  <c:v>43.36</c:v>
                </c:pt>
                <c:pt idx="32">
                  <c:v>43.29</c:v>
                </c:pt>
                <c:pt idx="33">
                  <c:v>43.34</c:v>
                </c:pt>
                <c:pt idx="34">
                  <c:v>188.84</c:v>
                </c:pt>
                <c:pt idx="35">
                  <c:v>276.87</c:v>
                </c:pt>
                <c:pt idx="36">
                  <c:v>366.33</c:v>
                </c:pt>
                <c:pt idx="37">
                  <c:v>398.12</c:v>
                </c:pt>
                <c:pt idx="38">
                  <c:v>470.75</c:v>
                </c:pt>
                <c:pt idx="39">
                  <c:v>526.64</c:v>
                </c:pt>
                <c:pt idx="40">
                  <c:v>443.49</c:v>
                </c:pt>
                <c:pt idx="41">
                  <c:v>272.06</c:v>
                </c:pt>
                <c:pt idx="42">
                  <c:v>138.19999999999999</c:v>
                </c:pt>
                <c:pt idx="43">
                  <c:v>44.13</c:v>
                </c:pt>
                <c:pt idx="44">
                  <c:v>41.45</c:v>
                </c:pt>
                <c:pt idx="45">
                  <c:v>45.3</c:v>
                </c:pt>
                <c:pt idx="46">
                  <c:v>44.94</c:v>
                </c:pt>
                <c:pt idx="47">
                  <c:v>44.95</c:v>
                </c:pt>
                <c:pt idx="48">
                  <c:v>44.78</c:v>
                </c:pt>
                <c:pt idx="49">
                  <c:v>44.91</c:v>
                </c:pt>
                <c:pt idx="50">
                  <c:v>38.96</c:v>
                </c:pt>
                <c:pt idx="51">
                  <c:v>37.880000000000003</c:v>
                </c:pt>
                <c:pt idx="52">
                  <c:v>37.840000000000003</c:v>
                </c:pt>
                <c:pt idx="53">
                  <c:v>37.83</c:v>
                </c:pt>
                <c:pt idx="54">
                  <c:v>37.880000000000003</c:v>
                </c:pt>
                <c:pt idx="55">
                  <c:v>42.68</c:v>
                </c:pt>
                <c:pt idx="56">
                  <c:v>45.07</c:v>
                </c:pt>
                <c:pt idx="57">
                  <c:v>121.89</c:v>
                </c:pt>
                <c:pt idx="58">
                  <c:v>512.5</c:v>
                </c:pt>
                <c:pt idx="59">
                  <c:v>570.39</c:v>
                </c:pt>
                <c:pt idx="60">
                  <c:v>581.52</c:v>
                </c:pt>
                <c:pt idx="61">
                  <c:v>659.66</c:v>
                </c:pt>
                <c:pt idx="62">
                  <c:v>579.75</c:v>
                </c:pt>
                <c:pt idx="63">
                  <c:v>496.44</c:v>
                </c:pt>
                <c:pt idx="64">
                  <c:v>273.85000000000002</c:v>
                </c:pt>
                <c:pt idx="65">
                  <c:v>43.6</c:v>
                </c:pt>
                <c:pt idx="66">
                  <c:v>43.97</c:v>
                </c:pt>
                <c:pt idx="67">
                  <c:v>43.78</c:v>
                </c:pt>
                <c:pt idx="68">
                  <c:v>43.82</c:v>
                </c:pt>
                <c:pt idx="69">
                  <c:v>43.54</c:v>
                </c:pt>
                <c:pt idx="70">
                  <c:v>43.46</c:v>
                </c:pt>
                <c:pt idx="71">
                  <c:v>43.51</c:v>
                </c:pt>
                <c:pt idx="72">
                  <c:v>43.54</c:v>
                </c:pt>
                <c:pt idx="73">
                  <c:v>43.1</c:v>
                </c:pt>
                <c:pt idx="74">
                  <c:v>43.18</c:v>
                </c:pt>
                <c:pt idx="75">
                  <c:v>42.7</c:v>
                </c:pt>
                <c:pt idx="76">
                  <c:v>42.92</c:v>
                </c:pt>
                <c:pt idx="77">
                  <c:v>42.79</c:v>
                </c:pt>
                <c:pt idx="78">
                  <c:v>42.66</c:v>
                </c:pt>
                <c:pt idx="79">
                  <c:v>42.41</c:v>
                </c:pt>
                <c:pt idx="80">
                  <c:v>43.34</c:v>
                </c:pt>
                <c:pt idx="81">
                  <c:v>44.17</c:v>
                </c:pt>
                <c:pt idx="82">
                  <c:v>44.79</c:v>
                </c:pt>
                <c:pt idx="83">
                  <c:v>44.89</c:v>
                </c:pt>
                <c:pt idx="84">
                  <c:v>44.66</c:v>
                </c:pt>
                <c:pt idx="85">
                  <c:v>44.76</c:v>
                </c:pt>
                <c:pt idx="86">
                  <c:v>44.81</c:v>
                </c:pt>
                <c:pt idx="87">
                  <c:v>42.18</c:v>
                </c:pt>
                <c:pt idx="88">
                  <c:v>37.869999999999997</c:v>
                </c:pt>
                <c:pt idx="89">
                  <c:v>37.840000000000003</c:v>
                </c:pt>
                <c:pt idx="90">
                  <c:v>37.83</c:v>
                </c:pt>
                <c:pt idx="91">
                  <c:v>37.89</c:v>
                </c:pt>
                <c:pt idx="92">
                  <c:v>37.880000000000003</c:v>
                </c:pt>
                <c:pt idx="93">
                  <c:v>37.83</c:v>
                </c:pt>
                <c:pt idx="94">
                  <c:v>37.840000000000003</c:v>
                </c:pt>
                <c:pt idx="95">
                  <c:v>37.89</c:v>
                </c:pt>
                <c:pt idx="96">
                  <c:v>37.840000000000003</c:v>
                </c:pt>
                <c:pt idx="97">
                  <c:v>37.81</c:v>
                </c:pt>
                <c:pt idx="98">
                  <c:v>37.82</c:v>
                </c:pt>
                <c:pt idx="99">
                  <c:v>37.880000000000003</c:v>
                </c:pt>
                <c:pt idx="100">
                  <c:v>37.82</c:v>
                </c:pt>
                <c:pt idx="101">
                  <c:v>37.83</c:v>
                </c:pt>
                <c:pt idx="102">
                  <c:v>37.869999999999997</c:v>
                </c:pt>
                <c:pt idx="103">
                  <c:v>39.4</c:v>
                </c:pt>
                <c:pt idx="104">
                  <c:v>42.78</c:v>
                </c:pt>
                <c:pt idx="105">
                  <c:v>42.55</c:v>
                </c:pt>
                <c:pt idx="106">
                  <c:v>71.83</c:v>
                </c:pt>
                <c:pt idx="107">
                  <c:v>341.22</c:v>
                </c:pt>
                <c:pt idx="108">
                  <c:v>354.04</c:v>
                </c:pt>
                <c:pt idx="109">
                  <c:v>353.65</c:v>
                </c:pt>
                <c:pt idx="110">
                  <c:v>330.67</c:v>
                </c:pt>
                <c:pt idx="111">
                  <c:v>305.45</c:v>
                </c:pt>
                <c:pt idx="112">
                  <c:v>187.96</c:v>
                </c:pt>
                <c:pt idx="113">
                  <c:v>42.95</c:v>
                </c:pt>
                <c:pt idx="114">
                  <c:v>43.15</c:v>
                </c:pt>
                <c:pt idx="115">
                  <c:v>43.14</c:v>
                </c:pt>
                <c:pt idx="116">
                  <c:v>42.51</c:v>
                </c:pt>
                <c:pt idx="117">
                  <c:v>42.52</c:v>
                </c:pt>
                <c:pt idx="118">
                  <c:v>43.16</c:v>
                </c:pt>
                <c:pt idx="119">
                  <c:v>43.36</c:v>
                </c:pt>
                <c:pt idx="120">
                  <c:v>43.19</c:v>
                </c:pt>
                <c:pt idx="121">
                  <c:v>42.53</c:v>
                </c:pt>
                <c:pt idx="122">
                  <c:v>42.41</c:v>
                </c:pt>
                <c:pt idx="123">
                  <c:v>42.87</c:v>
                </c:pt>
                <c:pt idx="124">
                  <c:v>43.16</c:v>
                </c:pt>
                <c:pt idx="125">
                  <c:v>43.29</c:v>
                </c:pt>
                <c:pt idx="126">
                  <c:v>43.32</c:v>
                </c:pt>
                <c:pt idx="127">
                  <c:v>43.3</c:v>
                </c:pt>
                <c:pt idx="128">
                  <c:v>43.4</c:v>
                </c:pt>
                <c:pt idx="129">
                  <c:v>42.88</c:v>
                </c:pt>
                <c:pt idx="130">
                  <c:v>42.53</c:v>
                </c:pt>
                <c:pt idx="131">
                  <c:v>43</c:v>
                </c:pt>
                <c:pt idx="132">
                  <c:v>43.75</c:v>
                </c:pt>
                <c:pt idx="133">
                  <c:v>43.23</c:v>
                </c:pt>
                <c:pt idx="134">
                  <c:v>43.32</c:v>
                </c:pt>
                <c:pt idx="135">
                  <c:v>43.3</c:v>
                </c:pt>
                <c:pt idx="136">
                  <c:v>43.44</c:v>
                </c:pt>
                <c:pt idx="137">
                  <c:v>42.44</c:v>
                </c:pt>
                <c:pt idx="138">
                  <c:v>40.770000000000003</c:v>
                </c:pt>
                <c:pt idx="139">
                  <c:v>38.119999999999997</c:v>
                </c:pt>
                <c:pt idx="140">
                  <c:v>40.619999999999997</c:v>
                </c:pt>
                <c:pt idx="141">
                  <c:v>38.700000000000003</c:v>
                </c:pt>
                <c:pt idx="142">
                  <c:v>38.369999999999997</c:v>
                </c:pt>
                <c:pt idx="143">
                  <c:v>38.18</c:v>
                </c:pt>
                <c:pt idx="144">
                  <c:v>37.9</c:v>
                </c:pt>
                <c:pt idx="145">
                  <c:v>37.869999999999997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37.86</c:v>
                </c:pt>
                <c:pt idx="149">
                  <c:v>37.880000000000003</c:v>
                </c:pt>
                <c:pt idx="150">
                  <c:v>37.799999999999997</c:v>
                </c:pt>
                <c:pt idx="151">
                  <c:v>39.65</c:v>
                </c:pt>
                <c:pt idx="152">
                  <c:v>47.35</c:v>
                </c:pt>
                <c:pt idx="153">
                  <c:v>475.02</c:v>
                </c:pt>
                <c:pt idx="154">
                  <c:v>980.74</c:v>
                </c:pt>
                <c:pt idx="155">
                  <c:v>1022.08</c:v>
                </c:pt>
                <c:pt idx="156">
                  <c:v>1039.98</c:v>
                </c:pt>
                <c:pt idx="157">
                  <c:v>1035.82</c:v>
                </c:pt>
                <c:pt idx="158">
                  <c:v>1023.49</c:v>
                </c:pt>
                <c:pt idx="159">
                  <c:v>963.58</c:v>
                </c:pt>
                <c:pt idx="160">
                  <c:v>822.62</c:v>
                </c:pt>
                <c:pt idx="161">
                  <c:v>641.17999999999995</c:v>
                </c:pt>
                <c:pt idx="162">
                  <c:v>359.13</c:v>
                </c:pt>
                <c:pt idx="163">
                  <c:v>340.06</c:v>
                </c:pt>
                <c:pt idx="164">
                  <c:v>56.61</c:v>
                </c:pt>
                <c:pt idx="165">
                  <c:v>44.47</c:v>
                </c:pt>
                <c:pt idx="166">
                  <c:v>44.39</c:v>
                </c:pt>
                <c:pt idx="167">
                  <c:v>44.6</c:v>
                </c:pt>
                <c:pt idx="168">
                  <c:v>44.65</c:v>
                </c:pt>
                <c:pt idx="169">
                  <c:v>44.75</c:v>
                </c:pt>
                <c:pt idx="170">
                  <c:v>44.91</c:v>
                </c:pt>
                <c:pt idx="171">
                  <c:v>44.97</c:v>
                </c:pt>
                <c:pt idx="172">
                  <c:v>45.02</c:v>
                </c:pt>
                <c:pt idx="173">
                  <c:v>44.9</c:v>
                </c:pt>
                <c:pt idx="174">
                  <c:v>44.78</c:v>
                </c:pt>
                <c:pt idx="175">
                  <c:v>43.49</c:v>
                </c:pt>
                <c:pt idx="176">
                  <c:v>43.71</c:v>
                </c:pt>
                <c:pt idx="177">
                  <c:v>44.22</c:v>
                </c:pt>
                <c:pt idx="178">
                  <c:v>44.19</c:v>
                </c:pt>
                <c:pt idx="179">
                  <c:v>42.77</c:v>
                </c:pt>
                <c:pt idx="180">
                  <c:v>173.25</c:v>
                </c:pt>
                <c:pt idx="181">
                  <c:v>389.81</c:v>
                </c:pt>
                <c:pt idx="182">
                  <c:v>526.04999999999995</c:v>
                </c:pt>
                <c:pt idx="183">
                  <c:v>525.49</c:v>
                </c:pt>
                <c:pt idx="184">
                  <c:v>430.01</c:v>
                </c:pt>
                <c:pt idx="185">
                  <c:v>322.52999999999997</c:v>
                </c:pt>
                <c:pt idx="186">
                  <c:v>202.9</c:v>
                </c:pt>
                <c:pt idx="187">
                  <c:v>57.49</c:v>
                </c:pt>
                <c:pt idx="188">
                  <c:v>41.71</c:v>
                </c:pt>
                <c:pt idx="189">
                  <c:v>41.62</c:v>
                </c:pt>
                <c:pt idx="190">
                  <c:v>41.34</c:v>
                </c:pt>
                <c:pt idx="191">
                  <c:v>42.69</c:v>
                </c:pt>
                <c:pt idx="192">
                  <c:v>43.52</c:v>
                </c:pt>
                <c:pt idx="193">
                  <c:v>43.74</c:v>
                </c:pt>
                <c:pt idx="194">
                  <c:v>44.38</c:v>
                </c:pt>
                <c:pt idx="195">
                  <c:v>43.81</c:v>
                </c:pt>
                <c:pt idx="196">
                  <c:v>44.02</c:v>
                </c:pt>
                <c:pt idx="197">
                  <c:v>43.92</c:v>
                </c:pt>
                <c:pt idx="198">
                  <c:v>43.44</c:v>
                </c:pt>
                <c:pt idx="199">
                  <c:v>87.34</c:v>
                </c:pt>
                <c:pt idx="200">
                  <c:v>435.09</c:v>
                </c:pt>
                <c:pt idx="201">
                  <c:v>861.28</c:v>
                </c:pt>
                <c:pt idx="202">
                  <c:v>1037.73</c:v>
                </c:pt>
                <c:pt idx="203">
                  <c:v>1035.6199999999999</c:v>
                </c:pt>
                <c:pt idx="204">
                  <c:v>1038.24</c:v>
                </c:pt>
                <c:pt idx="205">
                  <c:v>1037.17</c:v>
                </c:pt>
                <c:pt idx="206">
                  <c:v>1036</c:v>
                </c:pt>
                <c:pt idx="207">
                  <c:v>1028.56</c:v>
                </c:pt>
                <c:pt idx="208">
                  <c:v>1028.19</c:v>
                </c:pt>
                <c:pt idx="209">
                  <c:v>998.64</c:v>
                </c:pt>
                <c:pt idx="210">
                  <c:v>656.22</c:v>
                </c:pt>
                <c:pt idx="211">
                  <c:v>551.91999999999996</c:v>
                </c:pt>
                <c:pt idx="212">
                  <c:v>334.57</c:v>
                </c:pt>
                <c:pt idx="213">
                  <c:v>67.81</c:v>
                </c:pt>
                <c:pt idx="214">
                  <c:v>45.33</c:v>
                </c:pt>
                <c:pt idx="215">
                  <c:v>45.1</c:v>
                </c:pt>
                <c:pt idx="216">
                  <c:v>44.54</c:v>
                </c:pt>
                <c:pt idx="217">
                  <c:v>44.21</c:v>
                </c:pt>
                <c:pt idx="218">
                  <c:v>42.96</c:v>
                </c:pt>
                <c:pt idx="219">
                  <c:v>43</c:v>
                </c:pt>
                <c:pt idx="220">
                  <c:v>43.36</c:v>
                </c:pt>
                <c:pt idx="221">
                  <c:v>43.2</c:v>
                </c:pt>
                <c:pt idx="222">
                  <c:v>43.31</c:v>
                </c:pt>
                <c:pt idx="223">
                  <c:v>42.78</c:v>
                </c:pt>
                <c:pt idx="224">
                  <c:v>42.48</c:v>
                </c:pt>
                <c:pt idx="225">
                  <c:v>41.28</c:v>
                </c:pt>
                <c:pt idx="226">
                  <c:v>40.58</c:v>
                </c:pt>
                <c:pt idx="227">
                  <c:v>62.36</c:v>
                </c:pt>
                <c:pt idx="228">
                  <c:v>353.98</c:v>
                </c:pt>
                <c:pt idx="229">
                  <c:v>795.02</c:v>
                </c:pt>
                <c:pt idx="230">
                  <c:v>871.8</c:v>
                </c:pt>
                <c:pt idx="231">
                  <c:v>852.25</c:v>
                </c:pt>
                <c:pt idx="232">
                  <c:v>609.87</c:v>
                </c:pt>
                <c:pt idx="233">
                  <c:v>370.52</c:v>
                </c:pt>
                <c:pt idx="234">
                  <c:v>71.680000000000007</c:v>
                </c:pt>
                <c:pt idx="235">
                  <c:v>36.799999999999997</c:v>
                </c:pt>
                <c:pt idx="236">
                  <c:v>36.56</c:v>
                </c:pt>
                <c:pt idx="237">
                  <c:v>36.17</c:v>
                </c:pt>
                <c:pt idx="238">
                  <c:v>35.770000000000003</c:v>
                </c:pt>
                <c:pt idx="239">
                  <c:v>35.65</c:v>
                </c:pt>
                <c:pt idx="240">
                  <c:v>36.44</c:v>
                </c:pt>
                <c:pt idx="241">
                  <c:v>37.31</c:v>
                </c:pt>
                <c:pt idx="242">
                  <c:v>36.93</c:v>
                </c:pt>
                <c:pt idx="243">
                  <c:v>36.880000000000003</c:v>
                </c:pt>
                <c:pt idx="244">
                  <c:v>37.08</c:v>
                </c:pt>
                <c:pt idx="245">
                  <c:v>37.17</c:v>
                </c:pt>
                <c:pt idx="246">
                  <c:v>37.840000000000003</c:v>
                </c:pt>
                <c:pt idx="247">
                  <c:v>103.98</c:v>
                </c:pt>
                <c:pt idx="248">
                  <c:v>544.23</c:v>
                </c:pt>
                <c:pt idx="249">
                  <c:v>727.54</c:v>
                </c:pt>
                <c:pt idx="250">
                  <c:v>1026.98</c:v>
                </c:pt>
                <c:pt idx="251">
                  <c:v>1039.6400000000001</c:v>
                </c:pt>
                <c:pt idx="252">
                  <c:v>1032.6600000000001</c:v>
                </c:pt>
                <c:pt idx="253">
                  <c:v>1023.79</c:v>
                </c:pt>
                <c:pt idx="254">
                  <c:v>1042.5</c:v>
                </c:pt>
                <c:pt idx="255">
                  <c:v>1036.0999999999999</c:v>
                </c:pt>
                <c:pt idx="256">
                  <c:v>1030.04</c:v>
                </c:pt>
                <c:pt idx="257">
                  <c:v>855.34</c:v>
                </c:pt>
                <c:pt idx="258">
                  <c:v>687.79</c:v>
                </c:pt>
                <c:pt idx="259">
                  <c:v>359.53</c:v>
                </c:pt>
                <c:pt idx="260">
                  <c:v>155.96</c:v>
                </c:pt>
                <c:pt idx="261">
                  <c:v>46.71</c:v>
                </c:pt>
                <c:pt idx="262">
                  <c:v>41.68</c:v>
                </c:pt>
                <c:pt idx="263">
                  <c:v>41.52</c:v>
                </c:pt>
                <c:pt idx="264">
                  <c:v>41.75</c:v>
                </c:pt>
                <c:pt idx="265">
                  <c:v>41.97</c:v>
                </c:pt>
                <c:pt idx="266">
                  <c:v>42.18</c:v>
                </c:pt>
                <c:pt idx="267">
                  <c:v>41.86</c:v>
                </c:pt>
                <c:pt idx="268">
                  <c:v>41.82</c:v>
                </c:pt>
                <c:pt idx="269">
                  <c:v>41.55</c:v>
                </c:pt>
                <c:pt idx="270">
                  <c:v>41.79</c:v>
                </c:pt>
                <c:pt idx="271">
                  <c:v>41.67</c:v>
                </c:pt>
                <c:pt idx="272">
                  <c:v>41.39</c:v>
                </c:pt>
                <c:pt idx="273">
                  <c:v>41.15</c:v>
                </c:pt>
                <c:pt idx="274">
                  <c:v>41.32</c:v>
                </c:pt>
                <c:pt idx="275">
                  <c:v>40.590000000000003</c:v>
                </c:pt>
                <c:pt idx="276">
                  <c:v>136.79</c:v>
                </c:pt>
                <c:pt idx="277">
                  <c:v>388.59</c:v>
                </c:pt>
                <c:pt idx="278">
                  <c:v>374.39</c:v>
                </c:pt>
                <c:pt idx="279">
                  <c:v>374.46</c:v>
                </c:pt>
                <c:pt idx="280">
                  <c:v>256.95</c:v>
                </c:pt>
                <c:pt idx="281">
                  <c:v>41.48</c:v>
                </c:pt>
                <c:pt idx="282">
                  <c:v>41.56</c:v>
                </c:pt>
                <c:pt idx="283">
                  <c:v>41.74</c:v>
                </c:pt>
                <c:pt idx="284">
                  <c:v>40.880000000000003</c:v>
                </c:pt>
                <c:pt idx="285">
                  <c:v>40.71</c:v>
                </c:pt>
                <c:pt idx="286">
                  <c:v>39.68</c:v>
                </c:pt>
                <c:pt idx="287">
                  <c:v>37.090000000000003</c:v>
                </c:pt>
                <c:pt idx="288">
                  <c:v>34.85</c:v>
                </c:pt>
                <c:pt idx="289">
                  <c:v>34.19</c:v>
                </c:pt>
                <c:pt idx="290">
                  <c:v>32.159999999999997</c:v>
                </c:pt>
                <c:pt idx="291">
                  <c:v>30.94</c:v>
                </c:pt>
                <c:pt idx="292">
                  <c:v>32.28</c:v>
                </c:pt>
                <c:pt idx="293">
                  <c:v>33.39</c:v>
                </c:pt>
                <c:pt idx="294">
                  <c:v>34.92</c:v>
                </c:pt>
                <c:pt idx="295">
                  <c:v>36.58</c:v>
                </c:pt>
                <c:pt idx="296">
                  <c:v>36.67</c:v>
                </c:pt>
                <c:pt idx="297">
                  <c:v>163.5</c:v>
                </c:pt>
                <c:pt idx="298">
                  <c:v>500.54</c:v>
                </c:pt>
                <c:pt idx="299">
                  <c:v>699.88</c:v>
                </c:pt>
                <c:pt idx="300">
                  <c:v>701.87</c:v>
                </c:pt>
                <c:pt idx="301">
                  <c:v>704.97</c:v>
                </c:pt>
                <c:pt idx="302">
                  <c:v>703.35</c:v>
                </c:pt>
                <c:pt idx="303">
                  <c:v>703.88</c:v>
                </c:pt>
                <c:pt idx="304">
                  <c:v>704.96</c:v>
                </c:pt>
                <c:pt idx="305">
                  <c:v>621.1</c:v>
                </c:pt>
                <c:pt idx="306">
                  <c:v>350.09</c:v>
                </c:pt>
                <c:pt idx="307">
                  <c:v>195.03</c:v>
                </c:pt>
                <c:pt idx="308">
                  <c:v>52.8</c:v>
                </c:pt>
                <c:pt idx="309">
                  <c:v>42.55</c:v>
                </c:pt>
                <c:pt idx="310">
                  <c:v>42.53</c:v>
                </c:pt>
                <c:pt idx="311">
                  <c:v>42.68</c:v>
                </c:pt>
                <c:pt idx="312">
                  <c:v>42.71</c:v>
                </c:pt>
                <c:pt idx="313">
                  <c:v>42.84</c:v>
                </c:pt>
                <c:pt idx="314">
                  <c:v>42.78</c:v>
                </c:pt>
                <c:pt idx="315">
                  <c:v>42.9</c:v>
                </c:pt>
                <c:pt idx="316">
                  <c:v>43.32</c:v>
                </c:pt>
                <c:pt idx="317">
                  <c:v>43</c:v>
                </c:pt>
                <c:pt idx="318">
                  <c:v>42.73</c:v>
                </c:pt>
                <c:pt idx="319">
                  <c:v>43.12</c:v>
                </c:pt>
                <c:pt idx="320">
                  <c:v>43.54</c:v>
                </c:pt>
                <c:pt idx="321">
                  <c:v>43.19</c:v>
                </c:pt>
                <c:pt idx="322">
                  <c:v>43.6</c:v>
                </c:pt>
                <c:pt idx="323">
                  <c:v>43.57</c:v>
                </c:pt>
                <c:pt idx="324">
                  <c:v>43.84</c:v>
                </c:pt>
                <c:pt idx="325">
                  <c:v>43.74</c:v>
                </c:pt>
                <c:pt idx="326">
                  <c:v>43.56</c:v>
                </c:pt>
                <c:pt idx="327">
                  <c:v>43.51</c:v>
                </c:pt>
                <c:pt idx="328">
                  <c:v>43.92</c:v>
                </c:pt>
                <c:pt idx="329">
                  <c:v>43.94</c:v>
                </c:pt>
                <c:pt idx="330">
                  <c:v>43.91</c:v>
                </c:pt>
                <c:pt idx="331">
                  <c:v>43.76</c:v>
                </c:pt>
                <c:pt idx="332">
                  <c:v>42.91</c:v>
                </c:pt>
                <c:pt idx="333">
                  <c:v>42.78</c:v>
                </c:pt>
                <c:pt idx="334">
                  <c:v>43.28</c:v>
                </c:pt>
                <c:pt idx="335">
                  <c:v>43.43</c:v>
                </c:pt>
                <c:pt idx="336">
                  <c:v>43.58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3-0A45-9E1A-2B5F15816A8C}"/>
            </c:ext>
          </c:extLst>
        </c:ser>
        <c:ser>
          <c:idx val="4"/>
          <c:order val="4"/>
          <c:tx>
            <c:strRef>
              <c:f>[1]Prices!$J$1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[1]Prices!$J$2:$J$338</c:f>
              <c:numCache>
                <c:formatCode>General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3-0A45-9E1A-2B5F15816A8C}"/>
            </c:ext>
          </c:extLst>
        </c:ser>
        <c:ser>
          <c:idx val="5"/>
          <c:order val="5"/>
          <c:tx>
            <c:strRef>
              <c:f>[1]Prices!$K$1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[1]Prices!$K$2:$K$338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A3-0A45-9E1A-2B5F15816A8C}"/>
            </c:ext>
          </c:extLst>
        </c:ser>
        <c:ser>
          <c:idx val="6"/>
          <c:order val="6"/>
          <c:tx>
            <c:strRef>
              <c:f>[1]Prices!$L$1</c:f>
              <c:strCache>
                <c:ptCount val="1"/>
                <c:pt idx="0">
                  <c:v>Wind -  MW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[1]Prices!$L$2:$L$338</c:f>
              <c:numCache>
                <c:formatCode>General</c:formatCode>
                <c:ptCount val="337"/>
                <c:pt idx="0">
                  <c:v>1569.25</c:v>
                </c:pt>
                <c:pt idx="1">
                  <c:v>1626.93</c:v>
                </c:pt>
                <c:pt idx="2">
                  <c:v>1717.61</c:v>
                </c:pt>
                <c:pt idx="3">
                  <c:v>1735.37</c:v>
                </c:pt>
                <c:pt idx="4">
                  <c:v>1759.84</c:v>
                </c:pt>
                <c:pt idx="5">
                  <c:v>1832.99</c:v>
                </c:pt>
                <c:pt idx="6">
                  <c:v>1820.41</c:v>
                </c:pt>
                <c:pt idx="7">
                  <c:v>1870.99</c:v>
                </c:pt>
                <c:pt idx="8">
                  <c:v>1904.08</c:v>
                </c:pt>
                <c:pt idx="9">
                  <c:v>1924.31</c:v>
                </c:pt>
                <c:pt idx="10">
                  <c:v>1944.45</c:v>
                </c:pt>
                <c:pt idx="11">
                  <c:v>1999.15</c:v>
                </c:pt>
                <c:pt idx="12">
                  <c:v>2028.92</c:v>
                </c:pt>
                <c:pt idx="13">
                  <c:v>1986.17</c:v>
                </c:pt>
                <c:pt idx="14">
                  <c:v>1944.55</c:v>
                </c:pt>
                <c:pt idx="15">
                  <c:v>1893.48</c:v>
                </c:pt>
                <c:pt idx="16">
                  <c:v>1840.63</c:v>
                </c:pt>
                <c:pt idx="17">
                  <c:v>1711.43</c:v>
                </c:pt>
                <c:pt idx="18">
                  <c:v>1597.28</c:v>
                </c:pt>
                <c:pt idx="19">
                  <c:v>1542.07</c:v>
                </c:pt>
                <c:pt idx="20">
                  <c:v>1524.18</c:v>
                </c:pt>
                <c:pt idx="21">
                  <c:v>1476.49</c:v>
                </c:pt>
                <c:pt idx="22">
                  <c:v>1382.8</c:v>
                </c:pt>
                <c:pt idx="23">
                  <c:v>1309.52</c:v>
                </c:pt>
                <c:pt idx="24">
                  <c:v>1326.11</c:v>
                </c:pt>
                <c:pt idx="25">
                  <c:v>1360.1</c:v>
                </c:pt>
                <c:pt idx="26">
                  <c:v>1420.98</c:v>
                </c:pt>
                <c:pt idx="27">
                  <c:v>1340.77</c:v>
                </c:pt>
                <c:pt idx="28">
                  <c:v>1443.86</c:v>
                </c:pt>
                <c:pt idx="29">
                  <c:v>1499.18</c:v>
                </c:pt>
                <c:pt idx="30">
                  <c:v>1488.17</c:v>
                </c:pt>
                <c:pt idx="31">
                  <c:v>1509.53</c:v>
                </c:pt>
                <c:pt idx="32">
                  <c:v>1425.83</c:v>
                </c:pt>
                <c:pt idx="33">
                  <c:v>1482.43</c:v>
                </c:pt>
                <c:pt idx="34">
                  <c:v>1371.53</c:v>
                </c:pt>
                <c:pt idx="35">
                  <c:v>1262.98</c:v>
                </c:pt>
                <c:pt idx="36">
                  <c:v>1211.46</c:v>
                </c:pt>
                <c:pt idx="37">
                  <c:v>1196.57</c:v>
                </c:pt>
                <c:pt idx="38">
                  <c:v>1088.75</c:v>
                </c:pt>
                <c:pt idx="39">
                  <c:v>1027.05</c:v>
                </c:pt>
                <c:pt idx="40">
                  <c:v>922.26</c:v>
                </c:pt>
                <c:pt idx="41">
                  <c:v>928.76</c:v>
                </c:pt>
                <c:pt idx="42">
                  <c:v>954.13</c:v>
                </c:pt>
                <c:pt idx="43">
                  <c:v>950.09</c:v>
                </c:pt>
                <c:pt idx="44">
                  <c:v>940.09</c:v>
                </c:pt>
                <c:pt idx="45">
                  <c:v>934</c:v>
                </c:pt>
                <c:pt idx="46">
                  <c:v>990.65</c:v>
                </c:pt>
                <c:pt idx="47">
                  <c:v>997.2</c:v>
                </c:pt>
                <c:pt idx="48">
                  <c:v>942.36</c:v>
                </c:pt>
                <c:pt idx="49">
                  <c:v>897.81</c:v>
                </c:pt>
                <c:pt idx="50">
                  <c:v>937.44</c:v>
                </c:pt>
                <c:pt idx="51">
                  <c:v>886.17</c:v>
                </c:pt>
                <c:pt idx="52">
                  <c:v>882.42</c:v>
                </c:pt>
                <c:pt idx="53">
                  <c:v>948.74</c:v>
                </c:pt>
                <c:pt idx="54">
                  <c:v>972.05</c:v>
                </c:pt>
                <c:pt idx="55">
                  <c:v>928.08</c:v>
                </c:pt>
                <c:pt idx="56">
                  <c:v>936.68</c:v>
                </c:pt>
                <c:pt idx="57">
                  <c:v>842.16</c:v>
                </c:pt>
                <c:pt idx="58">
                  <c:v>849.72</c:v>
                </c:pt>
                <c:pt idx="59">
                  <c:v>918.11</c:v>
                </c:pt>
                <c:pt idx="60">
                  <c:v>892.72</c:v>
                </c:pt>
                <c:pt idx="61">
                  <c:v>834.08</c:v>
                </c:pt>
                <c:pt idx="62">
                  <c:v>773.64</c:v>
                </c:pt>
                <c:pt idx="63">
                  <c:v>612.73</c:v>
                </c:pt>
                <c:pt idx="64">
                  <c:v>613.29999999999995</c:v>
                </c:pt>
                <c:pt idx="65">
                  <c:v>679.39</c:v>
                </c:pt>
                <c:pt idx="66">
                  <c:v>731.77</c:v>
                </c:pt>
                <c:pt idx="67">
                  <c:v>696.27</c:v>
                </c:pt>
                <c:pt idx="68">
                  <c:v>658.89</c:v>
                </c:pt>
                <c:pt idx="69">
                  <c:v>637.21</c:v>
                </c:pt>
                <c:pt idx="70">
                  <c:v>532.70000000000005</c:v>
                </c:pt>
                <c:pt idx="71">
                  <c:v>502.98</c:v>
                </c:pt>
                <c:pt idx="72">
                  <c:v>492.94</c:v>
                </c:pt>
                <c:pt idx="73">
                  <c:v>516.82000000000005</c:v>
                </c:pt>
                <c:pt idx="74">
                  <c:v>616.01</c:v>
                </c:pt>
                <c:pt idx="75">
                  <c:v>587.45000000000005</c:v>
                </c:pt>
                <c:pt idx="76">
                  <c:v>458.51</c:v>
                </c:pt>
                <c:pt idx="77">
                  <c:v>495.65</c:v>
                </c:pt>
                <c:pt idx="78">
                  <c:v>560.57000000000005</c:v>
                </c:pt>
                <c:pt idx="79">
                  <c:v>565.66999999999996</c:v>
                </c:pt>
                <c:pt idx="80">
                  <c:v>572.49</c:v>
                </c:pt>
                <c:pt idx="81">
                  <c:v>561.38</c:v>
                </c:pt>
                <c:pt idx="82">
                  <c:v>539.91999999999996</c:v>
                </c:pt>
                <c:pt idx="83">
                  <c:v>529.91</c:v>
                </c:pt>
                <c:pt idx="84">
                  <c:v>542.15</c:v>
                </c:pt>
                <c:pt idx="85">
                  <c:v>548.48</c:v>
                </c:pt>
                <c:pt idx="86">
                  <c:v>650.45000000000005</c:v>
                </c:pt>
                <c:pt idx="87">
                  <c:v>815.1</c:v>
                </c:pt>
                <c:pt idx="88">
                  <c:v>909.3</c:v>
                </c:pt>
                <c:pt idx="89">
                  <c:v>852.04</c:v>
                </c:pt>
                <c:pt idx="90">
                  <c:v>822.65</c:v>
                </c:pt>
                <c:pt idx="91">
                  <c:v>862.94</c:v>
                </c:pt>
                <c:pt idx="92">
                  <c:v>914.75</c:v>
                </c:pt>
                <c:pt idx="93">
                  <c:v>981.91</c:v>
                </c:pt>
                <c:pt idx="94">
                  <c:v>968.43</c:v>
                </c:pt>
                <c:pt idx="95">
                  <c:v>1108.4000000000001</c:v>
                </c:pt>
                <c:pt idx="96">
                  <c:v>1244.3499999999999</c:v>
                </c:pt>
                <c:pt idx="97">
                  <c:v>1347.9</c:v>
                </c:pt>
                <c:pt idx="98">
                  <c:v>1414.94</c:v>
                </c:pt>
                <c:pt idx="99">
                  <c:v>1447.94</c:v>
                </c:pt>
                <c:pt idx="100">
                  <c:v>1471.44</c:v>
                </c:pt>
                <c:pt idx="101">
                  <c:v>1450.15</c:v>
                </c:pt>
                <c:pt idx="102">
                  <c:v>1513.1</c:v>
                </c:pt>
                <c:pt idx="103">
                  <c:v>1592.88</c:v>
                </c:pt>
                <c:pt idx="104">
                  <c:v>1627.76</c:v>
                </c:pt>
                <c:pt idx="105">
                  <c:v>1637.74</c:v>
                </c:pt>
                <c:pt idx="106">
                  <c:v>1641.12</c:v>
                </c:pt>
                <c:pt idx="107">
                  <c:v>1690.78</c:v>
                </c:pt>
                <c:pt idx="108">
                  <c:v>1801.5</c:v>
                </c:pt>
                <c:pt idx="109">
                  <c:v>1949.97</c:v>
                </c:pt>
                <c:pt idx="110">
                  <c:v>2046.18</c:v>
                </c:pt>
                <c:pt idx="111">
                  <c:v>2096.2800000000002</c:v>
                </c:pt>
                <c:pt idx="112">
                  <c:v>2138.23</c:v>
                </c:pt>
                <c:pt idx="113">
                  <c:v>2158.5300000000002</c:v>
                </c:pt>
                <c:pt idx="114">
                  <c:v>2151.7600000000002</c:v>
                </c:pt>
                <c:pt idx="115">
                  <c:v>2106.94</c:v>
                </c:pt>
                <c:pt idx="116">
                  <c:v>2065.66</c:v>
                </c:pt>
                <c:pt idx="117">
                  <c:v>2095.64</c:v>
                </c:pt>
                <c:pt idx="118">
                  <c:v>2144.85</c:v>
                </c:pt>
                <c:pt idx="119">
                  <c:v>2190.79</c:v>
                </c:pt>
                <c:pt idx="120">
                  <c:v>2233.4299999999998</c:v>
                </c:pt>
                <c:pt idx="121">
                  <c:v>2282.92</c:v>
                </c:pt>
                <c:pt idx="122">
                  <c:v>2301.21</c:v>
                </c:pt>
                <c:pt idx="123">
                  <c:v>2267.08</c:v>
                </c:pt>
                <c:pt idx="124">
                  <c:v>2249.91</c:v>
                </c:pt>
                <c:pt idx="125">
                  <c:v>2264.0500000000002</c:v>
                </c:pt>
                <c:pt idx="126">
                  <c:v>2116.71</c:v>
                </c:pt>
                <c:pt idx="127">
                  <c:v>2004.46</c:v>
                </c:pt>
                <c:pt idx="128">
                  <c:v>1914.67</c:v>
                </c:pt>
                <c:pt idx="129">
                  <c:v>1963.07</c:v>
                </c:pt>
                <c:pt idx="130">
                  <c:v>1767.6</c:v>
                </c:pt>
                <c:pt idx="131">
                  <c:v>1750.97</c:v>
                </c:pt>
                <c:pt idx="132">
                  <c:v>1760.49</c:v>
                </c:pt>
                <c:pt idx="133">
                  <c:v>1750.08</c:v>
                </c:pt>
                <c:pt idx="134">
                  <c:v>1818.48</c:v>
                </c:pt>
                <c:pt idx="135">
                  <c:v>1670.48</c:v>
                </c:pt>
                <c:pt idx="136">
                  <c:v>1447.65</c:v>
                </c:pt>
                <c:pt idx="137">
                  <c:v>1171.56</c:v>
                </c:pt>
                <c:pt idx="138">
                  <c:v>1027.68</c:v>
                </c:pt>
                <c:pt idx="139">
                  <c:v>960.08</c:v>
                </c:pt>
                <c:pt idx="140">
                  <c:v>905.81</c:v>
                </c:pt>
                <c:pt idx="141">
                  <c:v>892.28</c:v>
                </c:pt>
                <c:pt idx="142">
                  <c:v>952.99</c:v>
                </c:pt>
                <c:pt idx="143">
                  <c:v>940.11</c:v>
                </c:pt>
                <c:pt idx="144">
                  <c:v>1044</c:v>
                </c:pt>
                <c:pt idx="145">
                  <c:v>1128.8499999999999</c:v>
                </c:pt>
                <c:pt idx="146">
                  <c:v>1011.38</c:v>
                </c:pt>
                <c:pt idx="147">
                  <c:v>910.82</c:v>
                </c:pt>
                <c:pt idx="148">
                  <c:v>911.78</c:v>
                </c:pt>
                <c:pt idx="149">
                  <c:v>948.64</c:v>
                </c:pt>
                <c:pt idx="150">
                  <c:v>981.61</c:v>
                </c:pt>
                <c:pt idx="151">
                  <c:v>954.63</c:v>
                </c:pt>
                <c:pt idx="152">
                  <c:v>873.6</c:v>
                </c:pt>
                <c:pt idx="153">
                  <c:v>806.58</c:v>
                </c:pt>
                <c:pt idx="154">
                  <c:v>735.13</c:v>
                </c:pt>
                <c:pt idx="155">
                  <c:v>698.01</c:v>
                </c:pt>
                <c:pt idx="156">
                  <c:v>757.01</c:v>
                </c:pt>
                <c:pt idx="157">
                  <c:v>899.33</c:v>
                </c:pt>
                <c:pt idx="158">
                  <c:v>982.25</c:v>
                </c:pt>
                <c:pt idx="159">
                  <c:v>906.66</c:v>
                </c:pt>
                <c:pt idx="160">
                  <c:v>958.46</c:v>
                </c:pt>
                <c:pt idx="161">
                  <c:v>938.8</c:v>
                </c:pt>
                <c:pt idx="162">
                  <c:v>1015.38</c:v>
                </c:pt>
                <c:pt idx="163">
                  <c:v>1087.1199999999999</c:v>
                </c:pt>
                <c:pt idx="164">
                  <c:v>1082.3599999999999</c:v>
                </c:pt>
                <c:pt idx="165">
                  <c:v>1114.56</c:v>
                </c:pt>
                <c:pt idx="166">
                  <c:v>1073.1500000000001</c:v>
                </c:pt>
                <c:pt idx="167">
                  <c:v>1072.5999999999999</c:v>
                </c:pt>
                <c:pt idx="168">
                  <c:v>911.54</c:v>
                </c:pt>
                <c:pt idx="169">
                  <c:v>777.82</c:v>
                </c:pt>
                <c:pt idx="170">
                  <c:v>699.34</c:v>
                </c:pt>
                <c:pt idx="171">
                  <c:v>808.09</c:v>
                </c:pt>
                <c:pt idx="172">
                  <c:v>800.59</c:v>
                </c:pt>
                <c:pt idx="173">
                  <c:v>717.32</c:v>
                </c:pt>
                <c:pt idx="174">
                  <c:v>700.78</c:v>
                </c:pt>
                <c:pt idx="175">
                  <c:v>777.11</c:v>
                </c:pt>
                <c:pt idx="176">
                  <c:v>955.64</c:v>
                </c:pt>
                <c:pt idx="177">
                  <c:v>1134.6600000000001</c:v>
                </c:pt>
                <c:pt idx="178">
                  <c:v>1342.23</c:v>
                </c:pt>
                <c:pt idx="179">
                  <c:v>1525.44</c:v>
                </c:pt>
                <c:pt idx="180">
                  <c:v>1567.48</c:v>
                </c:pt>
                <c:pt idx="181">
                  <c:v>1591.65</c:v>
                </c:pt>
                <c:pt idx="182">
                  <c:v>1593.9</c:v>
                </c:pt>
                <c:pt idx="183">
                  <c:v>1578.1</c:v>
                </c:pt>
                <c:pt idx="184">
                  <c:v>1422.89</c:v>
                </c:pt>
                <c:pt idx="185">
                  <c:v>1308.97</c:v>
                </c:pt>
                <c:pt idx="186">
                  <c:v>1227.52</c:v>
                </c:pt>
                <c:pt idx="187">
                  <c:v>1129.9100000000001</c:v>
                </c:pt>
                <c:pt idx="188">
                  <c:v>1128.6500000000001</c:v>
                </c:pt>
                <c:pt idx="189">
                  <c:v>1198.98</c:v>
                </c:pt>
                <c:pt idx="190">
                  <c:v>1211.49</c:v>
                </c:pt>
                <c:pt idx="191">
                  <c:v>1184.02</c:v>
                </c:pt>
                <c:pt idx="192">
                  <c:v>1205.7</c:v>
                </c:pt>
                <c:pt idx="193">
                  <c:v>1253.3800000000001</c:v>
                </c:pt>
                <c:pt idx="194">
                  <c:v>1200.22</c:v>
                </c:pt>
                <c:pt idx="195">
                  <c:v>1089.4000000000001</c:v>
                </c:pt>
                <c:pt idx="196">
                  <c:v>1085.81</c:v>
                </c:pt>
                <c:pt idx="197">
                  <c:v>1100.31</c:v>
                </c:pt>
                <c:pt idx="198">
                  <c:v>1028.5</c:v>
                </c:pt>
                <c:pt idx="199">
                  <c:v>1116.44</c:v>
                </c:pt>
                <c:pt idx="200">
                  <c:v>1114.25</c:v>
                </c:pt>
                <c:pt idx="201">
                  <c:v>1027.3699999999999</c:v>
                </c:pt>
                <c:pt idx="202">
                  <c:v>1008.6</c:v>
                </c:pt>
                <c:pt idx="203">
                  <c:v>1065.6500000000001</c:v>
                </c:pt>
                <c:pt idx="204">
                  <c:v>1164.3399999999999</c:v>
                </c:pt>
                <c:pt idx="205">
                  <c:v>1239.46</c:v>
                </c:pt>
                <c:pt idx="206">
                  <c:v>1337.7</c:v>
                </c:pt>
                <c:pt idx="207">
                  <c:v>1383.15</c:v>
                </c:pt>
                <c:pt idx="208">
                  <c:v>1214.76</c:v>
                </c:pt>
                <c:pt idx="209">
                  <c:v>1100</c:v>
                </c:pt>
                <c:pt idx="210">
                  <c:v>983.93</c:v>
                </c:pt>
                <c:pt idx="211">
                  <c:v>917.71</c:v>
                </c:pt>
                <c:pt idx="212">
                  <c:v>828.47</c:v>
                </c:pt>
                <c:pt idx="213">
                  <c:v>879.75</c:v>
                </c:pt>
                <c:pt idx="214">
                  <c:v>979.2</c:v>
                </c:pt>
                <c:pt idx="215">
                  <c:v>933.73</c:v>
                </c:pt>
                <c:pt idx="216">
                  <c:v>954.46</c:v>
                </c:pt>
                <c:pt idx="217">
                  <c:v>985.39</c:v>
                </c:pt>
                <c:pt idx="218">
                  <c:v>1041.4000000000001</c:v>
                </c:pt>
                <c:pt idx="219">
                  <c:v>1014.4</c:v>
                </c:pt>
                <c:pt idx="220">
                  <c:v>918.22</c:v>
                </c:pt>
                <c:pt idx="221">
                  <c:v>822.27</c:v>
                </c:pt>
                <c:pt idx="222">
                  <c:v>831.72</c:v>
                </c:pt>
                <c:pt idx="223">
                  <c:v>880.97</c:v>
                </c:pt>
                <c:pt idx="224">
                  <c:v>947.86</c:v>
                </c:pt>
                <c:pt idx="225">
                  <c:v>980.55</c:v>
                </c:pt>
                <c:pt idx="226">
                  <c:v>995.76</c:v>
                </c:pt>
                <c:pt idx="227">
                  <c:v>991.43</c:v>
                </c:pt>
                <c:pt idx="228">
                  <c:v>984.67</c:v>
                </c:pt>
                <c:pt idx="229">
                  <c:v>904.96</c:v>
                </c:pt>
                <c:pt idx="230">
                  <c:v>842.58</c:v>
                </c:pt>
                <c:pt idx="231">
                  <c:v>786.68</c:v>
                </c:pt>
                <c:pt idx="232">
                  <c:v>728.07</c:v>
                </c:pt>
                <c:pt idx="233">
                  <c:v>577.47</c:v>
                </c:pt>
                <c:pt idx="234">
                  <c:v>520.59</c:v>
                </c:pt>
                <c:pt idx="235">
                  <c:v>506.81</c:v>
                </c:pt>
                <c:pt idx="236">
                  <c:v>457.49</c:v>
                </c:pt>
                <c:pt idx="237">
                  <c:v>466.01</c:v>
                </c:pt>
                <c:pt idx="238">
                  <c:v>437.97</c:v>
                </c:pt>
                <c:pt idx="239">
                  <c:v>394.03</c:v>
                </c:pt>
                <c:pt idx="240">
                  <c:v>418.58</c:v>
                </c:pt>
                <c:pt idx="241">
                  <c:v>507.13</c:v>
                </c:pt>
                <c:pt idx="242">
                  <c:v>550.49</c:v>
                </c:pt>
                <c:pt idx="243">
                  <c:v>618.38</c:v>
                </c:pt>
                <c:pt idx="244">
                  <c:v>660.47</c:v>
                </c:pt>
                <c:pt idx="245">
                  <c:v>663.22</c:v>
                </c:pt>
                <c:pt idx="246">
                  <c:v>642.19000000000005</c:v>
                </c:pt>
                <c:pt idx="247">
                  <c:v>613.4</c:v>
                </c:pt>
                <c:pt idx="248">
                  <c:v>600.11</c:v>
                </c:pt>
                <c:pt idx="249">
                  <c:v>555.47</c:v>
                </c:pt>
                <c:pt idx="250">
                  <c:v>513.66999999999996</c:v>
                </c:pt>
                <c:pt idx="251">
                  <c:v>530.42999999999995</c:v>
                </c:pt>
                <c:pt idx="252">
                  <c:v>528.08000000000004</c:v>
                </c:pt>
                <c:pt idx="253">
                  <c:v>540.27</c:v>
                </c:pt>
                <c:pt idx="254">
                  <c:v>466.98</c:v>
                </c:pt>
                <c:pt idx="255">
                  <c:v>444.76</c:v>
                </c:pt>
                <c:pt idx="256">
                  <c:v>427.13</c:v>
                </c:pt>
                <c:pt idx="257">
                  <c:v>419.54</c:v>
                </c:pt>
                <c:pt idx="258">
                  <c:v>389.36</c:v>
                </c:pt>
                <c:pt idx="259">
                  <c:v>384.31</c:v>
                </c:pt>
                <c:pt idx="260">
                  <c:v>350.06</c:v>
                </c:pt>
                <c:pt idx="261">
                  <c:v>323.37</c:v>
                </c:pt>
                <c:pt idx="262">
                  <c:v>322.82</c:v>
                </c:pt>
                <c:pt idx="263">
                  <c:v>381.32</c:v>
                </c:pt>
                <c:pt idx="264">
                  <c:v>431.06</c:v>
                </c:pt>
                <c:pt idx="265">
                  <c:v>373.11</c:v>
                </c:pt>
                <c:pt idx="266">
                  <c:v>327.67</c:v>
                </c:pt>
                <c:pt idx="267">
                  <c:v>358.86</c:v>
                </c:pt>
                <c:pt idx="268">
                  <c:v>398.15</c:v>
                </c:pt>
                <c:pt idx="269">
                  <c:v>366.58</c:v>
                </c:pt>
                <c:pt idx="270">
                  <c:v>315.26</c:v>
                </c:pt>
                <c:pt idx="271">
                  <c:v>346.46</c:v>
                </c:pt>
                <c:pt idx="272">
                  <c:v>326.74</c:v>
                </c:pt>
                <c:pt idx="273">
                  <c:v>315.12</c:v>
                </c:pt>
                <c:pt idx="274">
                  <c:v>314.33</c:v>
                </c:pt>
                <c:pt idx="275">
                  <c:v>354.1</c:v>
                </c:pt>
                <c:pt idx="276">
                  <c:v>374.29</c:v>
                </c:pt>
                <c:pt idx="277">
                  <c:v>393.91</c:v>
                </c:pt>
                <c:pt idx="278">
                  <c:v>442.05</c:v>
                </c:pt>
                <c:pt idx="279">
                  <c:v>491.51</c:v>
                </c:pt>
                <c:pt idx="280">
                  <c:v>487.72</c:v>
                </c:pt>
                <c:pt idx="281">
                  <c:v>463.52</c:v>
                </c:pt>
                <c:pt idx="282">
                  <c:v>423.89</c:v>
                </c:pt>
                <c:pt idx="283">
                  <c:v>343.03</c:v>
                </c:pt>
                <c:pt idx="284">
                  <c:v>299.51</c:v>
                </c:pt>
                <c:pt idx="285">
                  <c:v>330.91</c:v>
                </c:pt>
                <c:pt idx="286">
                  <c:v>436.13</c:v>
                </c:pt>
                <c:pt idx="287">
                  <c:v>535.34</c:v>
                </c:pt>
                <c:pt idx="288">
                  <c:v>600.41</c:v>
                </c:pt>
                <c:pt idx="289">
                  <c:v>595.41999999999996</c:v>
                </c:pt>
                <c:pt idx="290">
                  <c:v>541.29999999999995</c:v>
                </c:pt>
                <c:pt idx="291">
                  <c:v>519.39</c:v>
                </c:pt>
                <c:pt idx="292">
                  <c:v>540.59</c:v>
                </c:pt>
                <c:pt idx="293">
                  <c:v>524.08000000000004</c:v>
                </c:pt>
                <c:pt idx="294">
                  <c:v>492.07</c:v>
                </c:pt>
                <c:pt idx="295">
                  <c:v>425.11</c:v>
                </c:pt>
                <c:pt idx="296">
                  <c:v>383.55</c:v>
                </c:pt>
                <c:pt idx="297">
                  <c:v>489.01</c:v>
                </c:pt>
                <c:pt idx="298">
                  <c:v>446.51</c:v>
                </c:pt>
                <c:pt idx="299">
                  <c:v>463.5</c:v>
                </c:pt>
                <c:pt idx="300">
                  <c:v>379.57</c:v>
                </c:pt>
                <c:pt idx="301">
                  <c:v>361.17</c:v>
                </c:pt>
                <c:pt idx="302">
                  <c:v>395.45</c:v>
                </c:pt>
                <c:pt idx="303">
                  <c:v>441.89</c:v>
                </c:pt>
                <c:pt idx="304">
                  <c:v>426.13</c:v>
                </c:pt>
                <c:pt idx="305">
                  <c:v>441.88</c:v>
                </c:pt>
                <c:pt idx="306">
                  <c:v>434.36</c:v>
                </c:pt>
                <c:pt idx="307">
                  <c:v>457.35</c:v>
                </c:pt>
                <c:pt idx="308">
                  <c:v>522.1</c:v>
                </c:pt>
                <c:pt idx="309">
                  <c:v>506.45</c:v>
                </c:pt>
                <c:pt idx="310">
                  <c:v>421.67</c:v>
                </c:pt>
                <c:pt idx="311">
                  <c:v>261.79000000000002</c:v>
                </c:pt>
                <c:pt idx="312">
                  <c:v>298.75</c:v>
                </c:pt>
                <c:pt idx="313">
                  <c:v>353.75</c:v>
                </c:pt>
                <c:pt idx="314">
                  <c:v>376.66</c:v>
                </c:pt>
                <c:pt idx="315">
                  <c:v>465.77</c:v>
                </c:pt>
                <c:pt idx="316">
                  <c:v>453.06</c:v>
                </c:pt>
                <c:pt idx="317">
                  <c:v>404.65</c:v>
                </c:pt>
                <c:pt idx="318">
                  <c:v>332.93</c:v>
                </c:pt>
                <c:pt idx="319">
                  <c:v>337.84</c:v>
                </c:pt>
                <c:pt idx="320">
                  <c:v>327.20999999999998</c:v>
                </c:pt>
                <c:pt idx="321">
                  <c:v>307.83</c:v>
                </c:pt>
                <c:pt idx="322">
                  <c:v>289.05</c:v>
                </c:pt>
                <c:pt idx="323">
                  <c:v>281.88</c:v>
                </c:pt>
                <c:pt idx="324">
                  <c:v>290.02999999999997</c:v>
                </c:pt>
                <c:pt idx="325">
                  <c:v>310.75</c:v>
                </c:pt>
                <c:pt idx="326">
                  <c:v>309.8</c:v>
                </c:pt>
                <c:pt idx="327">
                  <c:v>331.23</c:v>
                </c:pt>
                <c:pt idx="328">
                  <c:v>340.28</c:v>
                </c:pt>
                <c:pt idx="329">
                  <c:v>293.14</c:v>
                </c:pt>
                <c:pt idx="330">
                  <c:v>251.66</c:v>
                </c:pt>
                <c:pt idx="331">
                  <c:v>209.68</c:v>
                </c:pt>
                <c:pt idx="332">
                  <c:v>172.27</c:v>
                </c:pt>
                <c:pt idx="333">
                  <c:v>131.25</c:v>
                </c:pt>
                <c:pt idx="334">
                  <c:v>108.99</c:v>
                </c:pt>
                <c:pt idx="335">
                  <c:v>84.04</c:v>
                </c:pt>
                <c:pt idx="336">
                  <c:v>40.29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A3-0A45-9E1A-2B5F15816A8C}"/>
            </c:ext>
          </c:extLst>
        </c:ser>
        <c:ser>
          <c:idx val="7"/>
          <c:order val="7"/>
          <c:tx>
            <c:strRef>
              <c:f>[1]Prices!$M$1</c:f>
              <c:strCache>
                <c:ptCount val="1"/>
                <c:pt idx="0">
                  <c:v>Solar (Utility) -  MW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[1]Prices!$M$2:$M$338</c:f>
              <c:numCache>
                <c:formatCode>General</c:formatCode>
                <c:ptCount val="337"/>
                <c:pt idx="0">
                  <c:v>1561.96</c:v>
                </c:pt>
                <c:pt idx="1">
                  <c:v>1760.86</c:v>
                </c:pt>
                <c:pt idx="2">
                  <c:v>1879.89</c:v>
                </c:pt>
                <c:pt idx="3">
                  <c:v>1686.57</c:v>
                </c:pt>
                <c:pt idx="4">
                  <c:v>1445.08</c:v>
                </c:pt>
                <c:pt idx="5">
                  <c:v>1392.68</c:v>
                </c:pt>
                <c:pt idx="6">
                  <c:v>1220.54</c:v>
                </c:pt>
                <c:pt idx="7">
                  <c:v>1049.7</c:v>
                </c:pt>
                <c:pt idx="8">
                  <c:v>592.71</c:v>
                </c:pt>
                <c:pt idx="9">
                  <c:v>166.79</c:v>
                </c:pt>
                <c:pt idx="10">
                  <c:v>8.5399999999999991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3.98</c:v>
                </c:pt>
                <c:pt idx="38">
                  <c:v>106.34</c:v>
                </c:pt>
                <c:pt idx="39">
                  <c:v>454.44</c:v>
                </c:pt>
                <c:pt idx="40">
                  <c:v>982.56</c:v>
                </c:pt>
                <c:pt idx="41">
                  <c:v>1604.72</c:v>
                </c:pt>
                <c:pt idx="42">
                  <c:v>1895.65</c:v>
                </c:pt>
                <c:pt idx="43">
                  <c:v>2152.4499999999998</c:v>
                </c:pt>
                <c:pt idx="44">
                  <c:v>2357.34</c:v>
                </c:pt>
                <c:pt idx="45">
                  <c:v>2465.61</c:v>
                </c:pt>
                <c:pt idx="46">
                  <c:v>2647.82</c:v>
                </c:pt>
                <c:pt idx="47">
                  <c:v>2598.02</c:v>
                </c:pt>
                <c:pt idx="48">
                  <c:v>2420.1799999999998</c:v>
                </c:pt>
                <c:pt idx="49">
                  <c:v>2357.1799999999998</c:v>
                </c:pt>
                <c:pt idx="50">
                  <c:v>2451.46</c:v>
                </c:pt>
                <c:pt idx="51">
                  <c:v>2589.39</c:v>
                </c:pt>
                <c:pt idx="52">
                  <c:v>2642.71</c:v>
                </c:pt>
                <c:pt idx="53">
                  <c:v>2595.16</c:v>
                </c:pt>
                <c:pt idx="54">
                  <c:v>2346.75</c:v>
                </c:pt>
                <c:pt idx="55">
                  <c:v>1809.05</c:v>
                </c:pt>
                <c:pt idx="56">
                  <c:v>1029.74</c:v>
                </c:pt>
                <c:pt idx="57">
                  <c:v>250.07</c:v>
                </c:pt>
                <c:pt idx="58">
                  <c:v>9.92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6.71</c:v>
                </c:pt>
                <c:pt idx="86">
                  <c:v>119.9</c:v>
                </c:pt>
                <c:pt idx="87">
                  <c:v>569.92999999999995</c:v>
                </c:pt>
                <c:pt idx="88">
                  <c:v>1379.32</c:v>
                </c:pt>
                <c:pt idx="89">
                  <c:v>2080.34</c:v>
                </c:pt>
                <c:pt idx="90">
                  <c:v>2160.31</c:v>
                </c:pt>
                <c:pt idx="91">
                  <c:v>2277.1799999999998</c:v>
                </c:pt>
                <c:pt idx="92">
                  <c:v>2061.91</c:v>
                </c:pt>
                <c:pt idx="93">
                  <c:v>2155.25</c:v>
                </c:pt>
                <c:pt idx="94">
                  <c:v>2332.9499999999998</c:v>
                </c:pt>
                <c:pt idx="95">
                  <c:v>2353.9499999999998</c:v>
                </c:pt>
                <c:pt idx="96">
                  <c:v>2246.4699999999998</c:v>
                </c:pt>
                <c:pt idx="97">
                  <c:v>2265.35</c:v>
                </c:pt>
                <c:pt idx="98">
                  <c:v>2192.02</c:v>
                </c:pt>
                <c:pt idx="99">
                  <c:v>2011.07</c:v>
                </c:pt>
                <c:pt idx="100">
                  <c:v>2257.34</c:v>
                </c:pt>
                <c:pt idx="101">
                  <c:v>2138.2399999999998</c:v>
                </c:pt>
                <c:pt idx="102">
                  <c:v>1908.83</c:v>
                </c:pt>
                <c:pt idx="103">
                  <c:v>1459.36</c:v>
                </c:pt>
                <c:pt idx="104">
                  <c:v>790.13</c:v>
                </c:pt>
                <c:pt idx="105">
                  <c:v>175.55</c:v>
                </c:pt>
                <c:pt idx="106">
                  <c:v>5.61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5.23</c:v>
                </c:pt>
                <c:pt idx="134">
                  <c:v>136.53</c:v>
                </c:pt>
                <c:pt idx="135">
                  <c:v>735.66</c:v>
                </c:pt>
                <c:pt idx="136">
                  <c:v>1700.98</c:v>
                </c:pt>
                <c:pt idx="137">
                  <c:v>2574.77</c:v>
                </c:pt>
                <c:pt idx="138">
                  <c:v>2910.9</c:v>
                </c:pt>
                <c:pt idx="139">
                  <c:v>3022.31</c:v>
                </c:pt>
                <c:pt idx="140">
                  <c:v>3084.05</c:v>
                </c:pt>
                <c:pt idx="141">
                  <c:v>2987.13</c:v>
                </c:pt>
                <c:pt idx="142">
                  <c:v>2926.51</c:v>
                </c:pt>
                <c:pt idx="143">
                  <c:v>2611.9499999999998</c:v>
                </c:pt>
                <c:pt idx="144">
                  <c:v>2359.9499999999998</c:v>
                </c:pt>
                <c:pt idx="145">
                  <c:v>2382.64</c:v>
                </c:pt>
                <c:pt idx="146">
                  <c:v>2442.44</c:v>
                </c:pt>
                <c:pt idx="147">
                  <c:v>2422.38</c:v>
                </c:pt>
                <c:pt idx="148">
                  <c:v>2449.9299999999998</c:v>
                </c:pt>
                <c:pt idx="149">
                  <c:v>2426.56</c:v>
                </c:pt>
                <c:pt idx="150">
                  <c:v>2378.91</c:v>
                </c:pt>
                <c:pt idx="151">
                  <c:v>2025.63</c:v>
                </c:pt>
                <c:pt idx="152">
                  <c:v>1067.3399999999999</c:v>
                </c:pt>
                <c:pt idx="153">
                  <c:v>212.16</c:v>
                </c:pt>
                <c:pt idx="154">
                  <c:v>5.21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0.04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0.04</c:v>
                </c:pt>
                <c:pt idx="176">
                  <c:v>0.04</c:v>
                </c:pt>
                <c:pt idx="177">
                  <c:v>0.04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1.56</c:v>
                </c:pt>
                <c:pt idx="182">
                  <c:v>31.01</c:v>
                </c:pt>
                <c:pt idx="183">
                  <c:v>266.44</c:v>
                </c:pt>
                <c:pt idx="184">
                  <c:v>634.34</c:v>
                </c:pt>
                <c:pt idx="185">
                  <c:v>1091.93</c:v>
                </c:pt>
                <c:pt idx="186">
                  <c:v>1213.27</c:v>
                </c:pt>
                <c:pt idx="187">
                  <c:v>1122.7</c:v>
                </c:pt>
                <c:pt idx="188">
                  <c:v>1278.72</c:v>
                </c:pt>
                <c:pt idx="189">
                  <c:v>1638.2</c:v>
                </c:pt>
                <c:pt idx="190">
                  <c:v>1456.71</c:v>
                </c:pt>
                <c:pt idx="191">
                  <c:v>1517.83</c:v>
                </c:pt>
                <c:pt idx="192">
                  <c:v>1423.55</c:v>
                </c:pt>
                <c:pt idx="193">
                  <c:v>1435.14</c:v>
                </c:pt>
                <c:pt idx="194">
                  <c:v>1227.99</c:v>
                </c:pt>
                <c:pt idx="195">
                  <c:v>1249.6300000000001</c:v>
                </c:pt>
                <c:pt idx="196">
                  <c:v>1174.49</c:v>
                </c:pt>
                <c:pt idx="197">
                  <c:v>1044.1500000000001</c:v>
                </c:pt>
                <c:pt idx="198">
                  <c:v>866.41</c:v>
                </c:pt>
                <c:pt idx="199">
                  <c:v>636.95000000000005</c:v>
                </c:pt>
                <c:pt idx="200">
                  <c:v>384.5</c:v>
                </c:pt>
                <c:pt idx="201">
                  <c:v>98.8</c:v>
                </c:pt>
                <c:pt idx="202">
                  <c:v>6.32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0.03</c:v>
                </c:pt>
                <c:pt idx="210">
                  <c:v>0.03</c:v>
                </c:pt>
                <c:pt idx="211">
                  <c:v>0.03</c:v>
                </c:pt>
                <c:pt idx="212">
                  <c:v>0.03</c:v>
                </c:pt>
                <c:pt idx="213">
                  <c:v>0.03</c:v>
                </c:pt>
                <c:pt idx="214">
                  <c:v>0.03</c:v>
                </c:pt>
                <c:pt idx="215">
                  <c:v>0.03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0.03</c:v>
                </c:pt>
                <c:pt idx="220">
                  <c:v>0.03</c:v>
                </c:pt>
                <c:pt idx="221">
                  <c:v>0.03</c:v>
                </c:pt>
                <c:pt idx="222">
                  <c:v>0.03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0.03</c:v>
                </c:pt>
                <c:pt idx="228">
                  <c:v>0.03</c:v>
                </c:pt>
                <c:pt idx="229">
                  <c:v>1.18</c:v>
                </c:pt>
                <c:pt idx="230">
                  <c:v>67.34</c:v>
                </c:pt>
                <c:pt idx="231">
                  <c:v>434.25</c:v>
                </c:pt>
                <c:pt idx="232">
                  <c:v>1038.1199999999999</c:v>
                </c:pt>
                <c:pt idx="233">
                  <c:v>1505.56</c:v>
                </c:pt>
                <c:pt idx="234">
                  <c:v>1840.47</c:v>
                </c:pt>
                <c:pt idx="235">
                  <c:v>2087.0500000000002</c:v>
                </c:pt>
                <c:pt idx="236">
                  <c:v>2175.84</c:v>
                </c:pt>
                <c:pt idx="237">
                  <c:v>2357.94</c:v>
                </c:pt>
                <c:pt idx="238">
                  <c:v>2518.3200000000002</c:v>
                </c:pt>
                <c:pt idx="239">
                  <c:v>2607.6</c:v>
                </c:pt>
                <c:pt idx="240">
                  <c:v>2571.08</c:v>
                </c:pt>
                <c:pt idx="241">
                  <c:v>2446.92</c:v>
                </c:pt>
                <c:pt idx="242">
                  <c:v>2344.6</c:v>
                </c:pt>
                <c:pt idx="243">
                  <c:v>2393.77</c:v>
                </c:pt>
                <c:pt idx="244">
                  <c:v>2390.09</c:v>
                </c:pt>
                <c:pt idx="245">
                  <c:v>2312.6</c:v>
                </c:pt>
                <c:pt idx="246">
                  <c:v>2153.73</c:v>
                </c:pt>
                <c:pt idx="247">
                  <c:v>1732.88</c:v>
                </c:pt>
                <c:pt idx="248">
                  <c:v>1049.21</c:v>
                </c:pt>
                <c:pt idx="249">
                  <c:v>294.99</c:v>
                </c:pt>
                <c:pt idx="250">
                  <c:v>12.64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7.53</c:v>
                </c:pt>
                <c:pt idx="278">
                  <c:v>167.44</c:v>
                </c:pt>
                <c:pt idx="279">
                  <c:v>626.09</c:v>
                </c:pt>
                <c:pt idx="280">
                  <c:v>1178.45</c:v>
                </c:pt>
                <c:pt idx="281">
                  <c:v>1704.69</c:v>
                </c:pt>
                <c:pt idx="282">
                  <c:v>2013.7</c:v>
                </c:pt>
                <c:pt idx="283">
                  <c:v>2277.38</c:v>
                </c:pt>
                <c:pt idx="284">
                  <c:v>2201.2199999999998</c:v>
                </c:pt>
                <c:pt idx="285">
                  <c:v>2164.7600000000002</c:v>
                </c:pt>
                <c:pt idx="286">
                  <c:v>2313.7600000000002</c:v>
                </c:pt>
                <c:pt idx="287">
                  <c:v>2350.3200000000002</c:v>
                </c:pt>
                <c:pt idx="288">
                  <c:v>2352.5700000000002</c:v>
                </c:pt>
                <c:pt idx="289">
                  <c:v>2336.7399999999998</c:v>
                </c:pt>
                <c:pt idx="290">
                  <c:v>2308.9299999999998</c:v>
                </c:pt>
                <c:pt idx="291">
                  <c:v>2385.1</c:v>
                </c:pt>
                <c:pt idx="292">
                  <c:v>2378.4299999999998</c:v>
                </c:pt>
                <c:pt idx="293">
                  <c:v>1984.17</c:v>
                </c:pt>
                <c:pt idx="294">
                  <c:v>1801.47</c:v>
                </c:pt>
                <c:pt idx="295">
                  <c:v>1142.27</c:v>
                </c:pt>
                <c:pt idx="296">
                  <c:v>459.69</c:v>
                </c:pt>
                <c:pt idx="297">
                  <c:v>115.34</c:v>
                </c:pt>
                <c:pt idx="298">
                  <c:v>10.119999999999999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1.51</c:v>
                </c:pt>
                <c:pt idx="326">
                  <c:v>70.709999999999994</c:v>
                </c:pt>
                <c:pt idx="327">
                  <c:v>451.78</c:v>
                </c:pt>
                <c:pt idx="328">
                  <c:v>1086.8599999999999</c:v>
                </c:pt>
                <c:pt idx="329">
                  <c:v>1599.19</c:v>
                </c:pt>
                <c:pt idx="330">
                  <c:v>1745.82</c:v>
                </c:pt>
                <c:pt idx="331">
                  <c:v>1869.52</c:v>
                </c:pt>
                <c:pt idx="332">
                  <c:v>1960.16</c:v>
                </c:pt>
                <c:pt idx="333">
                  <c:v>2070.46</c:v>
                </c:pt>
                <c:pt idx="334">
                  <c:v>2085.91</c:v>
                </c:pt>
                <c:pt idx="335">
                  <c:v>2225.7800000000002</c:v>
                </c:pt>
                <c:pt idx="336">
                  <c:v>2169.0700000000002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A3-0A45-9E1A-2B5F15816A8C}"/>
            </c:ext>
          </c:extLst>
        </c:ser>
        <c:ser>
          <c:idx val="8"/>
          <c:order val="8"/>
          <c:tx>
            <c:strRef>
              <c:f>[1]Prices!$N$1</c:f>
              <c:strCache>
                <c:ptCount val="1"/>
                <c:pt idx="0">
                  <c:v>Solar (Rooftop) -  MW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[1]Prices!$A$1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[1]Prices!$N$2:$N$338</c:f>
              <c:numCache>
                <c:formatCode>General</c:formatCode>
                <c:ptCount val="337"/>
                <c:pt idx="0">
                  <c:v>0</c:v>
                </c:pt>
                <c:pt idx="1">
                  <c:v>1653.29</c:v>
                </c:pt>
                <c:pt idx="2">
                  <c:v>3109.92</c:v>
                </c:pt>
                <c:pt idx="3">
                  <c:v>2800.7</c:v>
                </c:pt>
                <c:pt idx="4">
                  <c:v>2425.0500000000002</c:v>
                </c:pt>
                <c:pt idx="5">
                  <c:v>1963.82</c:v>
                </c:pt>
                <c:pt idx="6">
                  <c:v>1440.64</c:v>
                </c:pt>
                <c:pt idx="7">
                  <c:v>914.26</c:v>
                </c:pt>
                <c:pt idx="8">
                  <c:v>440.91</c:v>
                </c:pt>
                <c:pt idx="9">
                  <c:v>116.99</c:v>
                </c:pt>
                <c:pt idx="10">
                  <c:v>12.03</c:v>
                </c:pt>
                <c:pt idx="11">
                  <c:v>0.09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0.12</c:v>
                </c:pt>
                <c:pt idx="37">
                  <c:v>7.55</c:v>
                </c:pt>
                <c:pt idx="38">
                  <c:v>90.41</c:v>
                </c:pt>
                <c:pt idx="39">
                  <c:v>375.8</c:v>
                </c:pt>
                <c:pt idx="40">
                  <c:v>830.33</c:v>
                </c:pt>
                <c:pt idx="41">
                  <c:v>1368.94</c:v>
                </c:pt>
                <c:pt idx="42">
                  <c:v>1912.81</c:v>
                </c:pt>
                <c:pt idx="43">
                  <c:v>2415.17</c:v>
                </c:pt>
                <c:pt idx="44">
                  <c:v>2838.32</c:v>
                </c:pt>
                <c:pt idx="45">
                  <c:v>3144.54</c:v>
                </c:pt>
                <c:pt idx="46">
                  <c:v>3349.84</c:v>
                </c:pt>
                <c:pt idx="47">
                  <c:v>3470.55</c:v>
                </c:pt>
                <c:pt idx="48">
                  <c:v>3475.53</c:v>
                </c:pt>
                <c:pt idx="49">
                  <c:v>3343.25</c:v>
                </c:pt>
                <c:pt idx="50">
                  <c:v>3122.3</c:v>
                </c:pt>
                <c:pt idx="51">
                  <c:v>2872.62</c:v>
                </c:pt>
                <c:pt idx="52">
                  <c:v>2499.4299999999998</c:v>
                </c:pt>
                <c:pt idx="53">
                  <c:v>2089.39</c:v>
                </c:pt>
                <c:pt idx="54">
                  <c:v>1577.29</c:v>
                </c:pt>
                <c:pt idx="55">
                  <c:v>1015.1</c:v>
                </c:pt>
                <c:pt idx="56">
                  <c:v>498.78</c:v>
                </c:pt>
                <c:pt idx="57">
                  <c:v>139.47</c:v>
                </c:pt>
                <c:pt idx="58">
                  <c:v>15.39</c:v>
                </c:pt>
                <c:pt idx="59">
                  <c:v>0.17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0.13</c:v>
                </c:pt>
                <c:pt idx="85">
                  <c:v>7.75</c:v>
                </c:pt>
                <c:pt idx="86">
                  <c:v>88.96</c:v>
                </c:pt>
                <c:pt idx="87">
                  <c:v>350.51</c:v>
                </c:pt>
                <c:pt idx="88">
                  <c:v>837.43</c:v>
                </c:pt>
                <c:pt idx="89">
                  <c:v>1337.7</c:v>
                </c:pt>
                <c:pt idx="90">
                  <c:v>1856.04</c:v>
                </c:pt>
                <c:pt idx="91">
                  <c:v>2278.65</c:v>
                </c:pt>
                <c:pt idx="92">
                  <c:v>2658.7</c:v>
                </c:pt>
                <c:pt idx="93">
                  <c:v>2927</c:v>
                </c:pt>
                <c:pt idx="94">
                  <c:v>3166.39</c:v>
                </c:pt>
                <c:pt idx="95">
                  <c:v>3250.92</c:v>
                </c:pt>
                <c:pt idx="96">
                  <c:v>3236.69</c:v>
                </c:pt>
                <c:pt idx="97">
                  <c:v>3104.69</c:v>
                </c:pt>
                <c:pt idx="98">
                  <c:v>2834.4</c:v>
                </c:pt>
                <c:pt idx="99">
                  <c:v>2495.69</c:v>
                </c:pt>
                <c:pt idx="100">
                  <c:v>1969.91</c:v>
                </c:pt>
                <c:pt idx="101">
                  <c:v>1472.47</c:v>
                </c:pt>
                <c:pt idx="102">
                  <c:v>1077.3599999999999</c:v>
                </c:pt>
                <c:pt idx="103">
                  <c:v>694.37</c:v>
                </c:pt>
                <c:pt idx="104">
                  <c:v>354.66</c:v>
                </c:pt>
                <c:pt idx="105">
                  <c:v>107.74</c:v>
                </c:pt>
                <c:pt idx="106">
                  <c:v>12.89</c:v>
                </c:pt>
                <c:pt idx="107">
                  <c:v>0.17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0.12</c:v>
                </c:pt>
                <c:pt idx="133">
                  <c:v>7.84</c:v>
                </c:pt>
                <c:pt idx="134">
                  <c:v>94.14</c:v>
                </c:pt>
                <c:pt idx="135">
                  <c:v>389.47</c:v>
                </c:pt>
                <c:pt idx="136">
                  <c:v>873.76</c:v>
                </c:pt>
                <c:pt idx="137">
                  <c:v>1457.97</c:v>
                </c:pt>
                <c:pt idx="138">
                  <c:v>2056.14</c:v>
                </c:pt>
                <c:pt idx="139">
                  <c:v>2593.56</c:v>
                </c:pt>
                <c:pt idx="140">
                  <c:v>3022.73</c:v>
                </c:pt>
                <c:pt idx="141">
                  <c:v>3352.07</c:v>
                </c:pt>
                <c:pt idx="142">
                  <c:v>3570.13</c:v>
                </c:pt>
                <c:pt idx="143">
                  <c:v>3687.66</c:v>
                </c:pt>
                <c:pt idx="144">
                  <c:v>3701.36</c:v>
                </c:pt>
                <c:pt idx="145">
                  <c:v>3594.25</c:v>
                </c:pt>
                <c:pt idx="146">
                  <c:v>3387.69</c:v>
                </c:pt>
                <c:pt idx="147">
                  <c:v>3085.14</c:v>
                </c:pt>
                <c:pt idx="148">
                  <c:v>2714.41</c:v>
                </c:pt>
                <c:pt idx="149">
                  <c:v>2221.29</c:v>
                </c:pt>
                <c:pt idx="150">
                  <c:v>1656.36</c:v>
                </c:pt>
                <c:pt idx="151">
                  <c:v>1067.83</c:v>
                </c:pt>
                <c:pt idx="152">
                  <c:v>535.07000000000005</c:v>
                </c:pt>
                <c:pt idx="153">
                  <c:v>156.63</c:v>
                </c:pt>
                <c:pt idx="154">
                  <c:v>18.329999999999998</c:v>
                </c:pt>
                <c:pt idx="155">
                  <c:v>0.27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0.18</c:v>
                </c:pt>
                <c:pt idx="181">
                  <c:v>4.2699999999999996</c:v>
                </c:pt>
                <c:pt idx="182">
                  <c:v>34.81</c:v>
                </c:pt>
                <c:pt idx="183">
                  <c:v>126.03</c:v>
                </c:pt>
                <c:pt idx="184">
                  <c:v>286.56</c:v>
                </c:pt>
                <c:pt idx="185">
                  <c:v>518.02</c:v>
                </c:pt>
                <c:pt idx="186">
                  <c:v>716.74</c:v>
                </c:pt>
                <c:pt idx="187">
                  <c:v>893.4</c:v>
                </c:pt>
                <c:pt idx="188">
                  <c:v>1046.19</c:v>
                </c:pt>
                <c:pt idx="189">
                  <c:v>1204.76</c:v>
                </c:pt>
                <c:pt idx="190">
                  <c:v>1330.27</c:v>
                </c:pt>
                <c:pt idx="191">
                  <c:v>1531.68</c:v>
                </c:pt>
                <c:pt idx="192">
                  <c:v>1862.29</c:v>
                </c:pt>
                <c:pt idx="193">
                  <c:v>2085.71</c:v>
                </c:pt>
                <c:pt idx="194">
                  <c:v>2080.25</c:v>
                </c:pt>
                <c:pt idx="195">
                  <c:v>1862.76</c:v>
                </c:pt>
                <c:pt idx="196">
                  <c:v>1496.72</c:v>
                </c:pt>
                <c:pt idx="197">
                  <c:v>1198.3900000000001</c:v>
                </c:pt>
                <c:pt idx="198">
                  <c:v>916.53</c:v>
                </c:pt>
                <c:pt idx="199">
                  <c:v>585.77</c:v>
                </c:pt>
                <c:pt idx="200">
                  <c:v>329.56</c:v>
                </c:pt>
                <c:pt idx="201">
                  <c:v>103.2</c:v>
                </c:pt>
                <c:pt idx="202">
                  <c:v>11.91</c:v>
                </c:pt>
                <c:pt idx="203">
                  <c:v>0.11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</c:v>
                </c:pt>
                <c:pt idx="229">
                  <c:v>7.98</c:v>
                </c:pt>
                <c:pt idx="230">
                  <c:v>96.5</c:v>
                </c:pt>
                <c:pt idx="231">
                  <c:v>401.36</c:v>
                </c:pt>
                <c:pt idx="232">
                  <c:v>889.76</c:v>
                </c:pt>
                <c:pt idx="233">
                  <c:v>1469.23</c:v>
                </c:pt>
                <c:pt idx="234">
                  <c:v>2052.06</c:v>
                </c:pt>
                <c:pt idx="235">
                  <c:v>2591.34</c:v>
                </c:pt>
                <c:pt idx="236">
                  <c:v>3025.77</c:v>
                </c:pt>
                <c:pt idx="237">
                  <c:v>3358.54</c:v>
                </c:pt>
                <c:pt idx="238">
                  <c:v>3578.98</c:v>
                </c:pt>
                <c:pt idx="239">
                  <c:v>3698.06</c:v>
                </c:pt>
                <c:pt idx="240">
                  <c:v>3708.24</c:v>
                </c:pt>
                <c:pt idx="241">
                  <c:v>3593.2</c:v>
                </c:pt>
                <c:pt idx="242">
                  <c:v>3386.53</c:v>
                </c:pt>
                <c:pt idx="243">
                  <c:v>3096.16</c:v>
                </c:pt>
                <c:pt idx="244">
                  <c:v>2720.09</c:v>
                </c:pt>
                <c:pt idx="245">
                  <c:v>2242.0500000000002</c:v>
                </c:pt>
                <c:pt idx="246">
                  <c:v>1667.16</c:v>
                </c:pt>
                <c:pt idx="247">
                  <c:v>1077.18</c:v>
                </c:pt>
                <c:pt idx="248">
                  <c:v>544.84</c:v>
                </c:pt>
                <c:pt idx="249">
                  <c:v>161.56</c:v>
                </c:pt>
                <c:pt idx="250">
                  <c:v>18.989999999999998</c:v>
                </c:pt>
                <c:pt idx="251">
                  <c:v>0.26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0.09</c:v>
                </c:pt>
                <c:pt idx="277">
                  <c:v>9.4600000000000009</c:v>
                </c:pt>
                <c:pt idx="278">
                  <c:v>114.83</c:v>
                </c:pt>
                <c:pt idx="279">
                  <c:v>422.41</c:v>
                </c:pt>
                <c:pt idx="280">
                  <c:v>822.95</c:v>
                </c:pt>
                <c:pt idx="281">
                  <c:v>1286.24</c:v>
                </c:pt>
                <c:pt idx="282">
                  <c:v>1870.36</c:v>
                </c:pt>
                <c:pt idx="283">
                  <c:v>2385.1</c:v>
                </c:pt>
                <c:pt idx="284">
                  <c:v>2805.63</c:v>
                </c:pt>
                <c:pt idx="285">
                  <c:v>3092</c:v>
                </c:pt>
                <c:pt idx="286">
                  <c:v>3264.92</c:v>
                </c:pt>
                <c:pt idx="287">
                  <c:v>3402.32</c:v>
                </c:pt>
                <c:pt idx="288">
                  <c:v>3411.24</c:v>
                </c:pt>
                <c:pt idx="289">
                  <c:v>3346.16</c:v>
                </c:pt>
                <c:pt idx="290">
                  <c:v>3132.37</c:v>
                </c:pt>
                <c:pt idx="291">
                  <c:v>2826.82</c:v>
                </c:pt>
                <c:pt idx="292">
                  <c:v>2414.62</c:v>
                </c:pt>
                <c:pt idx="293">
                  <c:v>1945.37</c:v>
                </c:pt>
                <c:pt idx="294">
                  <c:v>1469.53</c:v>
                </c:pt>
                <c:pt idx="295">
                  <c:v>1000.25</c:v>
                </c:pt>
                <c:pt idx="296">
                  <c:v>542.21</c:v>
                </c:pt>
                <c:pt idx="297">
                  <c:v>173.77</c:v>
                </c:pt>
                <c:pt idx="298">
                  <c:v>21.45</c:v>
                </c:pt>
                <c:pt idx="299">
                  <c:v>0.27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0.01</c:v>
                </c:pt>
                <c:pt idx="325">
                  <c:v>4.3099999999999996</c:v>
                </c:pt>
                <c:pt idx="326">
                  <c:v>62.82</c:v>
                </c:pt>
                <c:pt idx="327">
                  <c:v>284.2</c:v>
                </c:pt>
                <c:pt idx="328">
                  <c:v>607.22</c:v>
                </c:pt>
                <c:pt idx="329">
                  <c:v>1041.28</c:v>
                </c:pt>
                <c:pt idx="330">
                  <c:v>1387.69</c:v>
                </c:pt>
                <c:pt idx="331">
                  <c:v>1629.2</c:v>
                </c:pt>
                <c:pt idx="332">
                  <c:v>1810</c:v>
                </c:pt>
                <c:pt idx="333">
                  <c:v>1888.35</c:v>
                </c:pt>
                <c:pt idx="334">
                  <c:v>2083.17</c:v>
                </c:pt>
                <c:pt idx="335">
                  <c:v>2323.2600000000002</c:v>
                </c:pt>
                <c:pt idx="336">
                  <c:v>2342.9499999999998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A3-0A45-9E1A-2B5F1581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cked"/>
        <c:varyColors val="0"/>
        <c:ser>
          <c:idx val="9"/>
          <c:order val="9"/>
          <c:tx>
            <c:strRef>
              <c:f>[1]Prices!$W$1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[1]Prices!$W$2:$W$338</c:f>
              <c:numCache>
                <c:formatCode>General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5A3-0A45-9E1A-2B5F15816A8C}"/>
            </c:ext>
          </c:extLst>
        </c:ser>
        <c:ser>
          <c:idx val="10"/>
          <c:order val="10"/>
          <c:tx>
            <c:strRef>
              <c:f>'Data exploration'!$O$1</c:f>
              <c:strCache>
                <c:ptCount val="1"/>
                <c:pt idx="0">
                  <c:v>Temperature - 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exploration'!$O$2:$O$338</c:f>
              <c:numCache>
                <c:formatCode>#,##0</c:formatCode>
                <c:ptCount val="337"/>
                <c:pt idx="0">
                  <c:v>17.7</c:v>
                </c:pt>
                <c:pt idx="1">
                  <c:v>17.86</c:v>
                </c:pt>
                <c:pt idx="2">
                  <c:v>17.98</c:v>
                </c:pt>
                <c:pt idx="3">
                  <c:v>17.87</c:v>
                </c:pt>
                <c:pt idx="4">
                  <c:v>17.37</c:v>
                </c:pt>
                <c:pt idx="5">
                  <c:v>16.97</c:v>
                </c:pt>
                <c:pt idx="6">
                  <c:v>16.91</c:v>
                </c:pt>
                <c:pt idx="7">
                  <c:v>16.22</c:v>
                </c:pt>
                <c:pt idx="8">
                  <c:v>15.82</c:v>
                </c:pt>
                <c:pt idx="9">
                  <c:v>15.44</c:v>
                </c:pt>
                <c:pt idx="10">
                  <c:v>15.12</c:v>
                </c:pt>
                <c:pt idx="11">
                  <c:v>14.85</c:v>
                </c:pt>
                <c:pt idx="12">
                  <c:v>14.73</c:v>
                </c:pt>
                <c:pt idx="13">
                  <c:v>13.97</c:v>
                </c:pt>
                <c:pt idx="14">
                  <c:v>13.17</c:v>
                </c:pt>
                <c:pt idx="15">
                  <c:v>13.17</c:v>
                </c:pt>
                <c:pt idx="16">
                  <c:v>13.23</c:v>
                </c:pt>
                <c:pt idx="17">
                  <c:v>12.78</c:v>
                </c:pt>
                <c:pt idx="18">
                  <c:v>12.54</c:v>
                </c:pt>
                <c:pt idx="19">
                  <c:v>12.57</c:v>
                </c:pt>
                <c:pt idx="20">
                  <c:v>12.54</c:v>
                </c:pt>
                <c:pt idx="21">
                  <c:v>12.76</c:v>
                </c:pt>
                <c:pt idx="22">
                  <c:v>12.91</c:v>
                </c:pt>
                <c:pt idx="23">
                  <c:v>13.14</c:v>
                </c:pt>
                <c:pt idx="24">
                  <c:v>13.11</c:v>
                </c:pt>
                <c:pt idx="25">
                  <c:v>13.01</c:v>
                </c:pt>
                <c:pt idx="26">
                  <c:v>12.89</c:v>
                </c:pt>
                <c:pt idx="27">
                  <c:v>12.68</c:v>
                </c:pt>
                <c:pt idx="28">
                  <c:v>12.95</c:v>
                </c:pt>
                <c:pt idx="29">
                  <c:v>13.14</c:v>
                </c:pt>
                <c:pt idx="30">
                  <c:v>12.94</c:v>
                </c:pt>
                <c:pt idx="31">
                  <c:v>12.8</c:v>
                </c:pt>
                <c:pt idx="32">
                  <c:v>12.66</c:v>
                </c:pt>
                <c:pt idx="33">
                  <c:v>12.87</c:v>
                </c:pt>
                <c:pt idx="34">
                  <c:v>13.03</c:v>
                </c:pt>
                <c:pt idx="35">
                  <c:v>12.64</c:v>
                </c:pt>
                <c:pt idx="36">
                  <c:v>11.38</c:v>
                </c:pt>
                <c:pt idx="37">
                  <c:v>10.46</c:v>
                </c:pt>
                <c:pt idx="38">
                  <c:v>10.42</c:v>
                </c:pt>
                <c:pt idx="39">
                  <c:v>10.81</c:v>
                </c:pt>
                <c:pt idx="40">
                  <c:v>11.73</c:v>
                </c:pt>
                <c:pt idx="41">
                  <c:v>13.64</c:v>
                </c:pt>
                <c:pt idx="42">
                  <c:v>15.05</c:v>
                </c:pt>
                <c:pt idx="43">
                  <c:v>15.92</c:v>
                </c:pt>
                <c:pt idx="44">
                  <c:v>16.559999999999999</c:v>
                </c:pt>
                <c:pt idx="45">
                  <c:v>17.190000000000001</c:v>
                </c:pt>
                <c:pt idx="46">
                  <c:v>17.43</c:v>
                </c:pt>
                <c:pt idx="47">
                  <c:v>17.88</c:v>
                </c:pt>
                <c:pt idx="48">
                  <c:v>18.57</c:v>
                </c:pt>
                <c:pt idx="49">
                  <c:v>18.78</c:v>
                </c:pt>
                <c:pt idx="50">
                  <c:v>18.75</c:v>
                </c:pt>
                <c:pt idx="51">
                  <c:v>18.989999999999998</c:v>
                </c:pt>
                <c:pt idx="52">
                  <c:v>18.670000000000002</c:v>
                </c:pt>
                <c:pt idx="53">
                  <c:v>18.38</c:v>
                </c:pt>
                <c:pt idx="54">
                  <c:v>17.809999999999999</c:v>
                </c:pt>
                <c:pt idx="55">
                  <c:v>16.82</c:v>
                </c:pt>
                <c:pt idx="56">
                  <c:v>16.05</c:v>
                </c:pt>
                <c:pt idx="57">
                  <c:v>15.3</c:v>
                </c:pt>
                <c:pt idx="58">
                  <c:v>14.81</c:v>
                </c:pt>
                <c:pt idx="59">
                  <c:v>14.17</c:v>
                </c:pt>
                <c:pt idx="60">
                  <c:v>13.63</c:v>
                </c:pt>
                <c:pt idx="61">
                  <c:v>12.97</c:v>
                </c:pt>
                <c:pt idx="62">
                  <c:v>12.35</c:v>
                </c:pt>
                <c:pt idx="63">
                  <c:v>11.77</c:v>
                </c:pt>
                <c:pt idx="64">
                  <c:v>11.41</c:v>
                </c:pt>
                <c:pt idx="65">
                  <c:v>10.97</c:v>
                </c:pt>
                <c:pt idx="66">
                  <c:v>10.75</c:v>
                </c:pt>
                <c:pt idx="67">
                  <c:v>10.83</c:v>
                </c:pt>
                <c:pt idx="68">
                  <c:v>10.52</c:v>
                </c:pt>
                <c:pt idx="69">
                  <c:v>10.050000000000001</c:v>
                </c:pt>
                <c:pt idx="70">
                  <c:v>9.6199999999999992</c:v>
                </c:pt>
                <c:pt idx="71">
                  <c:v>9.2100000000000009</c:v>
                </c:pt>
                <c:pt idx="72">
                  <c:v>9.34</c:v>
                </c:pt>
                <c:pt idx="73">
                  <c:v>9.2899999999999991</c:v>
                </c:pt>
                <c:pt idx="74">
                  <c:v>9.0299999999999994</c:v>
                </c:pt>
                <c:pt idx="75">
                  <c:v>8.82</c:v>
                </c:pt>
                <c:pt idx="76">
                  <c:v>8.6199999999999992</c:v>
                </c:pt>
                <c:pt idx="77">
                  <c:v>8.43</c:v>
                </c:pt>
                <c:pt idx="78">
                  <c:v>8.3699999999999992</c:v>
                </c:pt>
                <c:pt idx="79">
                  <c:v>8.0299999999999994</c:v>
                </c:pt>
                <c:pt idx="80">
                  <c:v>7.68</c:v>
                </c:pt>
                <c:pt idx="81">
                  <c:v>7.71</c:v>
                </c:pt>
                <c:pt idx="82">
                  <c:v>7.95</c:v>
                </c:pt>
                <c:pt idx="83">
                  <c:v>7.99</c:v>
                </c:pt>
                <c:pt idx="84">
                  <c:v>7.91</c:v>
                </c:pt>
                <c:pt idx="85">
                  <c:v>7.81</c:v>
                </c:pt>
                <c:pt idx="86">
                  <c:v>7.72</c:v>
                </c:pt>
                <c:pt idx="87">
                  <c:v>7.77</c:v>
                </c:pt>
                <c:pt idx="88">
                  <c:v>8.5299999999999994</c:v>
                </c:pt>
                <c:pt idx="89">
                  <c:v>9.4600000000000009</c:v>
                </c:pt>
                <c:pt idx="90">
                  <c:v>10.59</c:v>
                </c:pt>
                <c:pt idx="91">
                  <c:v>10.98</c:v>
                </c:pt>
                <c:pt idx="92">
                  <c:v>11.97</c:v>
                </c:pt>
                <c:pt idx="93">
                  <c:v>12.91</c:v>
                </c:pt>
                <c:pt idx="94">
                  <c:v>13.65</c:v>
                </c:pt>
                <c:pt idx="95">
                  <c:v>14.42</c:v>
                </c:pt>
                <c:pt idx="96">
                  <c:v>15.17</c:v>
                </c:pt>
                <c:pt idx="97">
                  <c:v>16.100000000000001</c:v>
                </c:pt>
                <c:pt idx="98">
                  <c:v>16.899999999999999</c:v>
                </c:pt>
                <c:pt idx="99">
                  <c:v>17.350000000000001</c:v>
                </c:pt>
                <c:pt idx="100">
                  <c:v>17.48</c:v>
                </c:pt>
                <c:pt idx="101">
                  <c:v>16.72</c:v>
                </c:pt>
                <c:pt idx="102">
                  <c:v>16.16</c:v>
                </c:pt>
                <c:pt idx="103">
                  <c:v>15.83</c:v>
                </c:pt>
                <c:pt idx="104">
                  <c:v>15.61</c:v>
                </c:pt>
                <c:pt idx="105">
                  <c:v>15.37</c:v>
                </c:pt>
                <c:pt idx="106">
                  <c:v>15.45</c:v>
                </c:pt>
                <c:pt idx="107">
                  <c:v>15.35</c:v>
                </c:pt>
                <c:pt idx="108">
                  <c:v>15.42</c:v>
                </c:pt>
                <c:pt idx="109">
                  <c:v>14.98</c:v>
                </c:pt>
                <c:pt idx="110">
                  <c:v>14.75</c:v>
                </c:pt>
                <c:pt idx="111">
                  <c:v>14.82</c:v>
                </c:pt>
                <c:pt idx="112">
                  <c:v>14.45</c:v>
                </c:pt>
                <c:pt idx="113">
                  <c:v>14.76</c:v>
                </c:pt>
                <c:pt idx="114">
                  <c:v>14.5</c:v>
                </c:pt>
                <c:pt idx="115">
                  <c:v>14.54</c:v>
                </c:pt>
                <c:pt idx="116">
                  <c:v>14.35</c:v>
                </c:pt>
                <c:pt idx="117">
                  <c:v>14.28</c:v>
                </c:pt>
                <c:pt idx="118">
                  <c:v>14.03</c:v>
                </c:pt>
                <c:pt idx="119">
                  <c:v>13.92</c:v>
                </c:pt>
                <c:pt idx="120">
                  <c:v>14.68</c:v>
                </c:pt>
                <c:pt idx="121">
                  <c:v>14.54</c:v>
                </c:pt>
                <c:pt idx="122">
                  <c:v>14.27</c:v>
                </c:pt>
                <c:pt idx="123">
                  <c:v>14.4</c:v>
                </c:pt>
                <c:pt idx="124">
                  <c:v>14.03</c:v>
                </c:pt>
                <c:pt idx="125">
                  <c:v>14.21</c:v>
                </c:pt>
                <c:pt idx="126">
                  <c:v>13.98</c:v>
                </c:pt>
                <c:pt idx="127">
                  <c:v>13.29</c:v>
                </c:pt>
                <c:pt idx="128">
                  <c:v>12.77</c:v>
                </c:pt>
                <c:pt idx="129">
                  <c:v>12.53</c:v>
                </c:pt>
                <c:pt idx="130">
                  <c:v>12.42</c:v>
                </c:pt>
                <c:pt idx="131">
                  <c:v>11.77</c:v>
                </c:pt>
                <c:pt idx="132">
                  <c:v>11.87</c:v>
                </c:pt>
                <c:pt idx="133">
                  <c:v>12.89</c:v>
                </c:pt>
                <c:pt idx="134">
                  <c:v>13.92</c:v>
                </c:pt>
                <c:pt idx="135">
                  <c:v>14.14</c:v>
                </c:pt>
                <c:pt idx="136">
                  <c:v>14.6</c:v>
                </c:pt>
                <c:pt idx="137">
                  <c:v>15.48</c:v>
                </c:pt>
                <c:pt idx="138">
                  <c:v>16.13</c:v>
                </c:pt>
                <c:pt idx="139">
                  <c:v>16.489999999999998</c:v>
                </c:pt>
                <c:pt idx="140">
                  <c:v>16.97</c:v>
                </c:pt>
                <c:pt idx="141">
                  <c:v>17.53</c:v>
                </c:pt>
                <c:pt idx="142">
                  <c:v>17.86</c:v>
                </c:pt>
                <c:pt idx="143">
                  <c:v>18.03</c:v>
                </c:pt>
                <c:pt idx="144">
                  <c:v>18.55</c:v>
                </c:pt>
                <c:pt idx="145">
                  <c:v>19.079999999999998</c:v>
                </c:pt>
                <c:pt idx="146">
                  <c:v>18.989999999999998</c:v>
                </c:pt>
                <c:pt idx="147">
                  <c:v>19.32</c:v>
                </c:pt>
                <c:pt idx="148">
                  <c:v>19.489999999999998</c:v>
                </c:pt>
                <c:pt idx="149">
                  <c:v>19.46</c:v>
                </c:pt>
                <c:pt idx="150">
                  <c:v>18.18</c:v>
                </c:pt>
                <c:pt idx="151">
                  <c:v>16.37</c:v>
                </c:pt>
                <c:pt idx="152">
                  <c:v>15.4</c:v>
                </c:pt>
                <c:pt idx="153">
                  <c:v>14.94</c:v>
                </c:pt>
                <c:pt idx="154">
                  <c:v>14.64</c:v>
                </c:pt>
                <c:pt idx="155">
                  <c:v>14.46</c:v>
                </c:pt>
                <c:pt idx="156">
                  <c:v>13.88</c:v>
                </c:pt>
                <c:pt idx="157">
                  <c:v>13.34</c:v>
                </c:pt>
                <c:pt idx="158">
                  <c:v>12.79</c:v>
                </c:pt>
                <c:pt idx="159">
                  <c:v>11.83</c:v>
                </c:pt>
                <c:pt idx="160">
                  <c:v>11.15</c:v>
                </c:pt>
                <c:pt idx="161">
                  <c:v>10.58</c:v>
                </c:pt>
                <c:pt idx="162">
                  <c:v>10.34</c:v>
                </c:pt>
                <c:pt idx="163">
                  <c:v>10.34</c:v>
                </c:pt>
                <c:pt idx="164">
                  <c:v>9.98</c:v>
                </c:pt>
                <c:pt idx="165">
                  <c:v>9.8699999999999992</c:v>
                </c:pt>
                <c:pt idx="166">
                  <c:v>9.6300000000000008</c:v>
                </c:pt>
                <c:pt idx="167">
                  <c:v>9.41</c:v>
                </c:pt>
                <c:pt idx="168">
                  <c:v>9.1300000000000008</c:v>
                </c:pt>
                <c:pt idx="169">
                  <c:v>8.83</c:v>
                </c:pt>
                <c:pt idx="170">
                  <c:v>8.6199999999999992</c:v>
                </c:pt>
                <c:pt idx="171">
                  <c:v>8.4700000000000006</c:v>
                </c:pt>
                <c:pt idx="172">
                  <c:v>8.73</c:v>
                </c:pt>
                <c:pt idx="173">
                  <c:v>8.82</c:v>
                </c:pt>
                <c:pt idx="174">
                  <c:v>9.0299999999999994</c:v>
                </c:pt>
                <c:pt idx="175">
                  <c:v>8.93</c:v>
                </c:pt>
                <c:pt idx="176">
                  <c:v>8.9</c:v>
                </c:pt>
                <c:pt idx="177">
                  <c:v>8.8800000000000008</c:v>
                </c:pt>
                <c:pt idx="178">
                  <c:v>8.65</c:v>
                </c:pt>
                <c:pt idx="179">
                  <c:v>8.57</c:v>
                </c:pt>
                <c:pt idx="180">
                  <c:v>8.3800000000000008</c:v>
                </c:pt>
                <c:pt idx="181">
                  <c:v>8.6</c:v>
                </c:pt>
                <c:pt idx="182">
                  <c:v>9.14</c:v>
                </c:pt>
                <c:pt idx="183">
                  <c:v>9.65</c:v>
                </c:pt>
                <c:pt idx="184">
                  <c:v>10.07</c:v>
                </c:pt>
                <c:pt idx="185">
                  <c:v>10.47</c:v>
                </c:pt>
                <c:pt idx="186">
                  <c:v>10.87</c:v>
                </c:pt>
                <c:pt idx="187">
                  <c:v>11.25</c:v>
                </c:pt>
                <c:pt idx="188">
                  <c:v>11.48</c:v>
                </c:pt>
                <c:pt idx="189">
                  <c:v>11.68</c:v>
                </c:pt>
                <c:pt idx="190">
                  <c:v>11.91</c:v>
                </c:pt>
                <c:pt idx="191">
                  <c:v>12.37</c:v>
                </c:pt>
                <c:pt idx="192">
                  <c:v>13.04</c:v>
                </c:pt>
                <c:pt idx="193">
                  <c:v>13.7</c:v>
                </c:pt>
                <c:pt idx="194">
                  <c:v>13.97</c:v>
                </c:pt>
                <c:pt idx="195">
                  <c:v>14.07</c:v>
                </c:pt>
                <c:pt idx="196">
                  <c:v>14.01</c:v>
                </c:pt>
                <c:pt idx="197">
                  <c:v>13.9</c:v>
                </c:pt>
                <c:pt idx="198">
                  <c:v>13.7</c:v>
                </c:pt>
                <c:pt idx="199">
                  <c:v>13.35</c:v>
                </c:pt>
                <c:pt idx="200">
                  <c:v>13.12</c:v>
                </c:pt>
                <c:pt idx="201">
                  <c:v>12.91</c:v>
                </c:pt>
                <c:pt idx="202">
                  <c:v>12.65</c:v>
                </c:pt>
                <c:pt idx="203">
                  <c:v>12.59</c:v>
                </c:pt>
                <c:pt idx="204">
                  <c:v>12.5</c:v>
                </c:pt>
                <c:pt idx="205">
                  <c:v>12.31</c:v>
                </c:pt>
                <c:pt idx="206">
                  <c:v>12.01</c:v>
                </c:pt>
                <c:pt idx="207">
                  <c:v>11.55</c:v>
                </c:pt>
                <c:pt idx="208">
                  <c:v>11.14</c:v>
                </c:pt>
                <c:pt idx="209">
                  <c:v>10.84</c:v>
                </c:pt>
                <c:pt idx="210">
                  <c:v>10.7</c:v>
                </c:pt>
                <c:pt idx="211">
                  <c:v>10.5</c:v>
                </c:pt>
                <c:pt idx="212">
                  <c:v>10.14</c:v>
                </c:pt>
                <c:pt idx="213">
                  <c:v>9.84</c:v>
                </c:pt>
                <c:pt idx="214">
                  <c:v>9.6999999999999993</c:v>
                </c:pt>
                <c:pt idx="215">
                  <c:v>9.52</c:v>
                </c:pt>
                <c:pt idx="216">
                  <c:v>9.32</c:v>
                </c:pt>
                <c:pt idx="217">
                  <c:v>9.14</c:v>
                </c:pt>
                <c:pt idx="218">
                  <c:v>9.16</c:v>
                </c:pt>
                <c:pt idx="219">
                  <c:v>8.94</c:v>
                </c:pt>
                <c:pt idx="220">
                  <c:v>8.81</c:v>
                </c:pt>
                <c:pt idx="221">
                  <c:v>8.68</c:v>
                </c:pt>
                <c:pt idx="222">
                  <c:v>8.35</c:v>
                </c:pt>
                <c:pt idx="223">
                  <c:v>8.1300000000000008</c:v>
                </c:pt>
                <c:pt idx="224">
                  <c:v>8.1</c:v>
                </c:pt>
                <c:pt idx="225">
                  <c:v>8.07</c:v>
                </c:pt>
                <c:pt idx="226">
                  <c:v>7.85</c:v>
                </c:pt>
                <c:pt idx="227">
                  <c:v>7.81</c:v>
                </c:pt>
                <c:pt idx="228">
                  <c:v>7.88</c:v>
                </c:pt>
                <c:pt idx="229">
                  <c:v>7.81</c:v>
                </c:pt>
                <c:pt idx="230">
                  <c:v>7.74</c:v>
                </c:pt>
                <c:pt idx="231">
                  <c:v>8.0299999999999994</c:v>
                </c:pt>
                <c:pt idx="232">
                  <c:v>8.9600000000000009</c:v>
                </c:pt>
                <c:pt idx="233">
                  <c:v>10.35</c:v>
                </c:pt>
                <c:pt idx="234">
                  <c:v>11.57</c:v>
                </c:pt>
                <c:pt idx="235">
                  <c:v>12.44</c:v>
                </c:pt>
                <c:pt idx="236">
                  <c:v>13.29</c:v>
                </c:pt>
                <c:pt idx="237">
                  <c:v>13.85</c:v>
                </c:pt>
                <c:pt idx="238">
                  <c:v>14.32</c:v>
                </c:pt>
                <c:pt idx="239">
                  <c:v>15.18</c:v>
                </c:pt>
                <c:pt idx="240">
                  <c:v>15.85</c:v>
                </c:pt>
                <c:pt idx="241">
                  <c:v>16.43</c:v>
                </c:pt>
                <c:pt idx="242">
                  <c:v>16.79</c:v>
                </c:pt>
                <c:pt idx="243">
                  <c:v>17.25</c:v>
                </c:pt>
                <c:pt idx="244">
                  <c:v>17.63</c:v>
                </c:pt>
                <c:pt idx="245">
                  <c:v>17.66</c:v>
                </c:pt>
                <c:pt idx="246">
                  <c:v>17.87</c:v>
                </c:pt>
                <c:pt idx="247">
                  <c:v>16.55</c:v>
                </c:pt>
                <c:pt idx="248">
                  <c:v>15.73</c:v>
                </c:pt>
                <c:pt idx="249">
                  <c:v>14.95</c:v>
                </c:pt>
                <c:pt idx="250">
                  <c:v>14.01</c:v>
                </c:pt>
                <c:pt idx="251">
                  <c:v>13.34</c:v>
                </c:pt>
                <c:pt idx="252">
                  <c:v>13.36</c:v>
                </c:pt>
                <c:pt idx="253">
                  <c:v>12.53</c:v>
                </c:pt>
                <c:pt idx="254">
                  <c:v>11.86</c:v>
                </c:pt>
                <c:pt idx="255">
                  <c:v>11.34</c:v>
                </c:pt>
                <c:pt idx="256">
                  <c:v>10.84</c:v>
                </c:pt>
                <c:pt idx="257">
                  <c:v>10.38</c:v>
                </c:pt>
                <c:pt idx="258">
                  <c:v>10.23</c:v>
                </c:pt>
                <c:pt idx="259">
                  <c:v>9.6300000000000008</c:v>
                </c:pt>
                <c:pt idx="260">
                  <c:v>9.3699999999999992</c:v>
                </c:pt>
                <c:pt idx="261">
                  <c:v>8.92</c:v>
                </c:pt>
                <c:pt idx="262">
                  <c:v>9.06</c:v>
                </c:pt>
                <c:pt idx="263">
                  <c:v>9.19</c:v>
                </c:pt>
                <c:pt idx="264">
                  <c:v>9.27</c:v>
                </c:pt>
                <c:pt idx="265">
                  <c:v>9.18</c:v>
                </c:pt>
                <c:pt idx="266">
                  <c:v>8.85</c:v>
                </c:pt>
                <c:pt idx="267">
                  <c:v>8.6199999999999992</c:v>
                </c:pt>
                <c:pt idx="268">
                  <c:v>8.52</c:v>
                </c:pt>
                <c:pt idx="269">
                  <c:v>8.49</c:v>
                </c:pt>
                <c:pt idx="270">
                  <c:v>8.39</c:v>
                </c:pt>
                <c:pt idx="271">
                  <c:v>8.11</c:v>
                </c:pt>
                <c:pt idx="272">
                  <c:v>7.67</c:v>
                </c:pt>
                <c:pt idx="273">
                  <c:v>7.43</c:v>
                </c:pt>
                <c:pt idx="274">
                  <c:v>7.39</c:v>
                </c:pt>
                <c:pt idx="275">
                  <c:v>7.29</c:v>
                </c:pt>
                <c:pt idx="276">
                  <c:v>7.02</c:v>
                </c:pt>
                <c:pt idx="277">
                  <c:v>6.75</c:v>
                </c:pt>
                <c:pt idx="278">
                  <c:v>6.73</c:v>
                </c:pt>
                <c:pt idx="279">
                  <c:v>7.15</c:v>
                </c:pt>
                <c:pt idx="280">
                  <c:v>8.31</c:v>
                </c:pt>
                <c:pt idx="281">
                  <c:v>9.01</c:v>
                </c:pt>
                <c:pt idx="282">
                  <c:v>10</c:v>
                </c:pt>
                <c:pt idx="283">
                  <c:v>10.98</c:v>
                </c:pt>
                <c:pt idx="284">
                  <c:v>11.72</c:v>
                </c:pt>
                <c:pt idx="285">
                  <c:v>12.9</c:v>
                </c:pt>
                <c:pt idx="286">
                  <c:v>13.53</c:v>
                </c:pt>
                <c:pt idx="287">
                  <c:v>14.48</c:v>
                </c:pt>
                <c:pt idx="288">
                  <c:v>15.33</c:v>
                </c:pt>
                <c:pt idx="289">
                  <c:v>16.12</c:v>
                </c:pt>
                <c:pt idx="290">
                  <c:v>16.73</c:v>
                </c:pt>
                <c:pt idx="291">
                  <c:v>17.13</c:v>
                </c:pt>
                <c:pt idx="292">
                  <c:v>17.2</c:v>
                </c:pt>
                <c:pt idx="293">
                  <c:v>17.190000000000001</c:v>
                </c:pt>
                <c:pt idx="294">
                  <c:v>17.02</c:v>
                </c:pt>
                <c:pt idx="295">
                  <c:v>16.02</c:v>
                </c:pt>
                <c:pt idx="296">
                  <c:v>14.99</c:v>
                </c:pt>
                <c:pt idx="297">
                  <c:v>14.12</c:v>
                </c:pt>
                <c:pt idx="298">
                  <c:v>13.62</c:v>
                </c:pt>
                <c:pt idx="299">
                  <c:v>13.09</c:v>
                </c:pt>
                <c:pt idx="300">
                  <c:v>12.89</c:v>
                </c:pt>
                <c:pt idx="301">
                  <c:v>12.58</c:v>
                </c:pt>
                <c:pt idx="302">
                  <c:v>11.9</c:v>
                </c:pt>
                <c:pt idx="303">
                  <c:v>11.47</c:v>
                </c:pt>
                <c:pt idx="304">
                  <c:v>11.44</c:v>
                </c:pt>
                <c:pt idx="305">
                  <c:v>11.79</c:v>
                </c:pt>
                <c:pt idx="306">
                  <c:v>11.62</c:v>
                </c:pt>
                <c:pt idx="307">
                  <c:v>11.19</c:v>
                </c:pt>
                <c:pt idx="308">
                  <c:v>10.42</c:v>
                </c:pt>
                <c:pt idx="309">
                  <c:v>9.98</c:v>
                </c:pt>
                <c:pt idx="310">
                  <c:v>10.050000000000001</c:v>
                </c:pt>
                <c:pt idx="311">
                  <c:v>9.8800000000000008</c:v>
                </c:pt>
                <c:pt idx="312">
                  <c:v>9.32</c:v>
                </c:pt>
                <c:pt idx="313">
                  <c:v>9.18</c:v>
                </c:pt>
                <c:pt idx="314">
                  <c:v>9.0299999999999994</c:v>
                </c:pt>
                <c:pt idx="315">
                  <c:v>9</c:v>
                </c:pt>
                <c:pt idx="316">
                  <c:v>8.99</c:v>
                </c:pt>
                <c:pt idx="317">
                  <c:v>8.91</c:v>
                </c:pt>
                <c:pt idx="318">
                  <c:v>8.8000000000000007</c:v>
                </c:pt>
                <c:pt idx="319">
                  <c:v>8.6300000000000008</c:v>
                </c:pt>
                <c:pt idx="320">
                  <c:v>8.58</c:v>
                </c:pt>
                <c:pt idx="321">
                  <c:v>8.43</c:v>
                </c:pt>
                <c:pt idx="322">
                  <c:v>8.32</c:v>
                </c:pt>
                <c:pt idx="323">
                  <c:v>8.36</c:v>
                </c:pt>
                <c:pt idx="324">
                  <c:v>8.16</c:v>
                </c:pt>
                <c:pt idx="325">
                  <c:v>8.18</c:v>
                </c:pt>
                <c:pt idx="326">
                  <c:v>8.23</c:v>
                </c:pt>
                <c:pt idx="327">
                  <c:v>8.52</c:v>
                </c:pt>
                <c:pt idx="328">
                  <c:v>9.42</c:v>
                </c:pt>
                <c:pt idx="329">
                  <c:v>11.24</c:v>
                </c:pt>
                <c:pt idx="330">
                  <c:v>12.41</c:v>
                </c:pt>
                <c:pt idx="331">
                  <c:v>12.49</c:v>
                </c:pt>
                <c:pt idx="332">
                  <c:v>12.29</c:v>
                </c:pt>
                <c:pt idx="333">
                  <c:v>12.72</c:v>
                </c:pt>
                <c:pt idx="334">
                  <c:v>13.8</c:v>
                </c:pt>
                <c:pt idx="335">
                  <c:v>14.95</c:v>
                </c:pt>
                <c:pt idx="336">
                  <c:v>15.55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A3-0A45-9E1A-2B5F1581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093759"/>
        <c:axId val="687486095"/>
      </c:lineChart>
      <c:dateAx>
        <c:axId val="1336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687486095"/>
        <c:scaling>
          <c:orientation val="minMax"/>
          <c:max val="3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93759"/>
        <c:crosses val="max"/>
        <c:crossBetween val="between"/>
      </c:valAx>
      <c:catAx>
        <c:axId val="687093759"/>
        <c:scaling>
          <c:orientation val="minMax"/>
        </c:scaling>
        <c:delete val="1"/>
        <c:axPos val="b"/>
        <c:majorTickMark val="out"/>
        <c:minorTickMark val="none"/>
        <c:tickLblPos val="nextTo"/>
        <c:crossAx val="687486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Public Sans"/>
              </a:rPr>
              <a:t>Electricity Spot Price in the NEM (AUD per MWh)</a:t>
            </a:r>
          </a:p>
        </c:rich>
      </c:tx>
      <c:layout>
        <c:manualLayout>
          <c:xMode val="edge"/>
          <c:yMode val="edge"/>
          <c:x val="0.372102723339233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815023262680327E-2"/>
          <c:y val="7.8739319807949862E-2"/>
          <c:w val="0.91939313853660465"/>
          <c:h val="0.792455409184894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'General Price Trends'!$W$1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'General Price Trends'!$A$2:$A$338</c:f>
              <c:numCache>
                <c:formatCode>m/d/yy\ h:mm</c:formatCode>
                <c:ptCount val="337"/>
                <c:pt idx="0">
                  <c:v>45849.520833333336</c:v>
                </c:pt>
                <c:pt idx="1">
                  <c:v>45849.541666666664</c:v>
                </c:pt>
                <c:pt idx="2">
                  <c:v>45849.5625</c:v>
                </c:pt>
                <c:pt idx="3">
                  <c:v>45849.583333333336</c:v>
                </c:pt>
                <c:pt idx="4">
                  <c:v>45849.604166666664</c:v>
                </c:pt>
                <c:pt idx="5">
                  <c:v>45849.625</c:v>
                </c:pt>
                <c:pt idx="6">
                  <c:v>45849.645833333336</c:v>
                </c:pt>
                <c:pt idx="7">
                  <c:v>45849.666666666664</c:v>
                </c:pt>
                <c:pt idx="8">
                  <c:v>45849.6875</c:v>
                </c:pt>
                <c:pt idx="9">
                  <c:v>45849.708333333336</c:v>
                </c:pt>
                <c:pt idx="10">
                  <c:v>45849.729166666664</c:v>
                </c:pt>
                <c:pt idx="11">
                  <c:v>45849.75</c:v>
                </c:pt>
                <c:pt idx="12">
                  <c:v>45849.770833333336</c:v>
                </c:pt>
                <c:pt idx="13">
                  <c:v>45849.791666666664</c:v>
                </c:pt>
                <c:pt idx="14">
                  <c:v>45849.8125</c:v>
                </c:pt>
                <c:pt idx="15">
                  <c:v>45849.833333333336</c:v>
                </c:pt>
                <c:pt idx="16">
                  <c:v>45849.854166666664</c:v>
                </c:pt>
                <c:pt idx="17">
                  <c:v>45849.875</c:v>
                </c:pt>
                <c:pt idx="18">
                  <c:v>45849.895833333336</c:v>
                </c:pt>
                <c:pt idx="19">
                  <c:v>45849.916666666664</c:v>
                </c:pt>
                <c:pt idx="20">
                  <c:v>45849.9375</c:v>
                </c:pt>
                <c:pt idx="21">
                  <c:v>45849.958333333336</c:v>
                </c:pt>
                <c:pt idx="22">
                  <c:v>45849.979166666664</c:v>
                </c:pt>
                <c:pt idx="23">
                  <c:v>45850</c:v>
                </c:pt>
                <c:pt idx="24">
                  <c:v>45850.020833333336</c:v>
                </c:pt>
                <c:pt idx="25">
                  <c:v>45850.041666666664</c:v>
                </c:pt>
                <c:pt idx="26">
                  <c:v>45850.0625</c:v>
                </c:pt>
                <c:pt idx="27">
                  <c:v>45850.083333333336</c:v>
                </c:pt>
                <c:pt idx="28">
                  <c:v>45850.104166666664</c:v>
                </c:pt>
                <c:pt idx="29">
                  <c:v>45850.125</c:v>
                </c:pt>
                <c:pt idx="30">
                  <c:v>45850.145833333336</c:v>
                </c:pt>
                <c:pt idx="31">
                  <c:v>45850.166666666664</c:v>
                </c:pt>
                <c:pt idx="32">
                  <c:v>45850.1875</c:v>
                </c:pt>
                <c:pt idx="33">
                  <c:v>45850.208333333336</c:v>
                </c:pt>
                <c:pt idx="34">
                  <c:v>45850.229166666664</c:v>
                </c:pt>
                <c:pt idx="35">
                  <c:v>45850.25</c:v>
                </c:pt>
                <c:pt idx="36">
                  <c:v>45850.270833333336</c:v>
                </c:pt>
                <c:pt idx="37">
                  <c:v>45850.291666666664</c:v>
                </c:pt>
                <c:pt idx="38">
                  <c:v>45850.3125</c:v>
                </c:pt>
                <c:pt idx="39">
                  <c:v>45850.333333333336</c:v>
                </c:pt>
                <c:pt idx="40">
                  <c:v>45850.354166666664</c:v>
                </c:pt>
                <c:pt idx="41">
                  <c:v>45850.375</c:v>
                </c:pt>
                <c:pt idx="42">
                  <c:v>45850.395833333336</c:v>
                </c:pt>
                <c:pt idx="43">
                  <c:v>45850.416666666664</c:v>
                </c:pt>
                <c:pt idx="44">
                  <c:v>45850.4375</c:v>
                </c:pt>
                <c:pt idx="45">
                  <c:v>45850.458333333336</c:v>
                </c:pt>
                <c:pt idx="46">
                  <c:v>45850.479166666664</c:v>
                </c:pt>
                <c:pt idx="47">
                  <c:v>45850.5</c:v>
                </c:pt>
                <c:pt idx="48">
                  <c:v>45850.520833333336</c:v>
                </c:pt>
                <c:pt idx="49">
                  <c:v>45850.541666666664</c:v>
                </c:pt>
                <c:pt idx="50">
                  <c:v>45850.5625</c:v>
                </c:pt>
                <c:pt idx="51">
                  <c:v>45850.583333333336</c:v>
                </c:pt>
                <c:pt idx="52">
                  <c:v>45850.604166666664</c:v>
                </c:pt>
                <c:pt idx="53">
                  <c:v>45850.625</c:v>
                </c:pt>
                <c:pt idx="54">
                  <c:v>45850.645833333336</c:v>
                </c:pt>
                <c:pt idx="55">
                  <c:v>45850.666666666664</c:v>
                </c:pt>
                <c:pt idx="56">
                  <c:v>45850.6875</c:v>
                </c:pt>
                <c:pt idx="57">
                  <c:v>45850.708333333336</c:v>
                </c:pt>
                <c:pt idx="58">
                  <c:v>45850.729166666664</c:v>
                </c:pt>
                <c:pt idx="59">
                  <c:v>45850.75</c:v>
                </c:pt>
                <c:pt idx="60">
                  <c:v>45850.770833333336</c:v>
                </c:pt>
                <c:pt idx="61">
                  <c:v>45850.791666666664</c:v>
                </c:pt>
                <c:pt idx="62">
                  <c:v>45850.8125</c:v>
                </c:pt>
                <c:pt idx="63">
                  <c:v>45850.833333333336</c:v>
                </c:pt>
                <c:pt idx="64">
                  <c:v>45850.854166666664</c:v>
                </c:pt>
                <c:pt idx="65">
                  <c:v>45850.875</c:v>
                </c:pt>
                <c:pt idx="66">
                  <c:v>45850.895833333336</c:v>
                </c:pt>
                <c:pt idx="67">
                  <c:v>45850.916666666664</c:v>
                </c:pt>
                <c:pt idx="68">
                  <c:v>45850.9375</c:v>
                </c:pt>
                <c:pt idx="69">
                  <c:v>45850.958333333336</c:v>
                </c:pt>
                <c:pt idx="70">
                  <c:v>45850.979166666664</c:v>
                </c:pt>
                <c:pt idx="71">
                  <c:v>45851</c:v>
                </c:pt>
                <c:pt idx="72">
                  <c:v>45851.020833333336</c:v>
                </c:pt>
                <c:pt idx="73">
                  <c:v>45851.041666666664</c:v>
                </c:pt>
                <c:pt idx="74">
                  <c:v>45851.0625</c:v>
                </c:pt>
                <c:pt idx="75">
                  <c:v>45851.083333333336</c:v>
                </c:pt>
                <c:pt idx="76">
                  <c:v>45851.104166666664</c:v>
                </c:pt>
                <c:pt idx="77">
                  <c:v>45851.125</c:v>
                </c:pt>
                <c:pt idx="78">
                  <c:v>45851.145833333336</c:v>
                </c:pt>
                <c:pt idx="79">
                  <c:v>45851.166666666664</c:v>
                </c:pt>
                <c:pt idx="80">
                  <c:v>45851.1875</c:v>
                </c:pt>
                <c:pt idx="81">
                  <c:v>45851.208333333336</c:v>
                </c:pt>
                <c:pt idx="82">
                  <c:v>45851.229166666664</c:v>
                </c:pt>
                <c:pt idx="83">
                  <c:v>45851.25</c:v>
                </c:pt>
                <c:pt idx="84">
                  <c:v>45851.270833333336</c:v>
                </c:pt>
                <c:pt idx="85">
                  <c:v>45851.291666666664</c:v>
                </c:pt>
                <c:pt idx="86">
                  <c:v>45851.3125</c:v>
                </c:pt>
                <c:pt idx="87">
                  <c:v>45851.333333333336</c:v>
                </c:pt>
                <c:pt idx="88">
                  <c:v>45851.354166666664</c:v>
                </c:pt>
                <c:pt idx="89">
                  <c:v>45851.375</c:v>
                </c:pt>
                <c:pt idx="90">
                  <c:v>45851.395833333336</c:v>
                </c:pt>
                <c:pt idx="91">
                  <c:v>45851.416666666664</c:v>
                </c:pt>
                <c:pt idx="92">
                  <c:v>45851.4375</c:v>
                </c:pt>
                <c:pt idx="93">
                  <c:v>45851.458333333336</c:v>
                </c:pt>
                <c:pt idx="94">
                  <c:v>45851.479166666664</c:v>
                </c:pt>
                <c:pt idx="95">
                  <c:v>45851.5</c:v>
                </c:pt>
                <c:pt idx="96">
                  <c:v>45851.520833333336</c:v>
                </c:pt>
                <c:pt idx="97">
                  <c:v>45851.541666666664</c:v>
                </c:pt>
                <c:pt idx="98">
                  <c:v>45851.5625</c:v>
                </c:pt>
                <c:pt idx="99">
                  <c:v>45851.583333333336</c:v>
                </c:pt>
                <c:pt idx="100">
                  <c:v>45851.604166666664</c:v>
                </c:pt>
                <c:pt idx="101">
                  <c:v>45851.625</c:v>
                </c:pt>
                <c:pt idx="102">
                  <c:v>45851.645833333336</c:v>
                </c:pt>
                <c:pt idx="103">
                  <c:v>45851.666666666664</c:v>
                </c:pt>
                <c:pt idx="104">
                  <c:v>45851.6875</c:v>
                </c:pt>
                <c:pt idx="105">
                  <c:v>45851.708333333336</c:v>
                </c:pt>
                <c:pt idx="106">
                  <c:v>45851.729166666664</c:v>
                </c:pt>
                <c:pt idx="107">
                  <c:v>45851.75</c:v>
                </c:pt>
                <c:pt idx="108">
                  <c:v>45851.770833333336</c:v>
                </c:pt>
                <c:pt idx="109">
                  <c:v>45851.791666666664</c:v>
                </c:pt>
                <c:pt idx="110">
                  <c:v>45851.8125</c:v>
                </c:pt>
                <c:pt idx="111">
                  <c:v>45851.833333333336</c:v>
                </c:pt>
                <c:pt idx="112">
                  <c:v>45851.854166666664</c:v>
                </c:pt>
                <c:pt idx="113">
                  <c:v>45851.875</c:v>
                </c:pt>
                <c:pt idx="114">
                  <c:v>45851.895833333336</c:v>
                </c:pt>
                <c:pt idx="115">
                  <c:v>45851.916666666664</c:v>
                </c:pt>
                <c:pt idx="116">
                  <c:v>45851.9375</c:v>
                </c:pt>
                <c:pt idx="117">
                  <c:v>45851.958333333336</c:v>
                </c:pt>
                <c:pt idx="118">
                  <c:v>45851.979166666664</c:v>
                </c:pt>
                <c:pt idx="119">
                  <c:v>45852</c:v>
                </c:pt>
                <c:pt idx="120">
                  <c:v>45852.020833333336</c:v>
                </c:pt>
                <c:pt idx="121">
                  <c:v>45852.041666666664</c:v>
                </c:pt>
                <c:pt idx="122">
                  <c:v>45852.0625</c:v>
                </c:pt>
                <c:pt idx="123">
                  <c:v>45852.083333333336</c:v>
                </c:pt>
                <c:pt idx="124">
                  <c:v>45852.104166666664</c:v>
                </c:pt>
                <c:pt idx="125">
                  <c:v>45852.125</c:v>
                </c:pt>
                <c:pt idx="126">
                  <c:v>45852.145833333336</c:v>
                </c:pt>
                <c:pt idx="127">
                  <c:v>45852.166666666664</c:v>
                </c:pt>
                <c:pt idx="128">
                  <c:v>45852.1875</c:v>
                </c:pt>
                <c:pt idx="129">
                  <c:v>45852.208333333336</c:v>
                </c:pt>
                <c:pt idx="130">
                  <c:v>45852.229166666664</c:v>
                </c:pt>
                <c:pt idx="131">
                  <c:v>45852.25</c:v>
                </c:pt>
                <c:pt idx="132">
                  <c:v>45852.270833333336</c:v>
                </c:pt>
                <c:pt idx="133">
                  <c:v>45852.291666666664</c:v>
                </c:pt>
                <c:pt idx="134">
                  <c:v>45852.3125</c:v>
                </c:pt>
                <c:pt idx="135">
                  <c:v>45852.333333333336</c:v>
                </c:pt>
                <c:pt idx="136">
                  <c:v>45852.354166666664</c:v>
                </c:pt>
                <c:pt idx="137">
                  <c:v>45852.375</c:v>
                </c:pt>
                <c:pt idx="138">
                  <c:v>45852.395833333336</c:v>
                </c:pt>
                <c:pt idx="139">
                  <c:v>45852.416666666664</c:v>
                </c:pt>
                <c:pt idx="140">
                  <c:v>45852.4375</c:v>
                </c:pt>
                <c:pt idx="141">
                  <c:v>45852.458333333336</c:v>
                </c:pt>
                <c:pt idx="142">
                  <c:v>45852.479166666664</c:v>
                </c:pt>
                <c:pt idx="143">
                  <c:v>45852.5</c:v>
                </c:pt>
                <c:pt idx="144">
                  <c:v>45852.520833333336</c:v>
                </c:pt>
                <c:pt idx="145">
                  <c:v>45852.541666666664</c:v>
                </c:pt>
                <c:pt idx="146">
                  <c:v>45852.5625</c:v>
                </c:pt>
                <c:pt idx="147">
                  <c:v>45852.583333333336</c:v>
                </c:pt>
                <c:pt idx="148">
                  <c:v>45852.604166666664</c:v>
                </c:pt>
                <c:pt idx="149">
                  <c:v>45852.625</c:v>
                </c:pt>
                <c:pt idx="150">
                  <c:v>45852.645833333336</c:v>
                </c:pt>
                <c:pt idx="151">
                  <c:v>45852.666666666664</c:v>
                </c:pt>
                <c:pt idx="152">
                  <c:v>45852.6875</c:v>
                </c:pt>
                <c:pt idx="153">
                  <c:v>45852.708333333336</c:v>
                </c:pt>
                <c:pt idx="154">
                  <c:v>45852.729166666664</c:v>
                </c:pt>
                <c:pt idx="155">
                  <c:v>45852.75</c:v>
                </c:pt>
                <c:pt idx="156">
                  <c:v>45852.770833333336</c:v>
                </c:pt>
                <c:pt idx="157">
                  <c:v>45852.791666666664</c:v>
                </c:pt>
                <c:pt idx="158">
                  <c:v>45852.8125</c:v>
                </c:pt>
                <c:pt idx="159">
                  <c:v>45852.833333333336</c:v>
                </c:pt>
                <c:pt idx="160">
                  <c:v>45852.854166666664</c:v>
                </c:pt>
                <c:pt idx="161">
                  <c:v>45852.875</c:v>
                </c:pt>
                <c:pt idx="162">
                  <c:v>45852.895833333336</c:v>
                </c:pt>
                <c:pt idx="163">
                  <c:v>45852.916666666664</c:v>
                </c:pt>
                <c:pt idx="164">
                  <c:v>45852.9375</c:v>
                </c:pt>
                <c:pt idx="165">
                  <c:v>45852.958333333336</c:v>
                </c:pt>
                <c:pt idx="166">
                  <c:v>45852.979166666664</c:v>
                </c:pt>
                <c:pt idx="167">
                  <c:v>45853</c:v>
                </c:pt>
                <c:pt idx="168">
                  <c:v>45853.020833333336</c:v>
                </c:pt>
                <c:pt idx="169">
                  <c:v>45853.041666666664</c:v>
                </c:pt>
                <c:pt idx="170">
                  <c:v>45853.0625</c:v>
                </c:pt>
                <c:pt idx="171">
                  <c:v>45853.083333333336</c:v>
                </c:pt>
                <c:pt idx="172">
                  <c:v>45853.104166666664</c:v>
                </c:pt>
                <c:pt idx="173">
                  <c:v>45853.125</c:v>
                </c:pt>
                <c:pt idx="174">
                  <c:v>45853.145833333336</c:v>
                </c:pt>
                <c:pt idx="175">
                  <c:v>45853.166666666664</c:v>
                </c:pt>
                <c:pt idx="176">
                  <c:v>45853.1875</c:v>
                </c:pt>
                <c:pt idx="177">
                  <c:v>45853.208333333336</c:v>
                </c:pt>
                <c:pt idx="178">
                  <c:v>45853.229166666664</c:v>
                </c:pt>
                <c:pt idx="179">
                  <c:v>45853.25</c:v>
                </c:pt>
                <c:pt idx="180">
                  <c:v>45853.270833333336</c:v>
                </c:pt>
                <c:pt idx="181">
                  <c:v>45853.291666666664</c:v>
                </c:pt>
                <c:pt idx="182">
                  <c:v>45853.3125</c:v>
                </c:pt>
                <c:pt idx="183">
                  <c:v>45853.333333333336</c:v>
                </c:pt>
                <c:pt idx="184">
                  <c:v>45853.354166666664</c:v>
                </c:pt>
                <c:pt idx="185">
                  <c:v>45853.375</c:v>
                </c:pt>
                <c:pt idx="186">
                  <c:v>45853.395833333336</c:v>
                </c:pt>
                <c:pt idx="187">
                  <c:v>45853.416666666664</c:v>
                </c:pt>
                <c:pt idx="188">
                  <c:v>45853.4375</c:v>
                </c:pt>
                <c:pt idx="189">
                  <c:v>45853.458333333336</c:v>
                </c:pt>
                <c:pt idx="190">
                  <c:v>45853.479166666664</c:v>
                </c:pt>
                <c:pt idx="191">
                  <c:v>45853.5</c:v>
                </c:pt>
                <c:pt idx="192">
                  <c:v>45853.520833333336</c:v>
                </c:pt>
                <c:pt idx="193">
                  <c:v>45853.541666666664</c:v>
                </c:pt>
                <c:pt idx="194">
                  <c:v>45853.5625</c:v>
                </c:pt>
                <c:pt idx="195">
                  <c:v>45853.583333333336</c:v>
                </c:pt>
                <c:pt idx="196">
                  <c:v>45853.604166666664</c:v>
                </c:pt>
                <c:pt idx="197">
                  <c:v>45853.625</c:v>
                </c:pt>
                <c:pt idx="198">
                  <c:v>45853.645833333336</c:v>
                </c:pt>
                <c:pt idx="199">
                  <c:v>45853.666666666664</c:v>
                </c:pt>
                <c:pt idx="200">
                  <c:v>45853.6875</c:v>
                </c:pt>
                <c:pt idx="201">
                  <c:v>45853.708333333336</c:v>
                </c:pt>
                <c:pt idx="202">
                  <c:v>45853.729166666664</c:v>
                </c:pt>
                <c:pt idx="203">
                  <c:v>45853.75</c:v>
                </c:pt>
                <c:pt idx="204">
                  <c:v>45853.770833333336</c:v>
                </c:pt>
                <c:pt idx="205">
                  <c:v>45853.791666666664</c:v>
                </c:pt>
                <c:pt idx="206">
                  <c:v>45853.8125</c:v>
                </c:pt>
                <c:pt idx="207">
                  <c:v>45853.833333333336</c:v>
                </c:pt>
                <c:pt idx="208">
                  <c:v>45853.854166666664</c:v>
                </c:pt>
                <c:pt idx="209">
                  <c:v>45853.875</c:v>
                </c:pt>
                <c:pt idx="210">
                  <c:v>45853.895833333336</c:v>
                </c:pt>
                <c:pt idx="211">
                  <c:v>45853.916666666664</c:v>
                </c:pt>
                <c:pt idx="212">
                  <c:v>45853.9375</c:v>
                </c:pt>
                <c:pt idx="213">
                  <c:v>45853.958333333336</c:v>
                </c:pt>
                <c:pt idx="214">
                  <c:v>45853.979166666664</c:v>
                </c:pt>
                <c:pt idx="215">
                  <c:v>45854</c:v>
                </c:pt>
                <c:pt idx="216">
                  <c:v>45854.020833333336</c:v>
                </c:pt>
                <c:pt idx="217">
                  <c:v>45854.041666666664</c:v>
                </c:pt>
                <c:pt idx="218">
                  <c:v>45854.0625</c:v>
                </c:pt>
                <c:pt idx="219">
                  <c:v>45854.083333333336</c:v>
                </c:pt>
                <c:pt idx="220">
                  <c:v>45854.104166666664</c:v>
                </c:pt>
                <c:pt idx="221">
                  <c:v>45854.125</c:v>
                </c:pt>
                <c:pt idx="222">
                  <c:v>45854.145833333336</c:v>
                </c:pt>
                <c:pt idx="223">
                  <c:v>45854.166666666664</c:v>
                </c:pt>
                <c:pt idx="224">
                  <c:v>45854.1875</c:v>
                </c:pt>
                <c:pt idx="225">
                  <c:v>45854.208333333336</c:v>
                </c:pt>
                <c:pt idx="226">
                  <c:v>45854.229166666664</c:v>
                </c:pt>
                <c:pt idx="227">
                  <c:v>45854.25</c:v>
                </c:pt>
                <c:pt idx="228">
                  <c:v>45854.270833333336</c:v>
                </c:pt>
                <c:pt idx="229">
                  <c:v>45854.291666666664</c:v>
                </c:pt>
                <c:pt idx="230">
                  <c:v>45854.3125</c:v>
                </c:pt>
                <c:pt idx="231">
                  <c:v>45854.333333333336</c:v>
                </c:pt>
                <c:pt idx="232">
                  <c:v>45854.354166666664</c:v>
                </c:pt>
                <c:pt idx="233">
                  <c:v>45854.375</c:v>
                </c:pt>
                <c:pt idx="234">
                  <c:v>45854.395833333336</c:v>
                </c:pt>
                <c:pt idx="235">
                  <c:v>45854.416666666664</c:v>
                </c:pt>
                <c:pt idx="236">
                  <c:v>45854.4375</c:v>
                </c:pt>
                <c:pt idx="237">
                  <c:v>45854.458333333336</c:v>
                </c:pt>
                <c:pt idx="238">
                  <c:v>45854.479166666664</c:v>
                </c:pt>
                <c:pt idx="239">
                  <c:v>45854.5</c:v>
                </c:pt>
                <c:pt idx="240">
                  <c:v>45854.520833333336</c:v>
                </c:pt>
                <c:pt idx="241">
                  <c:v>45854.541666666664</c:v>
                </c:pt>
                <c:pt idx="242">
                  <c:v>45854.5625</c:v>
                </c:pt>
                <c:pt idx="243">
                  <c:v>45854.583333333336</c:v>
                </c:pt>
                <c:pt idx="244">
                  <c:v>45854.604166666664</c:v>
                </c:pt>
                <c:pt idx="245">
                  <c:v>45854.625</c:v>
                </c:pt>
                <c:pt idx="246">
                  <c:v>45854.645833333336</c:v>
                </c:pt>
                <c:pt idx="247">
                  <c:v>45854.666666666664</c:v>
                </c:pt>
                <c:pt idx="248">
                  <c:v>45854.6875</c:v>
                </c:pt>
                <c:pt idx="249">
                  <c:v>45854.708333333336</c:v>
                </c:pt>
                <c:pt idx="250">
                  <c:v>45854.729166666664</c:v>
                </c:pt>
                <c:pt idx="251">
                  <c:v>45854.75</c:v>
                </c:pt>
                <c:pt idx="252">
                  <c:v>45854.770833333336</c:v>
                </c:pt>
                <c:pt idx="253">
                  <c:v>45854.791666666664</c:v>
                </c:pt>
                <c:pt idx="254">
                  <c:v>45854.8125</c:v>
                </c:pt>
                <c:pt idx="255">
                  <c:v>45854.833333333336</c:v>
                </c:pt>
                <c:pt idx="256">
                  <c:v>45854.854166666664</c:v>
                </c:pt>
                <c:pt idx="257">
                  <c:v>45854.875</c:v>
                </c:pt>
                <c:pt idx="258">
                  <c:v>45854.895833333336</c:v>
                </c:pt>
                <c:pt idx="259">
                  <c:v>45854.916666666664</c:v>
                </c:pt>
                <c:pt idx="260">
                  <c:v>45854.9375</c:v>
                </c:pt>
                <c:pt idx="261">
                  <c:v>45854.958333333336</c:v>
                </c:pt>
                <c:pt idx="262">
                  <c:v>45854.979166666664</c:v>
                </c:pt>
                <c:pt idx="263">
                  <c:v>45855</c:v>
                </c:pt>
                <c:pt idx="264">
                  <c:v>45855.020833333336</c:v>
                </c:pt>
                <c:pt idx="265">
                  <c:v>45855.041666666664</c:v>
                </c:pt>
                <c:pt idx="266">
                  <c:v>45855.0625</c:v>
                </c:pt>
                <c:pt idx="267">
                  <c:v>45855.083333333336</c:v>
                </c:pt>
                <c:pt idx="268">
                  <c:v>45855.104166666664</c:v>
                </c:pt>
                <c:pt idx="269">
                  <c:v>45855.125</c:v>
                </c:pt>
                <c:pt idx="270">
                  <c:v>45855.145833333336</c:v>
                </c:pt>
                <c:pt idx="271">
                  <c:v>45855.166666666664</c:v>
                </c:pt>
                <c:pt idx="272">
                  <c:v>45855.1875</c:v>
                </c:pt>
                <c:pt idx="273">
                  <c:v>45855.208333333336</c:v>
                </c:pt>
                <c:pt idx="274">
                  <c:v>45855.229166666664</c:v>
                </c:pt>
                <c:pt idx="275">
                  <c:v>45855.25</c:v>
                </c:pt>
                <c:pt idx="276">
                  <c:v>45855.270833333336</c:v>
                </c:pt>
                <c:pt idx="277">
                  <c:v>45855.291666666664</c:v>
                </c:pt>
                <c:pt idx="278">
                  <c:v>45855.3125</c:v>
                </c:pt>
                <c:pt idx="279">
                  <c:v>45855.333333333336</c:v>
                </c:pt>
                <c:pt idx="280">
                  <c:v>45855.354166666664</c:v>
                </c:pt>
                <c:pt idx="281">
                  <c:v>45855.375</c:v>
                </c:pt>
                <c:pt idx="282">
                  <c:v>45855.395833333336</c:v>
                </c:pt>
                <c:pt idx="283">
                  <c:v>45855.416666666664</c:v>
                </c:pt>
                <c:pt idx="284">
                  <c:v>45855.4375</c:v>
                </c:pt>
                <c:pt idx="285">
                  <c:v>45855.458333333336</c:v>
                </c:pt>
                <c:pt idx="286">
                  <c:v>45855.479166666664</c:v>
                </c:pt>
                <c:pt idx="287">
                  <c:v>45855.5</c:v>
                </c:pt>
                <c:pt idx="288">
                  <c:v>45855.520833333336</c:v>
                </c:pt>
                <c:pt idx="289">
                  <c:v>45855.541666666664</c:v>
                </c:pt>
                <c:pt idx="290">
                  <c:v>45855.5625</c:v>
                </c:pt>
                <c:pt idx="291">
                  <c:v>45855.583333333336</c:v>
                </c:pt>
                <c:pt idx="292">
                  <c:v>45855.604166666664</c:v>
                </c:pt>
                <c:pt idx="293">
                  <c:v>45855.625</c:v>
                </c:pt>
                <c:pt idx="294">
                  <c:v>45855.645833333336</c:v>
                </c:pt>
                <c:pt idx="295">
                  <c:v>45855.666666666664</c:v>
                </c:pt>
                <c:pt idx="296">
                  <c:v>45855.6875</c:v>
                </c:pt>
                <c:pt idx="297">
                  <c:v>45855.708333333336</c:v>
                </c:pt>
                <c:pt idx="298">
                  <c:v>45855.729166666664</c:v>
                </c:pt>
                <c:pt idx="299">
                  <c:v>45855.75</c:v>
                </c:pt>
                <c:pt idx="300">
                  <c:v>45855.770833333336</c:v>
                </c:pt>
                <c:pt idx="301">
                  <c:v>45855.791666666664</c:v>
                </c:pt>
                <c:pt idx="302">
                  <c:v>45855.8125</c:v>
                </c:pt>
                <c:pt idx="303">
                  <c:v>45855.833333333336</c:v>
                </c:pt>
                <c:pt idx="304">
                  <c:v>45855.854166666664</c:v>
                </c:pt>
                <c:pt idx="305">
                  <c:v>45855.875</c:v>
                </c:pt>
                <c:pt idx="306">
                  <c:v>45855.895833333336</c:v>
                </c:pt>
                <c:pt idx="307">
                  <c:v>45855.916666666664</c:v>
                </c:pt>
                <c:pt idx="308">
                  <c:v>45855.9375</c:v>
                </c:pt>
                <c:pt idx="309">
                  <c:v>45855.958333333336</c:v>
                </c:pt>
                <c:pt idx="310">
                  <c:v>45855.979166666664</c:v>
                </c:pt>
                <c:pt idx="311">
                  <c:v>45856</c:v>
                </c:pt>
                <c:pt idx="312">
                  <c:v>45856.020833333336</c:v>
                </c:pt>
                <c:pt idx="313">
                  <c:v>45856.041666666664</c:v>
                </c:pt>
                <c:pt idx="314">
                  <c:v>45856.0625</c:v>
                </c:pt>
                <c:pt idx="315">
                  <c:v>45856.083333333336</c:v>
                </c:pt>
                <c:pt idx="316">
                  <c:v>45856.104166666664</c:v>
                </c:pt>
                <c:pt idx="317">
                  <c:v>45856.125</c:v>
                </c:pt>
                <c:pt idx="318">
                  <c:v>45856.145833333336</c:v>
                </c:pt>
                <c:pt idx="319">
                  <c:v>45856.166666666664</c:v>
                </c:pt>
                <c:pt idx="320">
                  <c:v>45856.1875</c:v>
                </c:pt>
                <c:pt idx="321">
                  <c:v>45856.208333333336</c:v>
                </c:pt>
                <c:pt idx="322">
                  <c:v>45856.229166666664</c:v>
                </c:pt>
                <c:pt idx="323">
                  <c:v>45856.25</c:v>
                </c:pt>
                <c:pt idx="324">
                  <c:v>45856.270833333336</c:v>
                </c:pt>
                <c:pt idx="325">
                  <c:v>45856.291666666664</c:v>
                </c:pt>
                <c:pt idx="326">
                  <c:v>45856.3125</c:v>
                </c:pt>
                <c:pt idx="327">
                  <c:v>45856.333333333336</c:v>
                </c:pt>
                <c:pt idx="328">
                  <c:v>45856.354166666664</c:v>
                </c:pt>
                <c:pt idx="329">
                  <c:v>45856.375</c:v>
                </c:pt>
                <c:pt idx="330">
                  <c:v>45856.395833333336</c:v>
                </c:pt>
                <c:pt idx="331">
                  <c:v>45856.416666666664</c:v>
                </c:pt>
                <c:pt idx="332">
                  <c:v>45856.4375</c:v>
                </c:pt>
                <c:pt idx="333">
                  <c:v>45856.458333333336</c:v>
                </c:pt>
                <c:pt idx="334">
                  <c:v>45856.479166666664</c:v>
                </c:pt>
                <c:pt idx="335">
                  <c:v>45856.5</c:v>
                </c:pt>
                <c:pt idx="336">
                  <c:v>45856.520833333336</c:v>
                </c:pt>
              </c:numCache>
            </c:numRef>
          </c:xVal>
          <c:yVal>
            <c:numRef>
              <c:f>'General Price Trends'!$W$2:$W$338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2D-3F47-AA15-503420058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496512"/>
        <c:axId val="1609498192"/>
      </c:scatterChart>
      <c:valAx>
        <c:axId val="1609496512"/>
        <c:scaling>
          <c:orientation val="minMax"/>
          <c:max val="45857"/>
          <c:min val="45849"/>
        </c:scaling>
        <c:delete val="0"/>
        <c:axPos val="b"/>
        <c:majorGridlines>
          <c:spPr>
            <a:ln w="1587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  <a:alpha val="57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Date</a:t>
                </a:r>
              </a:p>
            </c:rich>
          </c:tx>
          <c:layout>
            <c:manualLayout>
              <c:xMode val="edge"/>
              <c:yMode val="edge"/>
              <c:x val="0.51601407353054496"/>
              <c:y val="0.94976005376694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 mmmm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98192"/>
        <c:crosses val="autoZero"/>
        <c:crossBetween val="midCat"/>
        <c:minorUnit val="0.25"/>
      </c:valAx>
      <c:valAx>
        <c:axId val="16094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Price -</a:t>
                </a:r>
                <a:r>
                  <a:rPr lang="en-US" sz="1200" b="1" baseline="0"/>
                  <a:t> AUD/MWh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6.7602170879111669E-4"/>
              <c:y val="0.36939771792899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9651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'General Price Trends'!$D$1</c:f>
              <c:strCache>
                <c:ptCount val="1"/>
                <c:pt idx="0">
                  <c:v>Exports -  MW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'General Price Trends'!$D$2:$D$338</c:f>
              <c:numCache>
                <c:formatCode>#,##0</c:formatCode>
                <c:ptCount val="337"/>
                <c:pt idx="0">
                  <c:v>-255.91</c:v>
                </c:pt>
                <c:pt idx="1">
                  <c:v>-132.59</c:v>
                </c:pt>
                <c:pt idx="2">
                  <c:v>-10.54</c:v>
                </c:pt>
                <c:pt idx="3">
                  <c:v>-159.88999999999999</c:v>
                </c:pt>
                <c:pt idx="4">
                  <c:v>-151.47999999999999</c:v>
                </c:pt>
                <c:pt idx="5">
                  <c:v>-0.59</c:v>
                </c:pt>
                <c:pt idx="6">
                  <c:v>-125.35</c:v>
                </c:pt>
                <c:pt idx="7">
                  <c:v>-105.76</c:v>
                </c:pt>
                <c:pt idx="8">
                  <c:v>-157.65</c:v>
                </c:pt>
                <c:pt idx="9">
                  <c:v>-200.52</c:v>
                </c:pt>
                <c:pt idx="10">
                  <c:v>-208.53</c:v>
                </c:pt>
                <c:pt idx="11">
                  <c:v>-487.92</c:v>
                </c:pt>
                <c:pt idx="12">
                  <c:v>-510.44</c:v>
                </c:pt>
                <c:pt idx="13">
                  <c:v>-501.92</c:v>
                </c:pt>
                <c:pt idx="14">
                  <c:v>-551.23</c:v>
                </c:pt>
                <c:pt idx="15">
                  <c:v>-558.29</c:v>
                </c:pt>
                <c:pt idx="16">
                  <c:v>-555.45000000000005</c:v>
                </c:pt>
                <c:pt idx="17">
                  <c:v>-561.46</c:v>
                </c:pt>
                <c:pt idx="18">
                  <c:v>-599.28</c:v>
                </c:pt>
                <c:pt idx="19">
                  <c:v>-604.04</c:v>
                </c:pt>
                <c:pt idx="20">
                  <c:v>-480.9</c:v>
                </c:pt>
                <c:pt idx="21">
                  <c:v>-487.3</c:v>
                </c:pt>
                <c:pt idx="22">
                  <c:v>-480.83</c:v>
                </c:pt>
                <c:pt idx="23">
                  <c:v>-525.99</c:v>
                </c:pt>
                <c:pt idx="24">
                  <c:v>-597.52</c:v>
                </c:pt>
                <c:pt idx="25">
                  <c:v>-670.27</c:v>
                </c:pt>
                <c:pt idx="26">
                  <c:v>-476.18</c:v>
                </c:pt>
                <c:pt idx="27">
                  <c:v>-472.52</c:v>
                </c:pt>
                <c:pt idx="28">
                  <c:v>-507.07</c:v>
                </c:pt>
                <c:pt idx="29">
                  <c:v>-435.67</c:v>
                </c:pt>
                <c:pt idx="30">
                  <c:v>-431.77</c:v>
                </c:pt>
                <c:pt idx="31">
                  <c:v>-288.58999999999997</c:v>
                </c:pt>
                <c:pt idx="32">
                  <c:v>-146.09</c:v>
                </c:pt>
                <c:pt idx="33">
                  <c:v>-30.49</c:v>
                </c:pt>
                <c:pt idx="34">
                  <c:v>0</c:v>
                </c:pt>
                <c:pt idx="35">
                  <c:v>-9.35</c:v>
                </c:pt>
                <c:pt idx="36">
                  <c:v>-35.47</c:v>
                </c:pt>
                <c:pt idx="37">
                  <c:v>-4.84</c:v>
                </c:pt>
                <c:pt idx="38">
                  <c:v>-198.95</c:v>
                </c:pt>
                <c:pt idx="39">
                  <c:v>-658.99</c:v>
                </c:pt>
                <c:pt idx="40">
                  <c:v>-805</c:v>
                </c:pt>
                <c:pt idx="41">
                  <c:v>-805.21</c:v>
                </c:pt>
                <c:pt idx="42">
                  <c:v>-824.64</c:v>
                </c:pt>
                <c:pt idx="43">
                  <c:v>-811.29</c:v>
                </c:pt>
                <c:pt idx="44">
                  <c:v>-738.74</c:v>
                </c:pt>
                <c:pt idx="45">
                  <c:v>-644.01</c:v>
                </c:pt>
                <c:pt idx="46">
                  <c:v>-730.81</c:v>
                </c:pt>
                <c:pt idx="47">
                  <c:v>-729.48</c:v>
                </c:pt>
                <c:pt idx="48">
                  <c:v>-558.66999999999996</c:v>
                </c:pt>
                <c:pt idx="49">
                  <c:v>-493.76</c:v>
                </c:pt>
                <c:pt idx="50">
                  <c:v>-525.74</c:v>
                </c:pt>
                <c:pt idx="51">
                  <c:v>-530.42999999999995</c:v>
                </c:pt>
                <c:pt idx="52">
                  <c:v>-415.64</c:v>
                </c:pt>
                <c:pt idx="53">
                  <c:v>-329.66</c:v>
                </c:pt>
                <c:pt idx="54">
                  <c:v>-323.95</c:v>
                </c:pt>
                <c:pt idx="55">
                  <c:v>-178.82</c:v>
                </c:pt>
                <c:pt idx="56">
                  <c:v>-125.98</c:v>
                </c:pt>
                <c:pt idx="57">
                  <c:v>-126.06</c:v>
                </c:pt>
                <c:pt idx="58">
                  <c:v>-155.11000000000001</c:v>
                </c:pt>
                <c:pt idx="59">
                  <c:v>-101.71</c:v>
                </c:pt>
                <c:pt idx="60">
                  <c:v>-26.51</c:v>
                </c:pt>
                <c:pt idx="61">
                  <c:v>-1.6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-68.790000000000006</c:v>
                </c:pt>
                <c:pt idx="72">
                  <c:v>-47.18</c:v>
                </c:pt>
                <c:pt idx="73">
                  <c:v>-13.56</c:v>
                </c:pt>
                <c:pt idx="74">
                  <c:v>-4.1399999999999997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-1.54</c:v>
                </c:pt>
                <c:pt idx="80">
                  <c:v>-11.78</c:v>
                </c:pt>
                <c:pt idx="81">
                  <c:v>0</c:v>
                </c:pt>
                <c:pt idx="82">
                  <c:v>-71.02</c:v>
                </c:pt>
                <c:pt idx="83">
                  <c:v>-126.98</c:v>
                </c:pt>
                <c:pt idx="84">
                  <c:v>-106.09</c:v>
                </c:pt>
                <c:pt idx="85">
                  <c:v>-110.82</c:v>
                </c:pt>
                <c:pt idx="86">
                  <c:v>-27.54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-92.12</c:v>
                </c:pt>
                <c:pt idx="108">
                  <c:v>-78.16</c:v>
                </c:pt>
                <c:pt idx="109">
                  <c:v>-115.62</c:v>
                </c:pt>
                <c:pt idx="110">
                  <c:v>-186.1</c:v>
                </c:pt>
                <c:pt idx="111">
                  <c:v>-194.37</c:v>
                </c:pt>
                <c:pt idx="112">
                  <c:v>-197.29</c:v>
                </c:pt>
                <c:pt idx="113">
                  <c:v>-241.96</c:v>
                </c:pt>
                <c:pt idx="114">
                  <c:v>-327.3</c:v>
                </c:pt>
                <c:pt idx="115">
                  <c:v>-360.81</c:v>
                </c:pt>
                <c:pt idx="116">
                  <c:v>-374.4</c:v>
                </c:pt>
                <c:pt idx="117">
                  <c:v>-394.42</c:v>
                </c:pt>
                <c:pt idx="118">
                  <c:v>-396.14</c:v>
                </c:pt>
                <c:pt idx="119">
                  <c:v>-487.28</c:v>
                </c:pt>
                <c:pt idx="120">
                  <c:v>-536.12</c:v>
                </c:pt>
                <c:pt idx="121">
                  <c:v>-538.34</c:v>
                </c:pt>
                <c:pt idx="122">
                  <c:v>-513.83000000000004</c:v>
                </c:pt>
                <c:pt idx="123">
                  <c:v>-459.97</c:v>
                </c:pt>
                <c:pt idx="124">
                  <c:v>-495.82</c:v>
                </c:pt>
                <c:pt idx="125">
                  <c:v>-498.8</c:v>
                </c:pt>
                <c:pt idx="126">
                  <c:v>-380.66</c:v>
                </c:pt>
                <c:pt idx="127">
                  <c:v>-325.73</c:v>
                </c:pt>
                <c:pt idx="128">
                  <c:v>-381.76</c:v>
                </c:pt>
                <c:pt idx="129">
                  <c:v>-461.29</c:v>
                </c:pt>
                <c:pt idx="130">
                  <c:v>-472.02</c:v>
                </c:pt>
                <c:pt idx="131">
                  <c:v>-573.94000000000005</c:v>
                </c:pt>
                <c:pt idx="132">
                  <c:v>-418.29</c:v>
                </c:pt>
                <c:pt idx="133">
                  <c:v>-376.64</c:v>
                </c:pt>
                <c:pt idx="134">
                  <c:v>-305.26</c:v>
                </c:pt>
                <c:pt idx="135">
                  <c:v>-223.76</c:v>
                </c:pt>
                <c:pt idx="136">
                  <c:v>-158.31</c:v>
                </c:pt>
                <c:pt idx="137">
                  <c:v>-324.17</c:v>
                </c:pt>
                <c:pt idx="138">
                  <c:v>-393.87</c:v>
                </c:pt>
                <c:pt idx="139">
                  <c:v>-359.41</c:v>
                </c:pt>
                <c:pt idx="140">
                  <c:v>-342.47</c:v>
                </c:pt>
                <c:pt idx="141">
                  <c:v>-315.85000000000002</c:v>
                </c:pt>
                <c:pt idx="142">
                  <c:v>-389.6</c:v>
                </c:pt>
                <c:pt idx="143">
                  <c:v>-520.09</c:v>
                </c:pt>
                <c:pt idx="144">
                  <c:v>-447.76</c:v>
                </c:pt>
                <c:pt idx="145">
                  <c:v>-440.61</c:v>
                </c:pt>
                <c:pt idx="146">
                  <c:v>-470.68</c:v>
                </c:pt>
                <c:pt idx="147">
                  <c:v>-477.19</c:v>
                </c:pt>
                <c:pt idx="148">
                  <c:v>-450.68</c:v>
                </c:pt>
                <c:pt idx="149">
                  <c:v>-394</c:v>
                </c:pt>
                <c:pt idx="150">
                  <c:v>-300.33</c:v>
                </c:pt>
                <c:pt idx="151">
                  <c:v>-314.72000000000003</c:v>
                </c:pt>
                <c:pt idx="152">
                  <c:v>-198.04</c:v>
                </c:pt>
                <c:pt idx="153">
                  <c:v>-265.77999999999997</c:v>
                </c:pt>
                <c:pt idx="154">
                  <c:v>-239.5</c:v>
                </c:pt>
                <c:pt idx="155">
                  <c:v>-19.45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-0.71</c:v>
                </c:pt>
                <c:pt idx="164">
                  <c:v>-26.18</c:v>
                </c:pt>
                <c:pt idx="165">
                  <c:v>-79.430000000000007</c:v>
                </c:pt>
                <c:pt idx="166">
                  <c:v>-52.28</c:v>
                </c:pt>
                <c:pt idx="167">
                  <c:v>-93.73</c:v>
                </c:pt>
                <c:pt idx="168">
                  <c:v>-95.08</c:v>
                </c:pt>
                <c:pt idx="169">
                  <c:v>-77.48</c:v>
                </c:pt>
                <c:pt idx="170">
                  <c:v>-106.28</c:v>
                </c:pt>
                <c:pt idx="171">
                  <c:v>-96.14</c:v>
                </c:pt>
                <c:pt idx="172">
                  <c:v>-5.42</c:v>
                </c:pt>
                <c:pt idx="173">
                  <c:v>-3.12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-16.48</c:v>
                </c:pt>
                <c:pt idx="178">
                  <c:v>-271.64999999999998</c:v>
                </c:pt>
                <c:pt idx="179">
                  <c:v>-528.04</c:v>
                </c:pt>
                <c:pt idx="180">
                  <c:v>-595.59</c:v>
                </c:pt>
                <c:pt idx="181">
                  <c:v>-525.15</c:v>
                </c:pt>
                <c:pt idx="182">
                  <c:v>-396.19</c:v>
                </c:pt>
                <c:pt idx="183">
                  <c:v>-234.83</c:v>
                </c:pt>
                <c:pt idx="184">
                  <c:v>-8.27</c:v>
                </c:pt>
                <c:pt idx="185">
                  <c:v>-64.959999999999994</c:v>
                </c:pt>
                <c:pt idx="186">
                  <c:v>-83.46</c:v>
                </c:pt>
                <c:pt idx="187">
                  <c:v>-58.73</c:v>
                </c:pt>
                <c:pt idx="188">
                  <c:v>-187.26</c:v>
                </c:pt>
                <c:pt idx="189">
                  <c:v>-187.7</c:v>
                </c:pt>
                <c:pt idx="190">
                  <c:v>-208.57</c:v>
                </c:pt>
                <c:pt idx="191">
                  <c:v>-262.39999999999998</c:v>
                </c:pt>
                <c:pt idx="192">
                  <c:v>-311.8</c:v>
                </c:pt>
                <c:pt idx="193">
                  <c:v>-423.77</c:v>
                </c:pt>
                <c:pt idx="194">
                  <c:v>-420.83</c:v>
                </c:pt>
                <c:pt idx="195">
                  <c:v>-325.36</c:v>
                </c:pt>
                <c:pt idx="196">
                  <c:v>-285.54000000000002</c:v>
                </c:pt>
                <c:pt idx="197">
                  <c:v>-1.7</c:v>
                </c:pt>
                <c:pt idx="198">
                  <c:v>-22.01</c:v>
                </c:pt>
                <c:pt idx="199">
                  <c:v>-14.79</c:v>
                </c:pt>
                <c:pt idx="200">
                  <c:v>-169.46</c:v>
                </c:pt>
                <c:pt idx="201">
                  <c:v>-60.01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-52.04</c:v>
                </c:pt>
                <c:pt idx="227">
                  <c:v>-66.040000000000006</c:v>
                </c:pt>
                <c:pt idx="228">
                  <c:v>-117.59</c:v>
                </c:pt>
                <c:pt idx="229">
                  <c:v>-35.78</c:v>
                </c:pt>
                <c:pt idx="230">
                  <c:v>-7.54</c:v>
                </c:pt>
                <c:pt idx="231">
                  <c:v>0</c:v>
                </c:pt>
                <c:pt idx="232">
                  <c:v>-103.05</c:v>
                </c:pt>
                <c:pt idx="233">
                  <c:v>-276.20999999999998</c:v>
                </c:pt>
                <c:pt idx="234">
                  <c:v>-254.46</c:v>
                </c:pt>
                <c:pt idx="235">
                  <c:v>-278.38</c:v>
                </c:pt>
                <c:pt idx="236">
                  <c:v>-290.77999999999997</c:v>
                </c:pt>
                <c:pt idx="237">
                  <c:v>-357.6</c:v>
                </c:pt>
                <c:pt idx="238">
                  <c:v>-236.64</c:v>
                </c:pt>
                <c:pt idx="239">
                  <c:v>-248.87</c:v>
                </c:pt>
                <c:pt idx="240">
                  <c:v>-283.45</c:v>
                </c:pt>
                <c:pt idx="241">
                  <c:v>-265.19</c:v>
                </c:pt>
                <c:pt idx="242">
                  <c:v>-282.10000000000002</c:v>
                </c:pt>
                <c:pt idx="243">
                  <c:v>-265.55</c:v>
                </c:pt>
                <c:pt idx="244">
                  <c:v>-233.49</c:v>
                </c:pt>
                <c:pt idx="245">
                  <c:v>-253.13</c:v>
                </c:pt>
                <c:pt idx="246">
                  <c:v>-270.01</c:v>
                </c:pt>
                <c:pt idx="247">
                  <c:v>-170.57</c:v>
                </c:pt>
                <c:pt idx="248">
                  <c:v>-294.61</c:v>
                </c:pt>
                <c:pt idx="249">
                  <c:v>-203.07</c:v>
                </c:pt>
                <c:pt idx="250">
                  <c:v>-73.92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-135.08000000000001</c:v>
                </c:pt>
                <c:pt idx="282">
                  <c:v>-267.99</c:v>
                </c:pt>
                <c:pt idx="283">
                  <c:v>-177.23</c:v>
                </c:pt>
                <c:pt idx="284">
                  <c:v>-162.01</c:v>
                </c:pt>
                <c:pt idx="285">
                  <c:v>-226.79</c:v>
                </c:pt>
                <c:pt idx="286">
                  <c:v>-287.95999999999998</c:v>
                </c:pt>
                <c:pt idx="287">
                  <c:v>-247.01</c:v>
                </c:pt>
                <c:pt idx="288">
                  <c:v>-170.09</c:v>
                </c:pt>
                <c:pt idx="289">
                  <c:v>-129.07</c:v>
                </c:pt>
                <c:pt idx="290">
                  <c:v>-130.47</c:v>
                </c:pt>
                <c:pt idx="291">
                  <c:v>-187.52</c:v>
                </c:pt>
                <c:pt idx="292">
                  <c:v>-170.98</c:v>
                </c:pt>
                <c:pt idx="293">
                  <c:v>-190.58</c:v>
                </c:pt>
                <c:pt idx="294">
                  <c:v>-271.32</c:v>
                </c:pt>
                <c:pt idx="295">
                  <c:v>-227.11</c:v>
                </c:pt>
                <c:pt idx="296">
                  <c:v>-224.95</c:v>
                </c:pt>
                <c:pt idx="297">
                  <c:v>-238.14</c:v>
                </c:pt>
                <c:pt idx="298">
                  <c:v>-247.09</c:v>
                </c:pt>
                <c:pt idx="299">
                  <c:v>-211.31</c:v>
                </c:pt>
                <c:pt idx="300">
                  <c:v>-103.97</c:v>
                </c:pt>
                <c:pt idx="301">
                  <c:v>-47.36</c:v>
                </c:pt>
                <c:pt idx="302">
                  <c:v>-87.06</c:v>
                </c:pt>
                <c:pt idx="303">
                  <c:v>-155.18</c:v>
                </c:pt>
                <c:pt idx="304">
                  <c:v>-230.05</c:v>
                </c:pt>
                <c:pt idx="305">
                  <c:v>-180.76</c:v>
                </c:pt>
                <c:pt idx="306">
                  <c:v>-202.07</c:v>
                </c:pt>
                <c:pt idx="307">
                  <c:v>-191.8</c:v>
                </c:pt>
                <c:pt idx="308">
                  <c:v>-108.46</c:v>
                </c:pt>
                <c:pt idx="309">
                  <c:v>-184.95</c:v>
                </c:pt>
                <c:pt idx="310">
                  <c:v>-188.5</c:v>
                </c:pt>
                <c:pt idx="311">
                  <c:v>-218.38</c:v>
                </c:pt>
                <c:pt idx="312">
                  <c:v>-189.4</c:v>
                </c:pt>
                <c:pt idx="313">
                  <c:v>-143.83000000000001</c:v>
                </c:pt>
                <c:pt idx="314">
                  <c:v>-174.89</c:v>
                </c:pt>
                <c:pt idx="315">
                  <c:v>-165.42</c:v>
                </c:pt>
                <c:pt idx="316">
                  <c:v>-156.04</c:v>
                </c:pt>
                <c:pt idx="317">
                  <c:v>-128.77000000000001</c:v>
                </c:pt>
                <c:pt idx="318">
                  <c:v>-150.55000000000001</c:v>
                </c:pt>
                <c:pt idx="319">
                  <c:v>-134.76</c:v>
                </c:pt>
                <c:pt idx="320">
                  <c:v>-91.01</c:v>
                </c:pt>
                <c:pt idx="321">
                  <c:v>-92.89</c:v>
                </c:pt>
                <c:pt idx="322">
                  <c:v>-139.56</c:v>
                </c:pt>
                <c:pt idx="323">
                  <c:v>-203.96</c:v>
                </c:pt>
                <c:pt idx="324">
                  <c:v>-142.37</c:v>
                </c:pt>
                <c:pt idx="325">
                  <c:v>-72.849999999999994</c:v>
                </c:pt>
                <c:pt idx="326">
                  <c:v>0</c:v>
                </c:pt>
                <c:pt idx="327">
                  <c:v>-60.3</c:v>
                </c:pt>
                <c:pt idx="328">
                  <c:v>-180.12</c:v>
                </c:pt>
                <c:pt idx="329">
                  <c:v>-274.92</c:v>
                </c:pt>
                <c:pt idx="330">
                  <c:v>-277.29000000000002</c:v>
                </c:pt>
                <c:pt idx="331">
                  <c:v>-264.02999999999997</c:v>
                </c:pt>
                <c:pt idx="332">
                  <c:v>-152.61000000000001</c:v>
                </c:pt>
                <c:pt idx="333">
                  <c:v>-30.38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1-144D-9AAA-0EAD2296AA2D}"/>
            </c:ext>
          </c:extLst>
        </c:ser>
        <c:ser>
          <c:idx val="1"/>
          <c:order val="1"/>
          <c:tx>
            <c:strRef>
              <c:f>'General Price Trends'!$E$1</c:f>
              <c:strCache>
                <c:ptCount val="1"/>
                <c:pt idx="0">
                  <c:v>Imports -  MW</c:v>
                </c:pt>
              </c:strCache>
            </c:strRef>
          </c:tx>
          <c:spPr>
            <a:solidFill>
              <a:schemeClr val="tx2"/>
            </a:solidFill>
            <a:ln w="25400">
              <a:noFill/>
            </a:ln>
            <a:effectLst/>
          </c:spPr>
          <c:val>
            <c:numRef>
              <c:f>'General Price Trends'!$E$2:$E$338</c:f>
              <c:numCache>
                <c:formatCode>#,##0</c:formatCode>
                <c:ptCount val="337"/>
                <c:pt idx="0">
                  <c:v>913.45</c:v>
                </c:pt>
                <c:pt idx="1">
                  <c:v>873.89</c:v>
                </c:pt>
                <c:pt idx="2">
                  <c:v>886.3</c:v>
                </c:pt>
                <c:pt idx="3">
                  <c:v>897.81</c:v>
                </c:pt>
                <c:pt idx="4">
                  <c:v>917.95</c:v>
                </c:pt>
                <c:pt idx="5">
                  <c:v>919.42</c:v>
                </c:pt>
                <c:pt idx="6">
                  <c:v>885.51</c:v>
                </c:pt>
                <c:pt idx="7">
                  <c:v>751.42</c:v>
                </c:pt>
                <c:pt idx="8">
                  <c:v>754.07</c:v>
                </c:pt>
                <c:pt idx="9">
                  <c:v>638.88</c:v>
                </c:pt>
                <c:pt idx="10">
                  <c:v>614.17999999999995</c:v>
                </c:pt>
                <c:pt idx="11">
                  <c:v>372.96</c:v>
                </c:pt>
                <c:pt idx="12">
                  <c:v>358.28</c:v>
                </c:pt>
                <c:pt idx="13">
                  <c:v>369.47</c:v>
                </c:pt>
                <c:pt idx="14">
                  <c:v>423.87</c:v>
                </c:pt>
                <c:pt idx="15">
                  <c:v>391.52</c:v>
                </c:pt>
                <c:pt idx="16">
                  <c:v>426.23</c:v>
                </c:pt>
                <c:pt idx="17">
                  <c:v>480.95</c:v>
                </c:pt>
                <c:pt idx="18">
                  <c:v>609.55999999999995</c:v>
                </c:pt>
                <c:pt idx="19">
                  <c:v>591.14</c:v>
                </c:pt>
                <c:pt idx="20">
                  <c:v>399.6</c:v>
                </c:pt>
                <c:pt idx="21">
                  <c:v>406.69</c:v>
                </c:pt>
                <c:pt idx="22">
                  <c:v>473.88</c:v>
                </c:pt>
                <c:pt idx="23">
                  <c:v>386.95</c:v>
                </c:pt>
                <c:pt idx="24">
                  <c:v>244.68</c:v>
                </c:pt>
                <c:pt idx="25">
                  <c:v>357.03</c:v>
                </c:pt>
                <c:pt idx="26">
                  <c:v>339.97</c:v>
                </c:pt>
                <c:pt idx="27">
                  <c:v>468.28</c:v>
                </c:pt>
                <c:pt idx="28">
                  <c:v>443.37</c:v>
                </c:pt>
                <c:pt idx="29">
                  <c:v>358.18</c:v>
                </c:pt>
                <c:pt idx="30">
                  <c:v>563.08000000000004</c:v>
                </c:pt>
                <c:pt idx="31">
                  <c:v>550.07000000000005</c:v>
                </c:pt>
                <c:pt idx="32">
                  <c:v>717.55</c:v>
                </c:pt>
                <c:pt idx="33">
                  <c:v>825.98</c:v>
                </c:pt>
                <c:pt idx="34">
                  <c:v>913.24</c:v>
                </c:pt>
                <c:pt idx="35">
                  <c:v>777.94</c:v>
                </c:pt>
                <c:pt idx="36">
                  <c:v>683.95</c:v>
                </c:pt>
                <c:pt idx="37">
                  <c:v>648.62</c:v>
                </c:pt>
                <c:pt idx="38">
                  <c:v>975.45</c:v>
                </c:pt>
                <c:pt idx="39">
                  <c:v>1201.9000000000001</c:v>
                </c:pt>
                <c:pt idx="40">
                  <c:v>1010.35</c:v>
                </c:pt>
                <c:pt idx="41">
                  <c:v>894.28</c:v>
                </c:pt>
                <c:pt idx="42">
                  <c:v>897.83</c:v>
                </c:pt>
                <c:pt idx="43">
                  <c:v>826.34</c:v>
                </c:pt>
                <c:pt idx="44">
                  <c:v>799.83</c:v>
                </c:pt>
                <c:pt idx="45">
                  <c:v>803.56</c:v>
                </c:pt>
                <c:pt idx="46">
                  <c:v>783.73</c:v>
                </c:pt>
                <c:pt idx="47">
                  <c:v>765.53</c:v>
                </c:pt>
                <c:pt idx="48">
                  <c:v>783.02</c:v>
                </c:pt>
                <c:pt idx="49">
                  <c:v>803.69</c:v>
                </c:pt>
                <c:pt idx="50">
                  <c:v>760.26</c:v>
                </c:pt>
                <c:pt idx="51">
                  <c:v>742.33</c:v>
                </c:pt>
                <c:pt idx="52">
                  <c:v>761.55</c:v>
                </c:pt>
                <c:pt idx="53">
                  <c:v>775.64</c:v>
                </c:pt>
                <c:pt idx="54">
                  <c:v>830.64</c:v>
                </c:pt>
                <c:pt idx="55">
                  <c:v>851.57</c:v>
                </c:pt>
                <c:pt idx="56">
                  <c:v>859.14</c:v>
                </c:pt>
                <c:pt idx="57">
                  <c:v>882.76</c:v>
                </c:pt>
                <c:pt idx="58">
                  <c:v>704.35</c:v>
                </c:pt>
                <c:pt idx="59">
                  <c:v>561.28</c:v>
                </c:pt>
                <c:pt idx="60">
                  <c:v>495.67</c:v>
                </c:pt>
                <c:pt idx="61">
                  <c:v>522.91</c:v>
                </c:pt>
                <c:pt idx="62">
                  <c:v>655.32000000000005</c:v>
                </c:pt>
                <c:pt idx="63">
                  <c:v>776.71</c:v>
                </c:pt>
                <c:pt idx="64">
                  <c:v>991.87</c:v>
                </c:pt>
                <c:pt idx="65">
                  <c:v>1424.57</c:v>
                </c:pt>
                <c:pt idx="66">
                  <c:v>1385.5</c:v>
                </c:pt>
                <c:pt idx="67">
                  <c:v>1340.24</c:v>
                </c:pt>
                <c:pt idx="68">
                  <c:v>1252.42</c:v>
                </c:pt>
                <c:pt idx="69">
                  <c:v>1223.02</c:v>
                </c:pt>
                <c:pt idx="70">
                  <c:v>1237.74</c:v>
                </c:pt>
                <c:pt idx="71">
                  <c:v>1179.3499999999999</c:v>
                </c:pt>
                <c:pt idx="72">
                  <c:v>1151.67</c:v>
                </c:pt>
                <c:pt idx="73">
                  <c:v>1158.3399999999999</c:v>
                </c:pt>
                <c:pt idx="74">
                  <c:v>1161.68</c:v>
                </c:pt>
                <c:pt idx="75">
                  <c:v>1161.04</c:v>
                </c:pt>
                <c:pt idx="76">
                  <c:v>1158.72</c:v>
                </c:pt>
                <c:pt idx="77">
                  <c:v>1188.4000000000001</c:v>
                </c:pt>
                <c:pt idx="78">
                  <c:v>1211.4000000000001</c:v>
                </c:pt>
                <c:pt idx="79">
                  <c:v>1120.46</c:v>
                </c:pt>
                <c:pt idx="80">
                  <c:v>1085.6400000000001</c:v>
                </c:pt>
                <c:pt idx="81">
                  <c:v>1093.72</c:v>
                </c:pt>
                <c:pt idx="82">
                  <c:v>1089.6099999999999</c:v>
                </c:pt>
                <c:pt idx="83">
                  <c:v>1083.81</c:v>
                </c:pt>
                <c:pt idx="84">
                  <c:v>1075.53</c:v>
                </c:pt>
                <c:pt idx="85">
                  <c:v>1093.71</c:v>
                </c:pt>
                <c:pt idx="86">
                  <c:v>1118.21</c:v>
                </c:pt>
                <c:pt idx="87">
                  <c:v>1266.75</c:v>
                </c:pt>
                <c:pt idx="88">
                  <c:v>1445.28</c:v>
                </c:pt>
                <c:pt idx="89">
                  <c:v>1633.49</c:v>
                </c:pt>
                <c:pt idx="90">
                  <c:v>1518.67</c:v>
                </c:pt>
                <c:pt idx="91">
                  <c:v>1468.46</c:v>
                </c:pt>
                <c:pt idx="92">
                  <c:v>1763.72</c:v>
                </c:pt>
                <c:pt idx="93">
                  <c:v>1753.49</c:v>
                </c:pt>
                <c:pt idx="94">
                  <c:v>1601.4</c:v>
                </c:pt>
                <c:pt idx="95">
                  <c:v>1342.77</c:v>
                </c:pt>
                <c:pt idx="96">
                  <c:v>1342.74</c:v>
                </c:pt>
                <c:pt idx="97">
                  <c:v>1313.14</c:v>
                </c:pt>
                <c:pt idx="98">
                  <c:v>1389.56</c:v>
                </c:pt>
                <c:pt idx="99">
                  <c:v>1556.16</c:v>
                </c:pt>
                <c:pt idx="100">
                  <c:v>1566.3</c:v>
                </c:pt>
                <c:pt idx="101">
                  <c:v>1534.91</c:v>
                </c:pt>
                <c:pt idx="102">
                  <c:v>1500.02</c:v>
                </c:pt>
                <c:pt idx="103">
                  <c:v>1607.4</c:v>
                </c:pt>
                <c:pt idx="104">
                  <c:v>1632.29</c:v>
                </c:pt>
                <c:pt idx="105">
                  <c:v>1409.38</c:v>
                </c:pt>
                <c:pt idx="106">
                  <c:v>1305.17</c:v>
                </c:pt>
                <c:pt idx="107">
                  <c:v>970.41</c:v>
                </c:pt>
                <c:pt idx="108">
                  <c:v>877.65</c:v>
                </c:pt>
                <c:pt idx="109">
                  <c:v>918.65</c:v>
                </c:pt>
                <c:pt idx="110">
                  <c:v>937.92</c:v>
                </c:pt>
                <c:pt idx="111">
                  <c:v>913.67</c:v>
                </c:pt>
                <c:pt idx="112">
                  <c:v>908.85</c:v>
                </c:pt>
                <c:pt idx="113">
                  <c:v>972.69</c:v>
                </c:pt>
                <c:pt idx="114">
                  <c:v>946.89</c:v>
                </c:pt>
                <c:pt idx="115">
                  <c:v>1010.1</c:v>
                </c:pt>
                <c:pt idx="116">
                  <c:v>978.88</c:v>
                </c:pt>
                <c:pt idx="117">
                  <c:v>942.93</c:v>
                </c:pt>
                <c:pt idx="118">
                  <c:v>946.21</c:v>
                </c:pt>
                <c:pt idx="119">
                  <c:v>856.24</c:v>
                </c:pt>
                <c:pt idx="120">
                  <c:v>809.98</c:v>
                </c:pt>
                <c:pt idx="121">
                  <c:v>797.4</c:v>
                </c:pt>
                <c:pt idx="122">
                  <c:v>792.88</c:v>
                </c:pt>
                <c:pt idx="123">
                  <c:v>761.6</c:v>
                </c:pt>
                <c:pt idx="124">
                  <c:v>791.54</c:v>
                </c:pt>
                <c:pt idx="125">
                  <c:v>780.83</c:v>
                </c:pt>
                <c:pt idx="126">
                  <c:v>713.11</c:v>
                </c:pt>
                <c:pt idx="127">
                  <c:v>661.26</c:v>
                </c:pt>
                <c:pt idx="128">
                  <c:v>578.07000000000005</c:v>
                </c:pt>
                <c:pt idx="129">
                  <c:v>475.77</c:v>
                </c:pt>
                <c:pt idx="130">
                  <c:v>210.95</c:v>
                </c:pt>
                <c:pt idx="131">
                  <c:v>0</c:v>
                </c:pt>
                <c:pt idx="132">
                  <c:v>0</c:v>
                </c:pt>
                <c:pt idx="133">
                  <c:v>15.8</c:v>
                </c:pt>
                <c:pt idx="134">
                  <c:v>0</c:v>
                </c:pt>
                <c:pt idx="135">
                  <c:v>8.4600000000000009</c:v>
                </c:pt>
                <c:pt idx="136">
                  <c:v>242.69</c:v>
                </c:pt>
                <c:pt idx="137">
                  <c:v>599.24</c:v>
                </c:pt>
                <c:pt idx="138">
                  <c:v>701.08</c:v>
                </c:pt>
                <c:pt idx="139">
                  <c:v>752.54</c:v>
                </c:pt>
                <c:pt idx="140">
                  <c:v>720</c:v>
                </c:pt>
                <c:pt idx="141">
                  <c:v>718.44</c:v>
                </c:pt>
                <c:pt idx="142">
                  <c:v>722.83</c:v>
                </c:pt>
                <c:pt idx="143">
                  <c:v>644.71</c:v>
                </c:pt>
                <c:pt idx="144">
                  <c:v>764.03</c:v>
                </c:pt>
                <c:pt idx="145">
                  <c:v>757.75</c:v>
                </c:pt>
                <c:pt idx="146">
                  <c:v>747.46</c:v>
                </c:pt>
                <c:pt idx="147">
                  <c:v>785.57</c:v>
                </c:pt>
                <c:pt idx="148">
                  <c:v>758.32</c:v>
                </c:pt>
                <c:pt idx="149">
                  <c:v>894.25</c:v>
                </c:pt>
                <c:pt idx="150">
                  <c:v>743.74</c:v>
                </c:pt>
                <c:pt idx="151">
                  <c:v>828.73</c:v>
                </c:pt>
                <c:pt idx="152">
                  <c:v>890.41</c:v>
                </c:pt>
                <c:pt idx="153">
                  <c:v>742.64</c:v>
                </c:pt>
                <c:pt idx="154">
                  <c:v>743.34</c:v>
                </c:pt>
                <c:pt idx="155">
                  <c:v>888.89</c:v>
                </c:pt>
                <c:pt idx="156">
                  <c:v>901.02</c:v>
                </c:pt>
                <c:pt idx="157">
                  <c:v>852.39</c:v>
                </c:pt>
                <c:pt idx="158">
                  <c:v>767.93</c:v>
                </c:pt>
                <c:pt idx="159">
                  <c:v>830.23</c:v>
                </c:pt>
                <c:pt idx="160">
                  <c:v>889.51</c:v>
                </c:pt>
                <c:pt idx="161">
                  <c:v>852.13</c:v>
                </c:pt>
                <c:pt idx="162">
                  <c:v>733.74</c:v>
                </c:pt>
                <c:pt idx="163">
                  <c:v>614.34</c:v>
                </c:pt>
                <c:pt idx="164">
                  <c:v>567.85</c:v>
                </c:pt>
                <c:pt idx="165">
                  <c:v>553.71</c:v>
                </c:pt>
                <c:pt idx="166">
                  <c:v>522.4</c:v>
                </c:pt>
                <c:pt idx="167">
                  <c:v>424.58</c:v>
                </c:pt>
                <c:pt idx="168">
                  <c:v>324.01</c:v>
                </c:pt>
                <c:pt idx="169">
                  <c:v>333.31</c:v>
                </c:pt>
                <c:pt idx="170">
                  <c:v>326.72000000000003</c:v>
                </c:pt>
                <c:pt idx="171">
                  <c:v>365.31</c:v>
                </c:pt>
                <c:pt idx="172">
                  <c:v>386.38</c:v>
                </c:pt>
                <c:pt idx="173">
                  <c:v>398.01</c:v>
                </c:pt>
                <c:pt idx="174">
                  <c:v>580.14</c:v>
                </c:pt>
                <c:pt idx="175">
                  <c:v>564.89</c:v>
                </c:pt>
                <c:pt idx="176">
                  <c:v>512.38</c:v>
                </c:pt>
                <c:pt idx="177">
                  <c:v>401.44</c:v>
                </c:pt>
                <c:pt idx="178">
                  <c:v>194.56</c:v>
                </c:pt>
                <c:pt idx="179">
                  <c:v>35.39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303.83999999999997</c:v>
                </c:pt>
                <c:pt idx="185">
                  <c:v>715.54</c:v>
                </c:pt>
                <c:pt idx="186">
                  <c:v>820.01</c:v>
                </c:pt>
                <c:pt idx="187">
                  <c:v>789.49</c:v>
                </c:pt>
                <c:pt idx="188">
                  <c:v>897.18</c:v>
                </c:pt>
                <c:pt idx="189">
                  <c:v>692.13</c:v>
                </c:pt>
                <c:pt idx="190">
                  <c:v>770.53</c:v>
                </c:pt>
                <c:pt idx="191">
                  <c:v>752.48</c:v>
                </c:pt>
                <c:pt idx="192">
                  <c:v>725.85</c:v>
                </c:pt>
                <c:pt idx="193">
                  <c:v>594.37</c:v>
                </c:pt>
                <c:pt idx="194">
                  <c:v>554.54</c:v>
                </c:pt>
                <c:pt idx="195">
                  <c:v>470.53</c:v>
                </c:pt>
                <c:pt idx="196">
                  <c:v>585.94000000000005</c:v>
                </c:pt>
                <c:pt idx="197">
                  <c:v>329.01</c:v>
                </c:pt>
                <c:pt idx="198">
                  <c:v>441.79</c:v>
                </c:pt>
                <c:pt idx="199">
                  <c:v>426.04</c:v>
                </c:pt>
                <c:pt idx="200">
                  <c:v>456.03</c:v>
                </c:pt>
                <c:pt idx="201">
                  <c:v>467.9</c:v>
                </c:pt>
                <c:pt idx="202">
                  <c:v>569.89</c:v>
                </c:pt>
                <c:pt idx="203">
                  <c:v>1059.2</c:v>
                </c:pt>
                <c:pt idx="204">
                  <c:v>1077.56</c:v>
                </c:pt>
                <c:pt idx="205">
                  <c:v>1066.77</c:v>
                </c:pt>
                <c:pt idx="206">
                  <c:v>1049.43</c:v>
                </c:pt>
                <c:pt idx="207">
                  <c:v>996.45</c:v>
                </c:pt>
                <c:pt idx="208">
                  <c:v>959.99</c:v>
                </c:pt>
                <c:pt idx="209">
                  <c:v>823.84</c:v>
                </c:pt>
                <c:pt idx="210">
                  <c:v>826.52</c:v>
                </c:pt>
                <c:pt idx="211">
                  <c:v>839.63</c:v>
                </c:pt>
                <c:pt idx="212">
                  <c:v>789.57</c:v>
                </c:pt>
                <c:pt idx="213">
                  <c:v>788.15</c:v>
                </c:pt>
                <c:pt idx="214">
                  <c:v>786.67</c:v>
                </c:pt>
                <c:pt idx="215">
                  <c:v>782.11</c:v>
                </c:pt>
                <c:pt idx="216">
                  <c:v>856.85</c:v>
                </c:pt>
                <c:pt idx="217">
                  <c:v>940.09</c:v>
                </c:pt>
                <c:pt idx="218">
                  <c:v>911.07</c:v>
                </c:pt>
                <c:pt idx="219">
                  <c:v>940.03</c:v>
                </c:pt>
                <c:pt idx="220">
                  <c:v>888.7</c:v>
                </c:pt>
                <c:pt idx="221">
                  <c:v>979.77</c:v>
                </c:pt>
                <c:pt idx="222">
                  <c:v>1177.1400000000001</c:v>
                </c:pt>
                <c:pt idx="223">
                  <c:v>1162.75</c:v>
                </c:pt>
                <c:pt idx="224">
                  <c:v>1146.95</c:v>
                </c:pt>
                <c:pt idx="225">
                  <c:v>1084.27</c:v>
                </c:pt>
                <c:pt idx="226">
                  <c:v>989.79</c:v>
                </c:pt>
                <c:pt idx="227">
                  <c:v>707.07</c:v>
                </c:pt>
                <c:pt idx="228">
                  <c:v>667.32</c:v>
                </c:pt>
                <c:pt idx="229">
                  <c:v>583.91999999999996</c:v>
                </c:pt>
                <c:pt idx="230">
                  <c:v>734.9</c:v>
                </c:pt>
                <c:pt idx="231">
                  <c:v>714.54</c:v>
                </c:pt>
                <c:pt idx="232">
                  <c:v>962.71</c:v>
                </c:pt>
                <c:pt idx="233">
                  <c:v>1228.28</c:v>
                </c:pt>
                <c:pt idx="234">
                  <c:v>1162.07</c:v>
                </c:pt>
                <c:pt idx="235">
                  <c:v>1122.33</c:v>
                </c:pt>
                <c:pt idx="236">
                  <c:v>1114.8900000000001</c:v>
                </c:pt>
                <c:pt idx="237">
                  <c:v>1113.3</c:v>
                </c:pt>
                <c:pt idx="238">
                  <c:v>1052.3499999999999</c:v>
                </c:pt>
                <c:pt idx="239">
                  <c:v>925.28</c:v>
                </c:pt>
                <c:pt idx="240">
                  <c:v>914.72</c:v>
                </c:pt>
                <c:pt idx="241">
                  <c:v>907.66</c:v>
                </c:pt>
                <c:pt idx="242">
                  <c:v>906.06</c:v>
                </c:pt>
                <c:pt idx="243">
                  <c:v>863.9</c:v>
                </c:pt>
                <c:pt idx="244">
                  <c:v>907.39</c:v>
                </c:pt>
                <c:pt idx="245">
                  <c:v>804.33</c:v>
                </c:pt>
                <c:pt idx="246">
                  <c:v>805.58</c:v>
                </c:pt>
                <c:pt idx="247">
                  <c:v>726.44</c:v>
                </c:pt>
                <c:pt idx="248">
                  <c:v>617.04</c:v>
                </c:pt>
                <c:pt idx="249">
                  <c:v>645.45000000000005</c:v>
                </c:pt>
                <c:pt idx="250">
                  <c:v>667.17</c:v>
                </c:pt>
                <c:pt idx="251">
                  <c:v>1031.05</c:v>
                </c:pt>
                <c:pt idx="252">
                  <c:v>1143.03</c:v>
                </c:pt>
                <c:pt idx="253">
                  <c:v>1149.19</c:v>
                </c:pt>
                <c:pt idx="254">
                  <c:v>1184.05</c:v>
                </c:pt>
                <c:pt idx="255">
                  <c:v>1264.25</c:v>
                </c:pt>
                <c:pt idx="256">
                  <c:v>1288.56</c:v>
                </c:pt>
                <c:pt idx="257">
                  <c:v>1368.04</c:v>
                </c:pt>
                <c:pt idx="258">
                  <c:v>1437.46</c:v>
                </c:pt>
                <c:pt idx="259">
                  <c:v>1507.01</c:v>
                </c:pt>
                <c:pt idx="260">
                  <c:v>1490.62</c:v>
                </c:pt>
                <c:pt idx="261">
                  <c:v>1442.74</c:v>
                </c:pt>
                <c:pt idx="262">
                  <c:v>1363.85</c:v>
                </c:pt>
                <c:pt idx="263">
                  <c:v>1352.12</c:v>
                </c:pt>
                <c:pt idx="264">
                  <c:v>1481.85</c:v>
                </c:pt>
                <c:pt idx="265">
                  <c:v>1570.65</c:v>
                </c:pt>
                <c:pt idx="266">
                  <c:v>1408.46</c:v>
                </c:pt>
                <c:pt idx="267">
                  <c:v>1588.21</c:v>
                </c:pt>
                <c:pt idx="268">
                  <c:v>1510.71</c:v>
                </c:pt>
                <c:pt idx="269">
                  <c:v>1457.04</c:v>
                </c:pt>
                <c:pt idx="270">
                  <c:v>1511.17</c:v>
                </c:pt>
                <c:pt idx="271">
                  <c:v>1536.81</c:v>
                </c:pt>
                <c:pt idx="272">
                  <c:v>1496.86</c:v>
                </c:pt>
                <c:pt idx="273">
                  <c:v>1417.78</c:v>
                </c:pt>
                <c:pt idx="274">
                  <c:v>1450.46</c:v>
                </c:pt>
                <c:pt idx="275">
                  <c:v>1265.78</c:v>
                </c:pt>
                <c:pt idx="276">
                  <c:v>1204.83</c:v>
                </c:pt>
                <c:pt idx="277">
                  <c:v>1077.33</c:v>
                </c:pt>
                <c:pt idx="278">
                  <c:v>1339.87</c:v>
                </c:pt>
                <c:pt idx="279">
                  <c:v>1200.06</c:v>
                </c:pt>
                <c:pt idx="280">
                  <c:v>1182.24</c:v>
                </c:pt>
                <c:pt idx="281">
                  <c:v>1013.79</c:v>
                </c:pt>
                <c:pt idx="282">
                  <c:v>1046.6300000000001</c:v>
                </c:pt>
                <c:pt idx="283">
                  <c:v>964.61</c:v>
                </c:pt>
                <c:pt idx="284">
                  <c:v>899.33</c:v>
                </c:pt>
                <c:pt idx="285">
                  <c:v>960.5</c:v>
                </c:pt>
                <c:pt idx="286">
                  <c:v>861.21</c:v>
                </c:pt>
                <c:pt idx="287">
                  <c:v>715.38</c:v>
                </c:pt>
                <c:pt idx="288">
                  <c:v>752.23</c:v>
                </c:pt>
                <c:pt idx="289">
                  <c:v>795.81</c:v>
                </c:pt>
                <c:pt idx="290">
                  <c:v>825.72</c:v>
                </c:pt>
                <c:pt idx="291">
                  <c:v>801.68</c:v>
                </c:pt>
                <c:pt idx="292">
                  <c:v>796.69</c:v>
                </c:pt>
                <c:pt idx="293">
                  <c:v>819.58</c:v>
                </c:pt>
                <c:pt idx="294">
                  <c:v>780.88</c:v>
                </c:pt>
                <c:pt idx="295">
                  <c:v>805.28</c:v>
                </c:pt>
                <c:pt idx="296">
                  <c:v>893.14</c:v>
                </c:pt>
                <c:pt idx="297">
                  <c:v>931.81</c:v>
                </c:pt>
                <c:pt idx="298">
                  <c:v>952.48</c:v>
                </c:pt>
                <c:pt idx="299">
                  <c:v>1048.56</c:v>
                </c:pt>
                <c:pt idx="300">
                  <c:v>1203.54</c:v>
                </c:pt>
                <c:pt idx="301">
                  <c:v>1320.33</c:v>
                </c:pt>
                <c:pt idx="302">
                  <c:v>1351.63</c:v>
                </c:pt>
                <c:pt idx="303">
                  <c:v>1331.13</c:v>
                </c:pt>
                <c:pt idx="304">
                  <c:v>1338.94</c:v>
                </c:pt>
                <c:pt idx="305">
                  <c:v>1324.47</c:v>
                </c:pt>
                <c:pt idx="306">
                  <c:v>1249.76</c:v>
                </c:pt>
                <c:pt idx="307">
                  <c:v>1112.75</c:v>
                </c:pt>
                <c:pt idx="308">
                  <c:v>1004.62</c:v>
                </c:pt>
                <c:pt idx="309">
                  <c:v>934.67</c:v>
                </c:pt>
                <c:pt idx="310">
                  <c:v>903.45</c:v>
                </c:pt>
                <c:pt idx="311">
                  <c:v>956.18</c:v>
                </c:pt>
                <c:pt idx="312">
                  <c:v>731.18</c:v>
                </c:pt>
                <c:pt idx="313">
                  <c:v>570.51</c:v>
                </c:pt>
                <c:pt idx="314">
                  <c:v>567.84</c:v>
                </c:pt>
                <c:pt idx="315">
                  <c:v>523.20000000000005</c:v>
                </c:pt>
                <c:pt idx="316">
                  <c:v>459.56</c:v>
                </c:pt>
                <c:pt idx="317">
                  <c:v>457.41</c:v>
                </c:pt>
                <c:pt idx="318">
                  <c:v>461.84</c:v>
                </c:pt>
                <c:pt idx="319">
                  <c:v>336.68</c:v>
                </c:pt>
                <c:pt idx="320">
                  <c:v>316.18</c:v>
                </c:pt>
                <c:pt idx="321">
                  <c:v>316.49</c:v>
                </c:pt>
                <c:pt idx="322">
                  <c:v>279.83</c:v>
                </c:pt>
                <c:pt idx="323">
                  <c:v>217.05</c:v>
                </c:pt>
                <c:pt idx="324">
                  <c:v>340.96</c:v>
                </c:pt>
                <c:pt idx="325">
                  <c:v>431.06</c:v>
                </c:pt>
                <c:pt idx="326">
                  <c:v>514.67999999999995</c:v>
                </c:pt>
                <c:pt idx="327">
                  <c:v>380.35</c:v>
                </c:pt>
                <c:pt idx="328">
                  <c:v>352.23</c:v>
                </c:pt>
                <c:pt idx="329">
                  <c:v>421.08</c:v>
                </c:pt>
                <c:pt idx="330">
                  <c:v>503.39</c:v>
                </c:pt>
                <c:pt idx="331">
                  <c:v>589.14</c:v>
                </c:pt>
                <c:pt idx="332">
                  <c:v>527.89</c:v>
                </c:pt>
                <c:pt idx="333">
                  <c:v>445.49</c:v>
                </c:pt>
                <c:pt idx="334">
                  <c:v>743.35</c:v>
                </c:pt>
                <c:pt idx="335">
                  <c:v>1170.92</c:v>
                </c:pt>
                <c:pt idx="336">
                  <c:v>1156.31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1-144D-9AAA-0EAD2296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scatterChart>
        <c:scatterStyle val="smoothMarker"/>
        <c:varyColors val="0"/>
        <c:ser>
          <c:idx val="2"/>
          <c:order val="2"/>
          <c:tx>
            <c:strRef>
              <c:f>'General Price Trends'!$W$1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'General Price Trends'!$W$2:$W$338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31-144D-9AAA-0EAD2296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90864"/>
        <c:axId val="1064601840"/>
      </c:scatterChart>
      <c:dateAx>
        <c:axId val="13368061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0646018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90864"/>
        <c:crosses val="max"/>
        <c:crossBetween val="midCat"/>
      </c:valAx>
      <c:valAx>
        <c:axId val="106459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64601840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'General Price Trends'!$J$1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'General Price Trends'!$J$2:$J$338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4-4F45-B278-7389D0F7645B}"/>
            </c:ext>
          </c:extLst>
        </c:ser>
        <c:ser>
          <c:idx val="0"/>
          <c:order val="1"/>
          <c:tx>
            <c:strRef>
              <c:f>'General Price Trends'!$K$1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'General Price Trends'!$K$2:$K$338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4-4F45-B278-7389D0F7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'General Price Trends'!$W$1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'General Price Trends'!$W$2:$W$338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94-4F45-B278-7389D0F7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1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'General Price Trends'!$B$1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'General Price Trends'!$B$2:$B$338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8-7E43-8AD9-469B9B6941DC}"/>
            </c:ext>
          </c:extLst>
        </c:ser>
        <c:ser>
          <c:idx val="0"/>
          <c:order val="1"/>
          <c:tx>
            <c:strRef>
              <c:f>'General Price Trends'!$C$1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'General Price Trends'!$C$2:$C$338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8-7E43-8AD9-469B9B69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'General Price Trends'!$W$1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'General Price Trends'!$W$2:$W$338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8-7E43-8AD9-469B9B69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50"/>
          <c:min val="-5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</a:t>
            </a:r>
            <a:r>
              <a:rPr lang="en-US" baseline="0"/>
              <a:t> Firming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'General Price Trends'!$B$1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'General Price Trends'!$B$2:$B$338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E-EC40-8049-294B00616D6B}"/>
            </c:ext>
          </c:extLst>
        </c:ser>
        <c:ser>
          <c:idx val="2"/>
          <c:order val="1"/>
          <c:tx>
            <c:strRef>
              <c:f>'General Price Trends'!$J$1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'General Price Trends'!$J$2:$J$338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E-EC40-8049-294B00616D6B}"/>
            </c:ext>
          </c:extLst>
        </c:ser>
        <c:ser>
          <c:idx val="0"/>
          <c:order val="2"/>
          <c:tx>
            <c:strRef>
              <c:f>'General Price Trends'!$C$1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'General Price Trends'!$C$2:$C$338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E-EC40-8049-294B00616D6B}"/>
            </c:ext>
          </c:extLst>
        </c:ser>
        <c:ser>
          <c:idx val="3"/>
          <c:order val="3"/>
          <c:tx>
            <c:strRef>
              <c:f>'General Price Trends'!$K$1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'General Price Trends'!$K$2:$K$338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0E-EC40-8049-294B0061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4"/>
          <c:tx>
            <c:strRef>
              <c:f>'General Price Trends'!$W$1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'General Price Trends'!$W$2:$W$338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E-EC40-8049-294B0061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[20251119 New South Wales workbook.xlsx]General Price Trends!PivotTable8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Average Electricity</a:t>
            </a:r>
            <a:r>
              <a:rPr lang="en-US" sz="1200" b="1" baseline="0"/>
              <a:t> Spot Price 11-19 July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'General Price Trends'!$B$342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'General Price Trends'!$A$343:$A$391</c:f>
              <c:strCache>
                <c:ptCount val="48"/>
                <c:pt idx="0">
                  <c:v>00:00</c:v>
                </c:pt>
                <c:pt idx="1">
                  <c:v>00:30</c:v>
                </c:pt>
                <c:pt idx="2">
                  <c:v>01:00</c:v>
                </c:pt>
                <c:pt idx="3">
                  <c:v>01:30</c:v>
                </c:pt>
                <c:pt idx="4">
                  <c:v>02:00</c:v>
                </c:pt>
                <c:pt idx="5">
                  <c:v>02:30</c:v>
                </c:pt>
                <c:pt idx="6">
                  <c:v>03:00</c:v>
                </c:pt>
                <c:pt idx="7">
                  <c:v>03:30</c:v>
                </c:pt>
                <c:pt idx="8">
                  <c:v>04:00</c:v>
                </c:pt>
                <c:pt idx="9">
                  <c:v>04:30</c:v>
                </c:pt>
                <c:pt idx="10">
                  <c:v>05:00</c:v>
                </c:pt>
                <c:pt idx="11">
                  <c:v>05:30</c:v>
                </c:pt>
                <c:pt idx="12">
                  <c:v>06:00</c:v>
                </c:pt>
                <c:pt idx="13">
                  <c:v>06:30</c:v>
                </c:pt>
                <c:pt idx="14">
                  <c:v>07:00</c:v>
                </c:pt>
                <c:pt idx="15">
                  <c:v>07:30</c:v>
                </c:pt>
                <c:pt idx="16">
                  <c:v>08:00</c:v>
                </c:pt>
                <c:pt idx="17">
                  <c:v>08:30</c:v>
                </c:pt>
                <c:pt idx="18">
                  <c:v>09:00</c:v>
                </c:pt>
                <c:pt idx="19">
                  <c:v>09:30</c:v>
                </c:pt>
                <c:pt idx="20">
                  <c:v>10:00</c:v>
                </c:pt>
                <c:pt idx="21">
                  <c:v>10:30</c:v>
                </c:pt>
                <c:pt idx="22">
                  <c:v>11:00</c:v>
                </c:pt>
                <c:pt idx="23">
                  <c:v>11:30</c:v>
                </c:pt>
                <c:pt idx="24">
                  <c:v>12:00</c:v>
                </c:pt>
                <c:pt idx="25">
                  <c:v>12:30</c:v>
                </c:pt>
                <c:pt idx="26">
                  <c:v>13:00</c:v>
                </c:pt>
                <c:pt idx="27">
                  <c:v>13:30</c:v>
                </c:pt>
                <c:pt idx="28">
                  <c:v>14:00</c:v>
                </c:pt>
                <c:pt idx="29">
                  <c:v>14:30</c:v>
                </c:pt>
                <c:pt idx="30">
                  <c:v>15:00</c:v>
                </c:pt>
                <c:pt idx="31">
                  <c:v>15:30</c:v>
                </c:pt>
                <c:pt idx="32">
                  <c:v>16:00</c:v>
                </c:pt>
                <c:pt idx="33">
                  <c:v>16:30</c:v>
                </c:pt>
                <c:pt idx="34">
                  <c:v>17:00</c:v>
                </c:pt>
                <c:pt idx="35">
                  <c:v>17:30</c:v>
                </c:pt>
                <c:pt idx="36">
                  <c:v>18:00</c:v>
                </c:pt>
                <c:pt idx="37">
                  <c:v>18:30</c:v>
                </c:pt>
                <c:pt idx="38">
                  <c:v>19:00</c:v>
                </c:pt>
                <c:pt idx="39">
                  <c:v>19:30</c:v>
                </c:pt>
                <c:pt idx="40">
                  <c:v>20:00</c:v>
                </c:pt>
                <c:pt idx="41">
                  <c:v>20:30</c:v>
                </c:pt>
                <c:pt idx="42">
                  <c:v>21:00</c:v>
                </c:pt>
                <c:pt idx="43">
                  <c:v>21:30</c:v>
                </c:pt>
                <c:pt idx="44">
                  <c:v>22:00</c:v>
                </c:pt>
                <c:pt idx="45">
                  <c:v>22:30</c:v>
                </c:pt>
                <c:pt idx="46">
                  <c:v>23:00</c:v>
                </c:pt>
                <c:pt idx="47">
                  <c:v>23:30</c:v>
                </c:pt>
              </c:strCache>
            </c:strRef>
          </c:cat>
          <c:val>
            <c:numRef>
              <c:f>'General Price Trends'!$B$343:$B$391</c:f>
              <c:numCache>
                <c:formatCode>General</c:formatCode>
                <c:ptCount val="48"/>
                <c:pt idx="0">
                  <c:v>86.982857142857142</c:v>
                </c:pt>
                <c:pt idx="1">
                  <c:v>81.675714285714292</c:v>
                </c:pt>
                <c:pt idx="2">
                  <c:v>81.991428571428557</c:v>
                </c:pt>
                <c:pt idx="3">
                  <c:v>80.155714285714268</c:v>
                </c:pt>
                <c:pt idx="4">
                  <c:v>74.835714285714289</c:v>
                </c:pt>
                <c:pt idx="5">
                  <c:v>76.22571428571429</c:v>
                </c:pt>
                <c:pt idx="6">
                  <c:v>75.285714285714292</c:v>
                </c:pt>
                <c:pt idx="7">
                  <c:v>77.419999999999987</c:v>
                </c:pt>
                <c:pt idx="8">
                  <c:v>76.872857142857143</c:v>
                </c:pt>
                <c:pt idx="9">
                  <c:v>80.895714285714277</c:v>
                </c:pt>
                <c:pt idx="10">
                  <c:v>81.535714285714292</c:v>
                </c:pt>
                <c:pt idx="11">
                  <c:v>87.502857142857138</c:v>
                </c:pt>
                <c:pt idx="12">
                  <c:v>96.751428571428576</c:v>
                </c:pt>
                <c:pt idx="13">
                  <c:v>119.34142857142858</c:v>
                </c:pt>
                <c:pt idx="14">
                  <c:v>147.88428571428571</c:v>
                </c:pt>
                <c:pt idx="15">
                  <c:v>156.35142857142858</c:v>
                </c:pt>
                <c:pt idx="16">
                  <c:v>141.87285714285713</c:v>
                </c:pt>
                <c:pt idx="17">
                  <c:v>97.867142857142852</c:v>
                </c:pt>
                <c:pt idx="18">
                  <c:v>81.771428571428586</c:v>
                </c:pt>
                <c:pt idx="19">
                  <c:v>85.148571428571429</c:v>
                </c:pt>
                <c:pt idx="20">
                  <c:v>70.944285714285712</c:v>
                </c:pt>
                <c:pt idx="21">
                  <c:v>60.154285714285713</c:v>
                </c:pt>
                <c:pt idx="22">
                  <c:v>31.034285714285716</c:v>
                </c:pt>
                <c:pt idx="23">
                  <c:v>32.019999999999996</c:v>
                </c:pt>
                <c:pt idx="24">
                  <c:v>25.745714285714286</c:v>
                </c:pt>
                <c:pt idx="25">
                  <c:v>22.828750000000003</c:v>
                </c:pt>
                <c:pt idx="26">
                  <c:v>5.3885714285714297</c:v>
                </c:pt>
                <c:pt idx="27">
                  <c:v>14.288571428571428</c:v>
                </c:pt>
                <c:pt idx="28">
                  <c:v>4.0828571428571436</c:v>
                </c:pt>
                <c:pt idx="29">
                  <c:v>20.804285714285715</c:v>
                </c:pt>
                <c:pt idx="30">
                  <c:v>45.08428571428572</c:v>
                </c:pt>
                <c:pt idx="31">
                  <c:v>13.794285714285715</c:v>
                </c:pt>
                <c:pt idx="32">
                  <c:v>68.755714285714276</c:v>
                </c:pt>
                <c:pt idx="33">
                  <c:v>91.742857142857147</c:v>
                </c:pt>
                <c:pt idx="34">
                  <c:v>158.11142857142858</c:v>
                </c:pt>
                <c:pt idx="35">
                  <c:v>171.86142857142858</c:v>
                </c:pt>
                <c:pt idx="36">
                  <c:v>230.89000000000001</c:v>
                </c:pt>
                <c:pt idx="37">
                  <c:v>191.43714285714285</c:v>
                </c:pt>
                <c:pt idx="38">
                  <c:v>188.42285714285714</c:v>
                </c:pt>
                <c:pt idx="39">
                  <c:v>175.25285714285715</c:v>
                </c:pt>
                <c:pt idx="40">
                  <c:v>141.87285714285716</c:v>
                </c:pt>
                <c:pt idx="41">
                  <c:v>134.85285714285715</c:v>
                </c:pt>
                <c:pt idx="42">
                  <c:v>140.27714285714288</c:v>
                </c:pt>
                <c:pt idx="43">
                  <c:v>121.51428571428572</c:v>
                </c:pt>
                <c:pt idx="44">
                  <c:v>104.76285714285713</c:v>
                </c:pt>
                <c:pt idx="45">
                  <c:v>123.64571428571428</c:v>
                </c:pt>
                <c:pt idx="46">
                  <c:v>108.54571428571428</c:v>
                </c:pt>
                <c:pt idx="47">
                  <c:v>93.054285714285712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2-B040-89F3-68875E16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951472"/>
        <c:axId val="1385599248"/>
      </c:lineChart>
      <c:dateAx>
        <c:axId val="167595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</a:t>
                </a:r>
              </a:p>
            </c:rich>
          </c:tx>
          <c:layout>
            <c:manualLayout>
              <c:xMode val="edge"/>
              <c:yMode val="edge"/>
              <c:x val="0.49249000642083562"/>
              <c:y val="0.9502926427736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599248"/>
        <c:crosses val="autoZero"/>
        <c:auto val="0"/>
        <c:lblOffset val="100"/>
        <c:baseTimeUnit val="days"/>
        <c:majorUnit val="4"/>
        <c:minorUnit val="4"/>
      </c:dateAx>
      <c:valAx>
        <c:axId val="13855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Price - AUD/MWh</a:t>
                </a:r>
              </a:p>
            </c:rich>
          </c:tx>
          <c:layout>
            <c:manualLayout>
              <c:xMode val="edge"/>
              <c:yMode val="edge"/>
              <c:x val="1.8461537566975769E-3"/>
              <c:y val="0.35789485229713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514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Renewables and</a:t>
            </a:r>
            <a:r>
              <a:rPr lang="en-US" sz="1200" b="1" baseline="0">
                <a:solidFill>
                  <a:schemeClr val="tx1"/>
                </a:solidFill>
              </a:rPr>
              <a:t> Spot Price 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52646025595695E-2"/>
          <c:y val="0.1522660446954153"/>
          <c:w val="0.82309168549425971"/>
          <c:h val="0.67048700621776403"/>
        </c:manualLayout>
      </c:layout>
      <c:areaChart>
        <c:grouping val="stacked"/>
        <c:varyColors val="0"/>
        <c:ser>
          <c:idx val="0"/>
          <c:order val="0"/>
          <c:tx>
            <c:strRef>
              <c:f>'Generation Mix - Ren and FF'!$H$1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rgbClr val="1F77B4"/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FF'!$H$2:$H$338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F-BA4E-9180-130BEC8D4570}"/>
            </c:ext>
          </c:extLst>
        </c:ser>
        <c:ser>
          <c:idx val="1"/>
          <c:order val="1"/>
          <c:tx>
            <c:strRef>
              <c:f>'Generation Mix - Ren and FF'!$I$1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rgbClr val="AEC7E8"/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FF'!$I$2:$I$338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F-BA4E-9180-130BEC8D4570}"/>
            </c:ext>
          </c:extLst>
        </c:ser>
        <c:ser>
          <c:idx val="2"/>
          <c:order val="2"/>
          <c:tx>
            <c:strRef>
              <c:f>'Generation Mix - Ren and FF'!$J$1</c:f>
              <c:strCache>
                <c:ptCount val="1"/>
                <c:pt idx="0">
                  <c:v>Wind -  MW</c:v>
                </c:pt>
              </c:strCache>
            </c:strRef>
          </c:tx>
          <c:spPr>
            <a:solidFill>
              <a:srgbClr val="2CA02C"/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FF'!$J$2:$J$338</c:f>
              <c:numCache>
                <c:formatCode>#,##0</c:formatCode>
                <c:ptCount val="337"/>
                <c:pt idx="0">
                  <c:v>1569.25</c:v>
                </c:pt>
                <c:pt idx="1">
                  <c:v>1626.93</c:v>
                </c:pt>
                <c:pt idx="2">
                  <c:v>1717.61</c:v>
                </c:pt>
                <c:pt idx="3">
                  <c:v>1735.37</c:v>
                </c:pt>
                <c:pt idx="4">
                  <c:v>1759.84</c:v>
                </c:pt>
                <c:pt idx="5">
                  <c:v>1832.99</c:v>
                </c:pt>
                <c:pt idx="6">
                  <c:v>1820.41</c:v>
                </c:pt>
                <c:pt idx="7">
                  <c:v>1870.99</c:v>
                </c:pt>
                <c:pt idx="8">
                  <c:v>1904.08</c:v>
                </c:pt>
                <c:pt idx="9">
                  <c:v>1924.31</c:v>
                </c:pt>
                <c:pt idx="10">
                  <c:v>1944.45</c:v>
                </c:pt>
                <c:pt idx="11">
                  <c:v>1999.15</c:v>
                </c:pt>
                <c:pt idx="12">
                  <c:v>2028.92</c:v>
                </c:pt>
                <c:pt idx="13">
                  <c:v>1986.17</c:v>
                </c:pt>
                <c:pt idx="14">
                  <c:v>1944.55</c:v>
                </c:pt>
                <c:pt idx="15">
                  <c:v>1893.48</c:v>
                </c:pt>
                <c:pt idx="16">
                  <c:v>1840.63</c:v>
                </c:pt>
                <c:pt idx="17">
                  <c:v>1711.43</c:v>
                </c:pt>
                <c:pt idx="18">
                  <c:v>1597.28</c:v>
                </c:pt>
                <c:pt idx="19">
                  <c:v>1542.07</c:v>
                </c:pt>
                <c:pt idx="20">
                  <c:v>1524.18</c:v>
                </c:pt>
                <c:pt idx="21">
                  <c:v>1476.49</c:v>
                </c:pt>
                <c:pt idx="22">
                  <c:v>1382.8</c:v>
                </c:pt>
                <c:pt idx="23">
                  <c:v>1309.52</c:v>
                </c:pt>
                <c:pt idx="24">
                  <c:v>1326.11</c:v>
                </c:pt>
                <c:pt idx="25">
                  <c:v>1360.1</c:v>
                </c:pt>
                <c:pt idx="26">
                  <c:v>1420.98</c:v>
                </c:pt>
                <c:pt idx="27">
                  <c:v>1340.77</c:v>
                </c:pt>
                <c:pt idx="28">
                  <c:v>1443.86</c:v>
                </c:pt>
                <c:pt idx="29">
                  <c:v>1499.18</c:v>
                </c:pt>
                <c:pt idx="30">
                  <c:v>1488.17</c:v>
                </c:pt>
                <c:pt idx="31">
                  <c:v>1509.53</c:v>
                </c:pt>
                <c:pt idx="32">
                  <c:v>1425.83</c:v>
                </c:pt>
                <c:pt idx="33">
                  <c:v>1482.43</c:v>
                </c:pt>
                <c:pt idx="34">
                  <c:v>1371.53</c:v>
                </c:pt>
                <c:pt idx="35">
                  <c:v>1262.98</c:v>
                </c:pt>
                <c:pt idx="36">
                  <c:v>1211.46</c:v>
                </c:pt>
                <c:pt idx="37">
                  <c:v>1196.57</c:v>
                </c:pt>
                <c:pt idx="38">
                  <c:v>1088.75</c:v>
                </c:pt>
                <c:pt idx="39">
                  <c:v>1027.05</c:v>
                </c:pt>
                <c:pt idx="40">
                  <c:v>922.26</c:v>
                </c:pt>
                <c:pt idx="41">
                  <c:v>928.76</c:v>
                </c:pt>
                <c:pt idx="42">
                  <c:v>954.13</c:v>
                </c:pt>
                <c:pt idx="43">
                  <c:v>950.09</c:v>
                </c:pt>
                <c:pt idx="44">
                  <c:v>940.09</c:v>
                </c:pt>
                <c:pt idx="45">
                  <c:v>934</c:v>
                </c:pt>
                <c:pt idx="46">
                  <c:v>990.65</c:v>
                </c:pt>
                <c:pt idx="47">
                  <c:v>997.2</c:v>
                </c:pt>
                <c:pt idx="48">
                  <c:v>942.36</c:v>
                </c:pt>
                <c:pt idx="49">
                  <c:v>897.81</c:v>
                </c:pt>
                <c:pt idx="50">
                  <c:v>937.44</c:v>
                </c:pt>
                <c:pt idx="51">
                  <c:v>886.17</c:v>
                </c:pt>
                <c:pt idx="52">
                  <c:v>882.42</c:v>
                </c:pt>
                <c:pt idx="53">
                  <c:v>948.74</c:v>
                </c:pt>
                <c:pt idx="54">
                  <c:v>972.05</c:v>
                </c:pt>
                <c:pt idx="55">
                  <c:v>928.08</c:v>
                </c:pt>
                <c:pt idx="56">
                  <c:v>936.68</c:v>
                </c:pt>
                <c:pt idx="57">
                  <c:v>842.16</c:v>
                </c:pt>
                <c:pt idx="58">
                  <c:v>849.72</c:v>
                </c:pt>
                <c:pt idx="59">
                  <c:v>918.11</c:v>
                </c:pt>
                <c:pt idx="60">
                  <c:v>892.72</c:v>
                </c:pt>
                <c:pt idx="61">
                  <c:v>834.08</c:v>
                </c:pt>
                <c:pt idx="62">
                  <c:v>773.64</c:v>
                </c:pt>
                <c:pt idx="63">
                  <c:v>612.73</c:v>
                </c:pt>
                <c:pt idx="64">
                  <c:v>613.29999999999995</c:v>
                </c:pt>
                <c:pt idx="65">
                  <c:v>679.39</c:v>
                </c:pt>
                <c:pt idx="66">
                  <c:v>731.77</c:v>
                </c:pt>
                <c:pt idx="67">
                  <c:v>696.27</c:v>
                </c:pt>
                <c:pt idx="68">
                  <c:v>658.89</c:v>
                </c:pt>
                <c:pt idx="69">
                  <c:v>637.21</c:v>
                </c:pt>
                <c:pt idx="70">
                  <c:v>532.70000000000005</c:v>
                </c:pt>
                <c:pt idx="71">
                  <c:v>502.98</c:v>
                </c:pt>
                <c:pt idx="72">
                  <c:v>492.94</c:v>
                </c:pt>
                <c:pt idx="73">
                  <c:v>516.82000000000005</c:v>
                </c:pt>
                <c:pt idx="74">
                  <c:v>616.01</c:v>
                </c:pt>
                <c:pt idx="75">
                  <c:v>587.45000000000005</c:v>
                </c:pt>
                <c:pt idx="76">
                  <c:v>458.51</c:v>
                </c:pt>
                <c:pt idx="77">
                  <c:v>495.65</c:v>
                </c:pt>
                <c:pt idx="78">
                  <c:v>560.57000000000005</c:v>
                </c:pt>
                <c:pt idx="79">
                  <c:v>565.66999999999996</c:v>
                </c:pt>
                <c:pt idx="80">
                  <c:v>572.49</c:v>
                </c:pt>
                <c:pt idx="81">
                  <c:v>561.38</c:v>
                </c:pt>
                <c:pt idx="82">
                  <c:v>539.91999999999996</c:v>
                </c:pt>
                <c:pt idx="83">
                  <c:v>529.91</c:v>
                </c:pt>
                <c:pt idx="84">
                  <c:v>542.15</c:v>
                </c:pt>
                <c:pt idx="85">
                  <c:v>548.48</c:v>
                </c:pt>
                <c:pt idx="86">
                  <c:v>650.45000000000005</c:v>
                </c:pt>
                <c:pt idx="87">
                  <c:v>815.1</c:v>
                </c:pt>
                <c:pt idx="88">
                  <c:v>909.3</c:v>
                </c:pt>
                <c:pt idx="89">
                  <c:v>852.04</c:v>
                </c:pt>
                <c:pt idx="90">
                  <c:v>822.65</c:v>
                </c:pt>
                <c:pt idx="91">
                  <c:v>862.94</c:v>
                </c:pt>
                <c:pt idx="92">
                  <c:v>914.75</c:v>
                </c:pt>
                <c:pt idx="93">
                  <c:v>981.91</c:v>
                </c:pt>
                <c:pt idx="94">
                  <c:v>968.43</c:v>
                </c:pt>
                <c:pt idx="95">
                  <c:v>1108.4000000000001</c:v>
                </c:pt>
                <c:pt idx="96">
                  <c:v>1244.3499999999999</c:v>
                </c:pt>
                <c:pt idx="97">
                  <c:v>1347.9</c:v>
                </c:pt>
                <c:pt idx="98">
                  <c:v>1414.94</c:v>
                </c:pt>
                <c:pt idx="99">
                  <c:v>1447.94</c:v>
                </c:pt>
                <c:pt idx="100">
                  <c:v>1471.44</c:v>
                </c:pt>
                <c:pt idx="101">
                  <c:v>1450.15</c:v>
                </c:pt>
                <c:pt idx="102">
                  <c:v>1513.1</c:v>
                </c:pt>
                <c:pt idx="103">
                  <c:v>1592.88</c:v>
                </c:pt>
                <c:pt idx="104">
                  <c:v>1627.76</c:v>
                </c:pt>
                <c:pt idx="105">
                  <c:v>1637.74</c:v>
                </c:pt>
                <c:pt idx="106">
                  <c:v>1641.12</c:v>
                </c:pt>
                <c:pt idx="107">
                  <c:v>1690.78</c:v>
                </c:pt>
                <c:pt idx="108">
                  <c:v>1801.5</c:v>
                </c:pt>
                <c:pt idx="109">
                  <c:v>1949.97</c:v>
                </c:pt>
                <c:pt idx="110">
                  <c:v>2046.18</c:v>
                </c:pt>
                <c:pt idx="111">
                  <c:v>2096.2800000000002</c:v>
                </c:pt>
                <c:pt idx="112">
                  <c:v>2138.23</c:v>
                </c:pt>
                <c:pt idx="113">
                  <c:v>2158.5300000000002</c:v>
                </c:pt>
                <c:pt idx="114">
                  <c:v>2151.7600000000002</c:v>
                </c:pt>
                <c:pt idx="115">
                  <c:v>2106.94</c:v>
                </c:pt>
                <c:pt idx="116">
                  <c:v>2065.66</c:v>
                </c:pt>
                <c:pt idx="117">
                  <c:v>2095.64</c:v>
                </c:pt>
                <c:pt idx="118">
                  <c:v>2144.85</c:v>
                </c:pt>
                <c:pt idx="119">
                  <c:v>2190.79</c:v>
                </c:pt>
                <c:pt idx="120">
                  <c:v>2233.4299999999998</c:v>
                </c:pt>
                <c:pt idx="121">
                  <c:v>2282.92</c:v>
                </c:pt>
                <c:pt idx="122">
                  <c:v>2301.21</c:v>
                </c:pt>
                <c:pt idx="123">
                  <c:v>2267.08</c:v>
                </c:pt>
                <c:pt idx="124">
                  <c:v>2249.91</c:v>
                </c:pt>
                <c:pt idx="125">
                  <c:v>2264.0500000000002</c:v>
                </c:pt>
                <c:pt idx="126">
                  <c:v>2116.71</c:v>
                </c:pt>
                <c:pt idx="127">
                  <c:v>2004.46</c:v>
                </c:pt>
                <c:pt idx="128">
                  <c:v>1914.67</c:v>
                </c:pt>
                <c:pt idx="129">
                  <c:v>1963.07</c:v>
                </c:pt>
                <c:pt idx="130">
                  <c:v>1767.6</c:v>
                </c:pt>
                <c:pt idx="131">
                  <c:v>1750.97</c:v>
                </c:pt>
                <c:pt idx="132">
                  <c:v>1760.49</c:v>
                </c:pt>
                <c:pt idx="133">
                  <c:v>1750.08</c:v>
                </c:pt>
                <c:pt idx="134">
                  <c:v>1818.48</c:v>
                </c:pt>
                <c:pt idx="135">
                  <c:v>1670.48</c:v>
                </c:pt>
                <c:pt idx="136">
                  <c:v>1447.65</c:v>
                </c:pt>
                <c:pt idx="137">
                  <c:v>1171.56</c:v>
                </c:pt>
                <c:pt idx="138">
                  <c:v>1027.68</c:v>
                </c:pt>
                <c:pt idx="139">
                  <c:v>960.08</c:v>
                </c:pt>
                <c:pt idx="140">
                  <c:v>905.81</c:v>
                </c:pt>
                <c:pt idx="141">
                  <c:v>892.28</c:v>
                </c:pt>
                <c:pt idx="142">
                  <c:v>952.99</c:v>
                </c:pt>
                <c:pt idx="143">
                  <c:v>940.11</c:v>
                </c:pt>
                <c:pt idx="144">
                  <c:v>1044</c:v>
                </c:pt>
                <c:pt idx="145">
                  <c:v>1128.8499999999999</c:v>
                </c:pt>
                <c:pt idx="146">
                  <c:v>1011.38</c:v>
                </c:pt>
                <c:pt idx="147">
                  <c:v>910.82</c:v>
                </c:pt>
                <c:pt idx="148">
                  <c:v>911.78</c:v>
                </c:pt>
                <c:pt idx="149">
                  <c:v>948.64</c:v>
                </c:pt>
                <c:pt idx="150">
                  <c:v>981.61</c:v>
                </c:pt>
                <c:pt idx="151">
                  <c:v>954.63</c:v>
                </c:pt>
                <c:pt idx="152">
                  <c:v>873.6</c:v>
                </c:pt>
                <c:pt idx="153">
                  <c:v>806.58</c:v>
                </c:pt>
                <c:pt idx="154">
                  <c:v>735.13</c:v>
                </c:pt>
                <c:pt idx="155">
                  <c:v>698.01</c:v>
                </c:pt>
                <c:pt idx="156">
                  <c:v>757.01</c:v>
                </c:pt>
                <c:pt idx="157">
                  <c:v>899.33</c:v>
                </c:pt>
                <c:pt idx="158">
                  <c:v>982.25</c:v>
                </c:pt>
                <c:pt idx="159">
                  <c:v>906.66</c:v>
                </c:pt>
                <c:pt idx="160">
                  <c:v>958.46</c:v>
                </c:pt>
                <c:pt idx="161">
                  <c:v>938.8</c:v>
                </c:pt>
                <c:pt idx="162">
                  <c:v>1015.38</c:v>
                </c:pt>
                <c:pt idx="163">
                  <c:v>1087.1199999999999</c:v>
                </c:pt>
                <c:pt idx="164">
                  <c:v>1082.3599999999999</c:v>
                </c:pt>
                <c:pt idx="165">
                  <c:v>1114.56</c:v>
                </c:pt>
                <c:pt idx="166">
                  <c:v>1073.1500000000001</c:v>
                </c:pt>
                <c:pt idx="167">
                  <c:v>1072.5999999999999</c:v>
                </c:pt>
                <c:pt idx="168">
                  <c:v>911.54</c:v>
                </c:pt>
                <c:pt idx="169">
                  <c:v>777.82</c:v>
                </c:pt>
                <c:pt idx="170">
                  <c:v>699.34</c:v>
                </c:pt>
                <c:pt idx="171">
                  <c:v>808.09</c:v>
                </c:pt>
                <c:pt idx="172">
                  <c:v>800.59</c:v>
                </c:pt>
                <c:pt idx="173">
                  <c:v>717.32</c:v>
                </c:pt>
                <c:pt idx="174">
                  <c:v>700.78</c:v>
                </c:pt>
                <c:pt idx="175">
                  <c:v>777.11</c:v>
                </c:pt>
                <c:pt idx="176">
                  <c:v>955.64</c:v>
                </c:pt>
                <c:pt idx="177">
                  <c:v>1134.6600000000001</c:v>
                </c:pt>
                <c:pt idx="178">
                  <c:v>1342.23</c:v>
                </c:pt>
                <c:pt idx="179">
                  <c:v>1525.44</c:v>
                </c:pt>
                <c:pt idx="180">
                  <c:v>1567.48</c:v>
                </c:pt>
                <c:pt idx="181">
                  <c:v>1591.65</c:v>
                </c:pt>
                <c:pt idx="182">
                  <c:v>1593.9</c:v>
                </c:pt>
                <c:pt idx="183">
                  <c:v>1578.1</c:v>
                </c:pt>
                <c:pt idx="184">
                  <c:v>1422.89</c:v>
                </c:pt>
                <c:pt idx="185">
                  <c:v>1308.97</c:v>
                </c:pt>
                <c:pt idx="186">
                  <c:v>1227.52</c:v>
                </c:pt>
                <c:pt idx="187">
                  <c:v>1129.9100000000001</c:v>
                </c:pt>
                <c:pt idx="188">
                  <c:v>1128.6500000000001</c:v>
                </c:pt>
                <c:pt idx="189">
                  <c:v>1198.98</c:v>
                </c:pt>
                <c:pt idx="190">
                  <c:v>1211.49</c:v>
                </c:pt>
                <c:pt idx="191">
                  <c:v>1184.02</c:v>
                </c:pt>
                <c:pt idx="192">
                  <c:v>1205.7</c:v>
                </c:pt>
                <c:pt idx="193">
                  <c:v>1253.3800000000001</c:v>
                </c:pt>
                <c:pt idx="194">
                  <c:v>1200.22</c:v>
                </c:pt>
                <c:pt idx="195">
                  <c:v>1089.4000000000001</c:v>
                </c:pt>
                <c:pt idx="196">
                  <c:v>1085.81</c:v>
                </c:pt>
                <c:pt idx="197">
                  <c:v>1100.31</c:v>
                </c:pt>
                <c:pt idx="198">
                  <c:v>1028.5</c:v>
                </c:pt>
                <c:pt idx="199">
                  <c:v>1116.44</c:v>
                </c:pt>
                <c:pt idx="200">
                  <c:v>1114.25</c:v>
                </c:pt>
                <c:pt idx="201">
                  <c:v>1027.3699999999999</c:v>
                </c:pt>
                <c:pt idx="202">
                  <c:v>1008.6</c:v>
                </c:pt>
                <c:pt idx="203">
                  <c:v>1065.6500000000001</c:v>
                </c:pt>
                <c:pt idx="204">
                  <c:v>1164.3399999999999</c:v>
                </c:pt>
                <c:pt idx="205">
                  <c:v>1239.46</c:v>
                </c:pt>
                <c:pt idx="206">
                  <c:v>1337.7</c:v>
                </c:pt>
                <c:pt idx="207">
                  <c:v>1383.15</c:v>
                </c:pt>
                <c:pt idx="208">
                  <c:v>1214.76</c:v>
                </c:pt>
                <c:pt idx="209">
                  <c:v>1100</c:v>
                </c:pt>
                <c:pt idx="210">
                  <c:v>983.93</c:v>
                </c:pt>
                <c:pt idx="211">
                  <c:v>917.71</c:v>
                </c:pt>
                <c:pt idx="212">
                  <c:v>828.47</c:v>
                </c:pt>
                <c:pt idx="213">
                  <c:v>879.75</c:v>
                </c:pt>
                <c:pt idx="214">
                  <c:v>979.2</c:v>
                </c:pt>
                <c:pt idx="215">
                  <c:v>933.73</c:v>
                </c:pt>
                <c:pt idx="216">
                  <c:v>954.46</c:v>
                </c:pt>
                <c:pt idx="217">
                  <c:v>985.39</c:v>
                </c:pt>
                <c:pt idx="218">
                  <c:v>1041.4000000000001</c:v>
                </c:pt>
                <c:pt idx="219">
                  <c:v>1014.4</c:v>
                </c:pt>
                <c:pt idx="220">
                  <c:v>918.22</c:v>
                </c:pt>
                <c:pt idx="221">
                  <c:v>822.27</c:v>
                </c:pt>
                <c:pt idx="222">
                  <c:v>831.72</c:v>
                </c:pt>
                <c:pt idx="223">
                  <c:v>880.97</c:v>
                </c:pt>
                <c:pt idx="224">
                  <c:v>947.86</c:v>
                </c:pt>
                <c:pt idx="225">
                  <c:v>980.55</c:v>
                </c:pt>
                <c:pt idx="226">
                  <c:v>995.76</c:v>
                </c:pt>
                <c:pt idx="227">
                  <c:v>991.43</c:v>
                </c:pt>
                <c:pt idx="228">
                  <c:v>984.67</c:v>
                </c:pt>
                <c:pt idx="229">
                  <c:v>904.96</c:v>
                </c:pt>
                <c:pt idx="230">
                  <c:v>842.58</c:v>
                </c:pt>
                <c:pt idx="231">
                  <c:v>786.68</c:v>
                </c:pt>
                <c:pt idx="232">
                  <c:v>728.07</c:v>
                </c:pt>
                <c:pt idx="233">
                  <c:v>577.47</c:v>
                </c:pt>
                <c:pt idx="234">
                  <c:v>520.59</c:v>
                </c:pt>
                <c:pt idx="235">
                  <c:v>506.81</c:v>
                </c:pt>
                <c:pt idx="236">
                  <c:v>457.49</c:v>
                </c:pt>
                <c:pt idx="237">
                  <c:v>466.01</c:v>
                </c:pt>
                <c:pt idx="238">
                  <c:v>437.97</c:v>
                </c:pt>
                <c:pt idx="239">
                  <c:v>394.03</c:v>
                </c:pt>
                <c:pt idx="240">
                  <c:v>418.58</c:v>
                </c:pt>
                <c:pt idx="241">
                  <c:v>507.13</c:v>
                </c:pt>
                <c:pt idx="242">
                  <c:v>550.49</c:v>
                </c:pt>
                <c:pt idx="243">
                  <c:v>618.38</c:v>
                </c:pt>
                <c:pt idx="244">
                  <c:v>660.47</c:v>
                </c:pt>
                <c:pt idx="245">
                  <c:v>663.22</c:v>
                </c:pt>
                <c:pt idx="246">
                  <c:v>642.19000000000005</c:v>
                </c:pt>
                <c:pt idx="247">
                  <c:v>613.4</c:v>
                </c:pt>
                <c:pt idx="248">
                  <c:v>600.11</c:v>
                </c:pt>
                <c:pt idx="249">
                  <c:v>555.47</c:v>
                </c:pt>
                <c:pt idx="250">
                  <c:v>513.66999999999996</c:v>
                </c:pt>
                <c:pt idx="251">
                  <c:v>530.42999999999995</c:v>
                </c:pt>
                <c:pt idx="252">
                  <c:v>528.08000000000004</c:v>
                </c:pt>
                <c:pt idx="253">
                  <c:v>540.27</c:v>
                </c:pt>
                <c:pt idx="254">
                  <c:v>466.98</c:v>
                </c:pt>
                <c:pt idx="255">
                  <c:v>444.76</c:v>
                </c:pt>
                <c:pt idx="256">
                  <c:v>427.13</c:v>
                </c:pt>
                <c:pt idx="257">
                  <c:v>419.54</c:v>
                </c:pt>
                <c:pt idx="258">
                  <c:v>389.36</c:v>
                </c:pt>
                <c:pt idx="259">
                  <c:v>384.31</c:v>
                </c:pt>
                <c:pt idx="260">
                  <c:v>350.06</c:v>
                </c:pt>
                <c:pt idx="261">
                  <c:v>323.37</c:v>
                </c:pt>
                <c:pt idx="262">
                  <c:v>322.82</c:v>
                </c:pt>
                <c:pt idx="263">
                  <c:v>381.32</c:v>
                </c:pt>
                <c:pt idx="264">
                  <c:v>431.06</c:v>
                </c:pt>
                <c:pt idx="265">
                  <c:v>373.11</c:v>
                </c:pt>
                <c:pt idx="266">
                  <c:v>327.67</c:v>
                </c:pt>
                <c:pt idx="267">
                  <c:v>358.86</c:v>
                </c:pt>
                <c:pt idx="268">
                  <c:v>398.15</c:v>
                </c:pt>
                <c:pt idx="269">
                  <c:v>366.58</c:v>
                </c:pt>
                <c:pt idx="270">
                  <c:v>315.26</c:v>
                </c:pt>
                <c:pt idx="271">
                  <c:v>346.46</c:v>
                </c:pt>
                <c:pt idx="272">
                  <c:v>326.74</c:v>
                </c:pt>
                <c:pt idx="273">
                  <c:v>315.12</c:v>
                </c:pt>
                <c:pt idx="274">
                  <c:v>314.33</c:v>
                </c:pt>
                <c:pt idx="275">
                  <c:v>354.1</c:v>
                </c:pt>
                <c:pt idx="276">
                  <c:v>374.29</c:v>
                </c:pt>
                <c:pt idx="277">
                  <c:v>393.91</c:v>
                </c:pt>
                <c:pt idx="278">
                  <c:v>442.05</c:v>
                </c:pt>
                <c:pt idx="279">
                  <c:v>491.51</c:v>
                </c:pt>
                <c:pt idx="280">
                  <c:v>487.72</c:v>
                </c:pt>
                <c:pt idx="281">
                  <c:v>463.52</c:v>
                </c:pt>
                <c:pt idx="282">
                  <c:v>423.89</c:v>
                </c:pt>
                <c:pt idx="283">
                  <c:v>343.03</c:v>
                </c:pt>
                <c:pt idx="284">
                  <c:v>299.51</c:v>
                </c:pt>
                <c:pt idx="285">
                  <c:v>330.91</c:v>
                </c:pt>
                <c:pt idx="286">
                  <c:v>436.13</c:v>
                </c:pt>
                <c:pt idx="287">
                  <c:v>535.34</c:v>
                </c:pt>
                <c:pt idx="288">
                  <c:v>600.41</c:v>
                </c:pt>
                <c:pt idx="289">
                  <c:v>595.41999999999996</c:v>
                </c:pt>
                <c:pt idx="290">
                  <c:v>541.29999999999995</c:v>
                </c:pt>
                <c:pt idx="291">
                  <c:v>519.39</c:v>
                </c:pt>
                <c:pt idx="292">
                  <c:v>540.59</c:v>
                </c:pt>
                <c:pt idx="293">
                  <c:v>524.08000000000004</c:v>
                </c:pt>
                <c:pt idx="294">
                  <c:v>492.07</c:v>
                </c:pt>
                <c:pt idx="295">
                  <c:v>425.11</c:v>
                </c:pt>
                <c:pt idx="296">
                  <c:v>383.55</c:v>
                </c:pt>
                <c:pt idx="297">
                  <c:v>489.01</c:v>
                </c:pt>
                <c:pt idx="298">
                  <c:v>446.51</c:v>
                </c:pt>
                <c:pt idx="299">
                  <c:v>463.5</c:v>
                </c:pt>
                <c:pt idx="300">
                  <c:v>379.57</c:v>
                </c:pt>
                <c:pt idx="301">
                  <c:v>361.17</c:v>
                </c:pt>
                <c:pt idx="302">
                  <c:v>395.45</c:v>
                </c:pt>
                <c:pt idx="303">
                  <c:v>441.89</c:v>
                </c:pt>
                <c:pt idx="304">
                  <c:v>426.13</c:v>
                </c:pt>
                <c:pt idx="305">
                  <c:v>441.88</c:v>
                </c:pt>
                <c:pt idx="306">
                  <c:v>434.36</c:v>
                </c:pt>
                <c:pt idx="307">
                  <c:v>457.35</c:v>
                </c:pt>
                <c:pt idx="308">
                  <c:v>522.1</c:v>
                </c:pt>
                <c:pt idx="309">
                  <c:v>506.45</c:v>
                </c:pt>
                <c:pt idx="310">
                  <c:v>421.67</c:v>
                </c:pt>
                <c:pt idx="311">
                  <c:v>261.79000000000002</c:v>
                </c:pt>
                <c:pt idx="312">
                  <c:v>298.75</c:v>
                </c:pt>
                <c:pt idx="313">
                  <c:v>353.75</c:v>
                </c:pt>
                <c:pt idx="314">
                  <c:v>376.66</c:v>
                </c:pt>
                <c:pt idx="315">
                  <c:v>465.77</c:v>
                </c:pt>
                <c:pt idx="316">
                  <c:v>453.06</c:v>
                </c:pt>
                <c:pt idx="317">
                  <c:v>404.65</c:v>
                </c:pt>
                <c:pt idx="318">
                  <c:v>332.93</c:v>
                </c:pt>
                <c:pt idx="319">
                  <c:v>337.84</c:v>
                </c:pt>
                <c:pt idx="320">
                  <c:v>327.20999999999998</c:v>
                </c:pt>
                <c:pt idx="321">
                  <c:v>307.83</c:v>
                </c:pt>
                <c:pt idx="322">
                  <c:v>289.05</c:v>
                </c:pt>
                <c:pt idx="323">
                  <c:v>281.88</c:v>
                </c:pt>
                <c:pt idx="324">
                  <c:v>290.02999999999997</c:v>
                </c:pt>
                <c:pt idx="325">
                  <c:v>310.75</c:v>
                </c:pt>
                <c:pt idx="326">
                  <c:v>309.8</c:v>
                </c:pt>
                <c:pt idx="327">
                  <c:v>331.23</c:v>
                </c:pt>
                <c:pt idx="328">
                  <c:v>340.28</c:v>
                </c:pt>
                <c:pt idx="329">
                  <c:v>293.14</c:v>
                </c:pt>
                <c:pt idx="330">
                  <c:v>251.66</c:v>
                </c:pt>
                <c:pt idx="331">
                  <c:v>209.68</c:v>
                </c:pt>
                <c:pt idx="332">
                  <c:v>172.27</c:v>
                </c:pt>
                <c:pt idx="333">
                  <c:v>131.25</c:v>
                </c:pt>
                <c:pt idx="334">
                  <c:v>108.99</c:v>
                </c:pt>
                <c:pt idx="335">
                  <c:v>84.04</c:v>
                </c:pt>
                <c:pt idx="336">
                  <c:v>40.29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F-BA4E-9180-130BEC8D4570}"/>
            </c:ext>
          </c:extLst>
        </c:ser>
        <c:ser>
          <c:idx val="3"/>
          <c:order val="3"/>
          <c:tx>
            <c:strRef>
              <c:f>'Generation Mix - Ren and FF'!$K$1</c:f>
              <c:strCache>
                <c:ptCount val="1"/>
                <c:pt idx="0">
                  <c:v>Solar (Utility) -  MW</c:v>
                </c:pt>
              </c:strCache>
            </c:strRef>
          </c:tx>
          <c:spPr>
            <a:solidFill>
              <a:srgbClr val="FFC107"/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FF'!$K$2:$K$338</c:f>
              <c:numCache>
                <c:formatCode>#,##0</c:formatCode>
                <c:ptCount val="337"/>
                <c:pt idx="0">
                  <c:v>1561.96</c:v>
                </c:pt>
                <c:pt idx="1">
                  <c:v>1760.86</c:v>
                </c:pt>
                <c:pt idx="2">
                  <c:v>1879.89</c:v>
                </c:pt>
                <c:pt idx="3">
                  <c:v>1686.57</c:v>
                </c:pt>
                <c:pt idx="4">
                  <c:v>1445.08</c:v>
                </c:pt>
                <c:pt idx="5">
                  <c:v>1392.68</c:v>
                </c:pt>
                <c:pt idx="6">
                  <c:v>1220.54</c:v>
                </c:pt>
                <c:pt idx="7">
                  <c:v>1049.7</c:v>
                </c:pt>
                <c:pt idx="8">
                  <c:v>592.71</c:v>
                </c:pt>
                <c:pt idx="9">
                  <c:v>166.79</c:v>
                </c:pt>
                <c:pt idx="10">
                  <c:v>8.5399999999999991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3.98</c:v>
                </c:pt>
                <c:pt idx="38">
                  <c:v>106.34</c:v>
                </c:pt>
                <c:pt idx="39">
                  <c:v>454.44</c:v>
                </c:pt>
                <c:pt idx="40">
                  <c:v>982.56</c:v>
                </c:pt>
                <c:pt idx="41">
                  <c:v>1604.72</c:v>
                </c:pt>
                <c:pt idx="42">
                  <c:v>1895.65</c:v>
                </c:pt>
                <c:pt idx="43">
                  <c:v>2152.4499999999998</c:v>
                </c:pt>
                <c:pt idx="44">
                  <c:v>2357.34</c:v>
                </c:pt>
                <c:pt idx="45">
                  <c:v>2465.61</c:v>
                </c:pt>
                <c:pt idx="46">
                  <c:v>2647.82</c:v>
                </c:pt>
                <c:pt idx="47">
                  <c:v>2598.02</c:v>
                </c:pt>
                <c:pt idx="48">
                  <c:v>2420.1799999999998</c:v>
                </c:pt>
                <c:pt idx="49">
                  <c:v>2357.1799999999998</c:v>
                </c:pt>
                <c:pt idx="50">
                  <c:v>2451.46</c:v>
                </c:pt>
                <c:pt idx="51">
                  <c:v>2589.39</c:v>
                </c:pt>
                <c:pt idx="52">
                  <c:v>2642.71</c:v>
                </c:pt>
                <c:pt idx="53">
                  <c:v>2595.16</c:v>
                </c:pt>
                <c:pt idx="54">
                  <c:v>2346.75</c:v>
                </c:pt>
                <c:pt idx="55">
                  <c:v>1809.05</c:v>
                </c:pt>
                <c:pt idx="56">
                  <c:v>1029.74</c:v>
                </c:pt>
                <c:pt idx="57">
                  <c:v>250.07</c:v>
                </c:pt>
                <c:pt idx="58">
                  <c:v>9.92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6.71</c:v>
                </c:pt>
                <c:pt idx="86">
                  <c:v>119.9</c:v>
                </c:pt>
                <c:pt idx="87">
                  <c:v>569.92999999999995</c:v>
                </c:pt>
                <c:pt idx="88">
                  <c:v>1379.32</c:v>
                </c:pt>
                <c:pt idx="89">
                  <c:v>2080.34</c:v>
                </c:pt>
                <c:pt idx="90">
                  <c:v>2160.31</c:v>
                </c:pt>
                <c:pt idx="91">
                  <c:v>2277.1799999999998</c:v>
                </c:pt>
                <c:pt idx="92">
                  <c:v>2061.91</c:v>
                </c:pt>
                <c:pt idx="93">
                  <c:v>2155.25</c:v>
                </c:pt>
                <c:pt idx="94">
                  <c:v>2332.9499999999998</c:v>
                </c:pt>
                <c:pt idx="95">
                  <c:v>2353.9499999999998</c:v>
                </c:pt>
                <c:pt idx="96">
                  <c:v>2246.4699999999998</c:v>
                </c:pt>
                <c:pt idx="97">
                  <c:v>2265.35</c:v>
                </c:pt>
                <c:pt idx="98">
                  <c:v>2192.02</c:v>
                </c:pt>
                <c:pt idx="99">
                  <c:v>2011.07</c:v>
                </c:pt>
                <c:pt idx="100">
                  <c:v>2257.34</c:v>
                </c:pt>
                <c:pt idx="101">
                  <c:v>2138.2399999999998</c:v>
                </c:pt>
                <c:pt idx="102">
                  <c:v>1908.83</c:v>
                </c:pt>
                <c:pt idx="103">
                  <c:v>1459.36</c:v>
                </c:pt>
                <c:pt idx="104">
                  <c:v>790.13</c:v>
                </c:pt>
                <c:pt idx="105">
                  <c:v>175.55</c:v>
                </c:pt>
                <c:pt idx="106">
                  <c:v>5.61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5.23</c:v>
                </c:pt>
                <c:pt idx="134">
                  <c:v>136.53</c:v>
                </c:pt>
                <c:pt idx="135">
                  <c:v>735.66</c:v>
                </c:pt>
                <c:pt idx="136">
                  <c:v>1700.98</c:v>
                </c:pt>
                <c:pt idx="137">
                  <c:v>2574.77</c:v>
                </c:pt>
                <c:pt idx="138">
                  <c:v>2910.9</c:v>
                </c:pt>
                <c:pt idx="139">
                  <c:v>3022.31</c:v>
                </c:pt>
                <c:pt idx="140">
                  <c:v>3084.05</c:v>
                </c:pt>
                <c:pt idx="141">
                  <c:v>2987.13</c:v>
                </c:pt>
                <c:pt idx="142">
                  <c:v>2926.51</c:v>
                </c:pt>
                <c:pt idx="143">
                  <c:v>2611.9499999999998</c:v>
                </c:pt>
                <c:pt idx="144">
                  <c:v>2359.9499999999998</c:v>
                </c:pt>
                <c:pt idx="145">
                  <c:v>2382.64</c:v>
                </c:pt>
                <c:pt idx="146">
                  <c:v>2442.44</c:v>
                </c:pt>
                <c:pt idx="147">
                  <c:v>2422.38</c:v>
                </c:pt>
                <c:pt idx="148">
                  <c:v>2449.9299999999998</c:v>
                </c:pt>
                <c:pt idx="149">
                  <c:v>2426.56</c:v>
                </c:pt>
                <c:pt idx="150">
                  <c:v>2378.91</c:v>
                </c:pt>
                <c:pt idx="151">
                  <c:v>2025.63</c:v>
                </c:pt>
                <c:pt idx="152">
                  <c:v>1067.3399999999999</c:v>
                </c:pt>
                <c:pt idx="153">
                  <c:v>212.16</c:v>
                </c:pt>
                <c:pt idx="154">
                  <c:v>5.21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0.04</c:v>
                </c:pt>
                <c:pt idx="162">
                  <c:v>0.04</c:v>
                </c:pt>
                <c:pt idx="163">
                  <c:v>0.04</c:v>
                </c:pt>
                <c:pt idx="164">
                  <c:v>0.04</c:v>
                </c:pt>
                <c:pt idx="165">
                  <c:v>0.04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0.04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0.04</c:v>
                </c:pt>
                <c:pt idx="176">
                  <c:v>0.04</c:v>
                </c:pt>
                <c:pt idx="177">
                  <c:v>0.04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1.56</c:v>
                </c:pt>
                <c:pt idx="182">
                  <c:v>31.01</c:v>
                </c:pt>
                <c:pt idx="183">
                  <c:v>266.44</c:v>
                </c:pt>
                <c:pt idx="184">
                  <c:v>634.34</c:v>
                </c:pt>
                <c:pt idx="185">
                  <c:v>1091.93</c:v>
                </c:pt>
                <c:pt idx="186">
                  <c:v>1213.27</c:v>
                </c:pt>
                <c:pt idx="187">
                  <c:v>1122.7</c:v>
                </c:pt>
                <c:pt idx="188">
                  <c:v>1278.72</c:v>
                </c:pt>
                <c:pt idx="189">
                  <c:v>1638.2</c:v>
                </c:pt>
                <c:pt idx="190">
                  <c:v>1456.71</c:v>
                </c:pt>
                <c:pt idx="191">
                  <c:v>1517.83</c:v>
                </c:pt>
                <c:pt idx="192">
                  <c:v>1423.55</c:v>
                </c:pt>
                <c:pt idx="193">
                  <c:v>1435.14</c:v>
                </c:pt>
                <c:pt idx="194">
                  <c:v>1227.99</c:v>
                </c:pt>
                <c:pt idx="195">
                  <c:v>1249.6300000000001</c:v>
                </c:pt>
                <c:pt idx="196">
                  <c:v>1174.49</c:v>
                </c:pt>
                <c:pt idx="197">
                  <c:v>1044.1500000000001</c:v>
                </c:pt>
                <c:pt idx="198">
                  <c:v>866.41</c:v>
                </c:pt>
                <c:pt idx="199">
                  <c:v>636.95000000000005</c:v>
                </c:pt>
                <c:pt idx="200">
                  <c:v>384.5</c:v>
                </c:pt>
                <c:pt idx="201">
                  <c:v>98.8</c:v>
                </c:pt>
                <c:pt idx="202">
                  <c:v>6.32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0.03</c:v>
                </c:pt>
                <c:pt idx="210">
                  <c:v>0.03</c:v>
                </c:pt>
                <c:pt idx="211">
                  <c:v>0.03</c:v>
                </c:pt>
                <c:pt idx="212">
                  <c:v>0.03</c:v>
                </c:pt>
                <c:pt idx="213">
                  <c:v>0.03</c:v>
                </c:pt>
                <c:pt idx="214">
                  <c:v>0.03</c:v>
                </c:pt>
                <c:pt idx="215">
                  <c:v>0.03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0.03</c:v>
                </c:pt>
                <c:pt idx="220">
                  <c:v>0.03</c:v>
                </c:pt>
                <c:pt idx="221">
                  <c:v>0.03</c:v>
                </c:pt>
                <c:pt idx="222">
                  <c:v>0.03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0.03</c:v>
                </c:pt>
                <c:pt idx="228">
                  <c:v>0.03</c:v>
                </c:pt>
                <c:pt idx="229">
                  <c:v>1.18</c:v>
                </c:pt>
                <c:pt idx="230">
                  <c:v>67.34</c:v>
                </c:pt>
                <c:pt idx="231">
                  <c:v>434.25</c:v>
                </c:pt>
                <c:pt idx="232">
                  <c:v>1038.1199999999999</c:v>
                </c:pt>
                <c:pt idx="233">
                  <c:v>1505.56</c:v>
                </c:pt>
                <c:pt idx="234">
                  <c:v>1840.47</c:v>
                </c:pt>
                <c:pt idx="235">
                  <c:v>2087.0500000000002</c:v>
                </c:pt>
                <c:pt idx="236">
                  <c:v>2175.84</c:v>
                </c:pt>
                <c:pt idx="237">
                  <c:v>2357.94</c:v>
                </c:pt>
                <c:pt idx="238">
                  <c:v>2518.3200000000002</c:v>
                </c:pt>
                <c:pt idx="239">
                  <c:v>2607.6</c:v>
                </c:pt>
                <c:pt idx="240">
                  <c:v>2571.08</c:v>
                </c:pt>
                <c:pt idx="241">
                  <c:v>2446.92</c:v>
                </c:pt>
                <c:pt idx="242">
                  <c:v>2344.6</c:v>
                </c:pt>
                <c:pt idx="243">
                  <c:v>2393.77</c:v>
                </c:pt>
                <c:pt idx="244">
                  <c:v>2390.09</c:v>
                </c:pt>
                <c:pt idx="245">
                  <c:v>2312.6</c:v>
                </c:pt>
                <c:pt idx="246">
                  <c:v>2153.73</c:v>
                </c:pt>
                <c:pt idx="247">
                  <c:v>1732.88</c:v>
                </c:pt>
                <c:pt idx="248">
                  <c:v>1049.21</c:v>
                </c:pt>
                <c:pt idx="249">
                  <c:v>294.99</c:v>
                </c:pt>
                <c:pt idx="250">
                  <c:v>12.64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7.53</c:v>
                </c:pt>
                <c:pt idx="278">
                  <c:v>167.44</c:v>
                </c:pt>
                <c:pt idx="279">
                  <c:v>626.09</c:v>
                </c:pt>
                <c:pt idx="280">
                  <c:v>1178.45</c:v>
                </c:pt>
                <c:pt idx="281">
                  <c:v>1704.69</c:v>
                </c:pt>
                <c:pt idx="282">
                  <c:v>2013.7</c:v>
                </c:pt>
                <c:pt idx="283">
                  <c:v>2277.38</c:v>
                </c:pt>
                <c:pt idx="284">
                  <c:v>2201.2199999999998</c:v>
                </c:pt>
                <c:pt idx="285">
                  <c:v>2164.7600000000002</c:v>
                </c:pt>
                <c:pt idx="286">
                  <c:v>2313.7600000000002</c:v>
                </c:pt>
                <c:pt idx="287">
                  <c:v>2350.3200000000002</c:v>
                </c:pt>
                <c:pt idx="288">
                  <c:v>2352.5700000000002</c:v>
                </c:pt>
                <c:pt idx="289">
                  <c:v>2336.7399999999998</c:v>
                </c:pt>
                <c:pt idx="290">
                  <c:v>2308.9299999999998</c:v>
                </c:pt>
                <c:pt idx="291">
                  <c:v>2385.1</c:v>
                </c:pt>
                <c:pt idx="292">
                  <c:v>2378.4299999999998</c:v>
                </c:pt>
                <c:pt idx="293">
                  <c:v>1984.17</c:v>
                </c:pt>
                <c:pt idx="294">
                  <c:v>1801.47</c:v>
                </c:pt>
                <c:pt idx="295">
                  <c:v>1142.27</c:v>
                </c:pt>
                <c:pt idx="296">
                  <c:v>459.69</c:v>
                </c:pt>
                <c:pt idx="297">
                  <c:v>115.34</c:v>
                </c:pt>
                <c:pt idx="298">
                  <c:v>10.119999999999999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1.51</c:v>
                </c:pt>
                <c:pt idx="326">
                  <c:v>70.709999999999994</c:v>
                </c:pt>
                <c:pt idx="327">
                  <c:v>451.78</c:v>
                </c:pt>
                <c:pt idx="328">
                  <c:v>1086.8599999999999</c:v>
                </c:pt>
                <c:pt idx="329">
                  <c:v>1599.19</c:v>
                </c:pt>
                <c:pt idx="330">
                  <c:v>1745.82</c:v>
                </c:pt>
                <c:pt idx="331">
                  <c:v>1869.52</c:v>
                </c:pt>
                <c:pt idx="332">
                  <c:v>1960.16</c:v>
                </c:pt>
                <c:pt idx="333">
                  <c:v>2070.46</c:v>
                </c:pt>
                <c:pt idx="334">
                  <c:v>2085.91</c:v>
                </c:pt>
                <c:pt idx="335">
                  <c:v>2225.7800000000002</c:v>
                </c:pt>
                <c:pt idx="336">
                  <c:v>2169.0700000000002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DF-BA4E-9180-130BEC8D4570}"/>
            </c:ext>
          </c:extLst>
        </c:ser>
        <c:ser>
          <c:idx val="4"/>
          <c:order val="4"/>
          <c:tx>
            <c:strRef>
              <c:f>'Generation Mix - Ren and FF'!$L$1</c:f>
              <c:strCache>
                <c:ptCount val="1"/>
                <c:pt idx="0">
                  <c:v>Solar (Rooftop) -  MW</c:v>
                </c:pt>
              </c:strCache>
            </c:strRef>
          </c:tx>
          <c:spPr>
            <a:solidFill>
              <a:srgbClr val="FF9800"/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FF'!$L$2:$L$338</c:f>
              <c:numCache>
                <c:formatCode>#,##0</c:formatCode>
                <c:ptCount val="337"/>
                <c:pt idx="0">
                  <c:v>0</c:v>
                </c:pt>
                <c:pt idx="1">
                  <c:v>1653.29</c:v>
                </c:pt>
                <c:pt idx="2">
                  <c:v>3109.92</c:v>
                </c:pt>
                <c:pt idx="3">
                  <c:v>2800.7</c:v>
                </c:pt>
                <c:pt idx="4">
                  <c:v>2425.0500000000002</c:v>
                </c:pt>
                <c:pt idx="5">
                  <c:v>1963.82</c:v>
                </c:pt>
                <c:pt idx="6">
                  <c:v>1440.64</c:v>
                </c:pt>
                <c:pt idx="7">
                  <c:v>914.26</c:v>
                </c:pt>
                <c:pt idx="8">
                  <c:v>440.91</c:v>
                </c:pt>
                <c:pt idx="9">
                  <c:v>116.99</c:v>
                </c:pt>
                <c:pt idx="10">
                  <c:v>12.03</c:v>
                </c:pt>
                <c:pt idx="11">
                  <c:v>0.09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0.12</c:v>
                </c:pt>
                <c:pt idx="37">
                  <c:v>7.55</c:v>
                </c:pt>
                <c:pt idx="38">
                  <c:v>90.41</c:v>
                </c:pt>
                <c:pt idx="39">
                  <c:v>375.8</c:v>
                </c:pt>
                <c:pt idx="40">
                  <c:v>830.33</c:v>
                </c:pt>
                <c:pt idx="41">
                  <c:v>1368.94</c:v>
                </c:pt>
                <c:pt idx="42">
                  <c:v>1912.81</c:v>
                </c:pt>
                <c:pt idx="43">
                  <c:v>2415.17</c:v>
                </c:pt>
                <c:pt idx="44">
                  <c:v>2838.32</c:v>
                </c:pt>
                <c:pt idx="45">
                  <c:v>3144.54</c:v>
                </c:pt>
                <c:pt idx="46">
                  <c:v>3349.84</c:v>
                </c:pt>
                <c:pt idx="47">
                  <c:v>3470.55</c:v>
                </c:pt>
                <c:pt idx="48">
                  <c:v>3475.53</c:v>
                </c:pt>
                <c:pt idx="49">
                  <c:v>3343.25</c:v>
                </c:pt>
                <c:pt idx="50">
                  <c:v>3122.3</c:v>
                </c:pt>
                <c:pt idx="51">
                  <c:v>2872.62</c:v>
                </c:pt>
                <c:pt idx="52">
                  <c:v>2499.4299999999998</c:v>
                </c:pt>
                <c:pt idx="53">
                  <c:v>2089.39</c:v>
                </c:pt>
                <c:pt idx="54">
                  <c:v>1577.29</c:v>
                </c:pt>
                <c:pt idx="55">
                  <c:v>1015.1</c:v>
                </c:pt>
                <c:pt idx="56">
                  <c:v>498.78</c:v>
                </c:pt>
                <c:pt idx="57">
                  <c:v>139.47</c:v>
                </c:pt>
                <c:pt idx="58">
                  <c:v>15.39</c:v>
                </c:pt>
                <c:pt idx="59">
                  <c:v>0.17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0.13</c:v>
                </c:pt>
                <c:pt idx="85">
                  <c:v>7.75</c:v>
                </c:pt>
                <c:pt idx="86">
                  <c:v>88.96</c:v>
                </c:pt>
                <c:pt idx="87">
                  <c:v>350.51</c:v>
                </c:pt>
                <c:pt idx="88">
                  <c:v>837.43</c:v>
                </c:pt>
                <c:pt idx="89">
                  <c:v>1337.7</c:v>
                </c:pt>
                <c:pt idx="90">
                  <c:v>1856.04</c:v>
                </c:pt>
                <c:pt idx="91">
                  <c:v>2278.65</c:v>
                </c:pt>
                <c:pt idx="92">
                  <c:v>2658.7</c:v>
                </c:pt>
                <c:pt idx="93">
                  <c:v>2927</c:v>
                </c:pt>
                <c:pt idx="94">
                  <c:v>3166.39</c:v>
                </c:pt>
                <c:pt idx="95">
                  <c:v>3250.92</c:v>
                </c:pt>
                <c:pt idx="96">
                  <c:v>3236.69</c:v>
                </c:pt>
                <c:pt idx="97">
                  <c:v>3104.69</c:v>
                </c:pt>
                <c:pt idx="98">
                  <c:v>2834.4</c:v>
                </c:pt>
                <c:pt idx="99">
                  <c:v>2495.69</c:v>
                </c:pt>
                <c:pt idx="100">
                  <c:v>1969.91</c:v>
                </c:pt>
                <c:pt idx="101">
                  <c:v>1472.47</c:v>
                </c:pt>
                <c:pt idx="102">
                  <c:v>1077.3599999999999</c:v>
                </c:pt>
                <c:pt idx="103">
                  <c:v>694.37</c:v>
                </c:pt>
                <c:pt idx="104">
                  <c:v>354.66</c:v>
                </c:pt>
                <c:pt idx="105">
                  <c:v>107.74</c:v>
                </c:pt>
                <c:pt idx="106">
                  <c:v>12.89</c:v>
                </c:pt>
                <c:pt idx="107">
                  <c:v>0.17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0.12</c:v>
                </c:pt>
                <c:pt idx="133">
                  <c:v>7.84</c:v>
                </c:pt>
                <c:pt idx="134">
                  <c:v>94.14</c:v>
                </c:pt>
                <c:pt idx="135">
                  <c:v>389.47</c:v>
                </c:pt>
                <c:pt idx="136">
                  <c:v>873.76</c:v>
                </c:pt>
                <c:pt idx="137">
                  <c:v>1457.97</c:v>
                </c:pt>
                <c:pt idx="138">
                  <c:v>2056.14</c:v>
                </c:pt>
                <c:pt idx="139">
                  <c:v>2593.56</c:v>
                </c:pt>
                <c:pt idx="140">
                  <c:v>3022.73</c:v>
                </c:pt>
                <c:pt idx="141">
                  <c:v>3352.07</c:v>
                </c:pt>
                <c:pt idx="142">
                  <c:v>3570.13</c:v>
                </c:pt>
                <c:pt idx="143">
                  <c:v>3687.66</c:v>
                </c:pt>
                <c:pt idx="144">
                  <c:v>3701.36</c:v>
                </c:pt>
                <c:pt idx="145">
                  <c:v>3594.25</c:v>
                </c:pt>
                <c:pt idx="146">
                  <c:v>3387.69</c:v>
                </c:pt>
                <c:pt idx="147">
                  <c:v>3085.14</c:v>
                </c:pt>
                <c:pt idx="148">
                  <c:v>2714.41</c:v>
                </c:pt>
                <c:pt idx="149">
                  <c:v>2221.29</c:v>
                </c:pt>
                <c:pt idx="150">
                  <c:v>1656.36</c:v>
                </c:pt>
                <c:pt idx="151">
                  <c:v>1067.83</c:v>
                </c:pt>
                <c:pt idx="152">
                  <c:v>535.07000000000005</c:v>
                </c:pt>
                <c:pt idx="153">
                  <c:v>156.63</c:v>
                </c:pt>
                <c:pt idx="154">
                  <c:v>18.329999999999998</c:v>
                </c:pt>
                <c:pt idx="155">
                  <c:v>0.27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0.18</c:v>
                </c:pt>
                <c:pt idx="181">
                  <c:v>4.2699999999999996</c:v>
                </c:pt>
                <c:pt idx="182">
                  <c:v>34.81</c:v>
                </c:pt>
                <c:pt idx="183">
                  <c:v>126.03</c:v>
                </c:pt>
                <c:pt idx="184">
                  <c:v>286.56</c:v>
                </c:pt>
                <c:pt idx="185">
                  <c:v>518.02</c:v>
                </c:pt>
                <c:pt idx="186">
                  <c:v>716.74</c:v>
                </c:pt>
                <c:pt idx="187">
                  <c:v>893.4</c:v>
                </c:pt>
                <c:pt idx="188">
                  <c:v>1046.19</c:v>
                </c:pt>
                <c:pt idx="189">
                  <c:v>1204.76</c:v>
                </c:pt>
                <c:pt idx="190">
                  <c:v>1330.27</c:v>
                </c:pt>
                <c:pt idx="191">
                  <c:v>1531.68</c:v>
                </c:pt>
                <c:pt idx="192">
                  <c:v>1862.29</c:v>
                </c:pt>
                <c:pt idx="193">
                  <c:v>2085.71</c:v>
                </c:pt>
                <c:pt idx="194">
                  <c:v>2080.25</c:v>
                </c:pt>
                <c:pt idx="195">
                  <c:v>1862.76</c:v>
                </c:pt>
                <c:pt idx="196">
                  <c:v>1496.72</c:v>
                </c:pt>
                <c:pt idx="197">
                  <c:v>1198.3900000000001</c:v>
                </c:pt>
                <c:pt idx="198">
                  <c:v>916.53</c:v>
                </c:pt>
                <c:pt idx="199">
                  <c:v>585.77</c:v>
                </c:pt>
                <c:pt idx="200">
                  <c:v>329.56</c:v>
                </c:pt>
                <c:pt idx="201">
                  <c:v>103.2</c:v>
                </c:pt>
                <c:pt idx="202">
                  <c:v>11.91</c:v>
                </c:pt>
                <c:pt idx="203">
                  <c:v>0.11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</c:v>
                </c:pt>
                <c:pt idx="229">
                  <c:v>7.98</c:v>
                </c:pt>
                <c:pt idx="230">
                  <c:v>96.5</c:v>
                </c:pt>
                <c:pt idx="231">
                  <c:v>401.36</c:v>
                </c:pt>
                <c:pt idx="232">
                  <c:v>889.76</c:v>
                </c:pt>
                <c:pt idx="233">
                  <c:v>1469.23</c:v>
                </c:pt>
                <c:pt idx="234">
                  <c:v>2052.06</c:v>
                </c:pt>
                <c:pt idx="235">
                  <c:v>2591.34</c:v>
                </c:pt>
                <c:pt idx="236">
                  <c:v>3025.77</c:v>
                </c:pt>
                <c:pt idx="237">
                  <c:v>3358.54</c:v>
                </c:pt>
                <c:pt idx="238">
                  <c:v>3578.98</c:v>
                </c:pt>
                <c:pt idx="239">
                  <c:v>3698.06</c:v>
                </c:pt>
                <c:pt idx="240">
                  <c:v>3708.24</c:v>
                </c:pt>
                <c:pt idx="241">
                  <c:v>3593.2</c:v>
                </c:pt>
                <c:pt idx="242">
                  <c:v>3386.53</c:v>
                </c:pt>
                <c:pt idx="243">
                  <c:v>3096.16</c:v>
                </c:pt>
                <c:pt idx="244">
                  <c:v>2720.09</c:v>
                </c:pt>
                <c:pt idx="245">
                  <c:v>2242.0500000000002</c:v>
                </c:pt>
                <c:pt idx="246">
                  <c:v>1667.16</c:v>
                </c:pt>
                <c:pt idx="247">
                  <c:v>1077.18</c:v>
                </c:pt>
                <c:pt idx="248">
                  <c:v>544.84</c:v>
                </c:pt>
                <c:pt idx="249">
                  <c:v>161.56</c:v>
                </c:pt>
                <c:pt idx="250">
                  <c:v>18.989999999999998</c:v>
                </c:pt>
                <c:pt idx="251">
                  <c:v>0.26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0.09</c:v>
                </c:pt>
                <c:pt idx="277">
                  <c:v>9.4600000000000009</c:v>
                </c:pt>
                <c:pt idx="278">
                  <c:v>114.83</c:v>
                </c:pt>
                <c:pt idx="279">
                  <c:v>422.41</c:v>
                </c:pt>
                <c:pt idx="280">
                  <c:v>822.95</c:v>
                </c:pt>
                <c:pt idx="281">
                  <c:v>1286.24</c:v>
                </c:pt>
                <c:pt idx="282">
                  <c:v>1870.36</c:v>
                </c:pt>
                <c:pt idx="283">
                  <c:v>2385.1</c:v>
                </c:pt>
                <c:pt idx="284">
                  <c:v>2805.63</c:v>
                </c:pt>
                <c:pt idx="285">
                  <c:v>3092</c:v>
                </c:pt>
                <c:pt idx="286">
                  <c:v>3264.92</c:v>
                </c:pt>
                <c:pt idx="287">
                  <c:v>3402.32</c:v>
                </c:pt>
                <c:pt idx="288">
                  <c:v>3411.24</c:v>
                </c:pt>
                <c:pt idx="289">
                  <c:v>3346.16</c:v>
                </c:pt>
                <c:pt idx="290">
                  <c:v>3132.37</c:v>
                </c:pt>
                <c:pt idx="291">
                  <c:v>2826.82</c:v>
                </c:pt>
                <c:pt idx="292">
                  <c:v>2414.62</c:v>
                </c:pt>
                <c:pt idx="293">
                  <c:v>1945.37</c:v>
                </c:pt>
                <c:pt idx="294">
                  <c:v>1469.53</c:v>
                </c:pt>
                <c:pt idx="295">
                  <c:v>1000.25</c:v>
                </c:pt>
                <c:pt idx="296">
                  <c:v>542.21</c:v>
                </c:pt>
                <c:pt idx="297">
                  <c:v>173.77</c:v>
                </c:pt>
                <c:pt idx="298">
                  <c:v>21.45</c:v>
                </c:pt>
                <c:pt idx="299">
                  <c:v>0.27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0.01</c:v>
                </c:pt>
                <c:pt idx="325">
                  <c:v>4.3099999999999996</c:v>
                </c:pt>
                <c:pt idx="326">
                  <c:v>62.82</c:v>
                </c:pt>
                <c:pt idx="327">
                  <c:v>284.2</c:v>
                </c:pt>
                <c:pt idx="328">
                  <c:v>607.22</c:v>
                </c:pt>
                <c:pt idx="329">
                  <c:v>1041.28</c:v>
                </c:pt>
                <c:pt idx="330">
                  <c:v>1387.69</c:v>
                </c:pt>
                <c:pt idx="331">
                  <c:v>1629.2</c:v>
                </c:pt>
                <c:pt idx="332">
                  <c:v>1810</c:v>
                </c:pt>
                <c:pt idx="333">
                  <c:v>1888.35</c:v>
                </c:pt>
                <c:pt idx="334">
                  <c:v>2083.17</c:v>
                </c:pt>
                <c:pt idx="335">
                  <c:v>2323.2600000000002</c:v>
                </c:pt>
                <c:pt idx="336">
                  <c:v>2342.9499999999998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DF-BA4E-9180-130BEC8D4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5"/>
          <c:order val="5"/>
          <c:tx>
            <c:strRef>
              <c:f>'Generation Mix - Ren and FF'!$M$1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'Generation Mix - Ren and FF'!$M$2:$M$338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DF-BA4E-9180-130BEC8D4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858816"/>
        <c:axId val="1669224640"/>
      </c:lineChart>
      <c:dateAx>
        <c:axId val="133680616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 mmm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  <c:majorUnit val="1"/>
        <c:minorUnit val="24"/>
      </c:dateAx>
      <c:valAx>
        <c:axId val="164812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Electricity Generated - MW</a:t>
                </a:r>
              </a:p>
            </c:rich>
          </c:tx>
          <c:layout>
            <c:manualLayout>
              <c:xMode val="edge"/>
              <c:yMode val="edge"/>
              <c:x val="7.3494008979550765E-3"/>
              <c:y val="0.33465643944668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midCat"/>
      </c:valAx>
      <c:valAx>
        <c:axId val="1669224640"/>
        <c:scaling>
          <c:orientation val="minMax"/>
          <c:max val="3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Spot Price AUD/Mh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58816"/>
        <c:crosses val="max"/>
        <c:crossBetween val="between"/>
        <c:majorUnit val="40"/>
      </c:valAx>
      <c:catAx>
        <c:axId val="1668858816"/>
        <c:scaling>
          <c:orientation val="minMax"/>
        </c:scaling>
        <c:delete val="1"/>
        <c:axPos val="b"/>
        <c:majorTickMark val="out"/>
        <c:minorTickMark val="none"/>
        <c:tickLblPos val="nextTo"/>
        <c:crossAx val="1669224640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820553090231522E-2"/>
          <c:y val="0.95014803967989514"/>
          <c:w val="0.87831608652420379"/>
          <c:h val="4.7127426165270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'Generation Mix - Ren and FF'!#REF!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'Generation Mix - Ren and FF'!#REF!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2-9645-AE59-776BC79F2B49}"/>
            </c:ext>
          </c:extLst>
        </c:ser>
        <c:ser>
          <c:idx val="1"/>
          <c:order val="1"/>
          <c:tx>
            <c:strRef>
              <c:f>'Generation Mix - Ren and FF'!#REF!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'Generation Mix - Ren and FF'!#REF!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2-9645-AE59-776BC79F2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scatterChart>
        <c:scatterStyle val="smoothMarker"/>
        <c:varyColors val="0"/>
        <c:ser>
          <c:idx val="2"/>
          <c:order val="2"/>
          <c:tx>
            <c:strRef>
              <c:f>'Generation Mix - Ren and FF'!$M$1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'Generation Mix - Ren and FF'!$M$2:$M$338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2-9645-AE59-776BC79F2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90864"/>
        <c:axId val="1064601840"/>
      </c:scatterChart>
      <c:dateAx>
        <c:axId val="13368061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0646018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90864"/>
        <c:crosses val="max"/>
        <c:crossBetween val="midCat"/>
      </c:valAx>
      <c:valAx>
        <c:axId val="106459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64601840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'Generation Mix - Ren and FF'!$H$1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'Generation Mix - Ren and FF'!$H$2:$H$338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E-CC4F-8FB5-6D7510956D2F}"/>
            </c:ext>
          </c:extLst>
        </c:ser>
        <c:ser>
          <c:idx val="0"/>
          <c:order val="1"/>
          <c:tx>
            <c:strRef>
              <c:f>'Generation Mix - Ren and FF'!$I$1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'Generation Mix - Ren and FF'!$I$2:$I$338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E-CC4F-8FB5-6D7510956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'Generation Mix - Ren and FF'!$M$1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'Generation Mix - Ren and FF'!$M$2:$M$338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7E-CC4F-8FB5-6D7510956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1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'Generation Mix - Ren and FF'!$B$1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'Generation Mix - Ren and FF'!$B$2:$B$338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3-354D-8217-C12CAFB36E97}"/>
            </c:ext>
          </c:extLst>
        </c:ser>
        <c:ser>
          <c:idx val="0"/>
          <c:order val="1"/>
          <c:tx>
            <c:strRef>
              <c:f>'Generation Mix - Ren and FF'!$C$1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'Generation Mix - Ren and FF'!$C$2:$C$338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3-354D-8217-C12CAFB3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'Generation Mix - Ren and FF'!$M$1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'Generation Mix - Ren and FF'!$M$2:$M$338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83-354D-8217-C12CAFB3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50"/>
          <c:min val="-5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</a:t>
            </a:r>
            <a:r>
              <a:rPr lang="en-US" baseline="0"/>
              <a:t> Firming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'Generation Mix - Ren and FF'!$B$1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'Generation Mix - Ren and FF'!$B$2:$B$338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2-1E4F-B6FE-FA05BB63F9FC}"/>
            </c:ext>
          </c:extLst>
        </c:ser>
        <c:ser>
          <c:idx val="2"/>
          <c:order val="1"/>
          <c:tx>
            <c:strRef>
              <c:f>'Generation Mix - Ren and FF'!$H$1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'Generation Mix - Ren and FF'!$H$2:$H$338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2-1E4F-B6FE-FA05BB63F9FC}"/>
            </c:ext>
          </c:extLst>
        </c:ser>
        <c:ser>
          <c:idx val="0"/>
          <c:order val="2"/>
          <c:tx>
            <c:strRef>
              <c:f>'Generation Mix - Ren and FF'!$C$1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'Generation Mix - Ren and FF'!$C$2:$C$338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2-1E4F-B6FE-FA05BB63F9FC}"/>
            </c:ext>
          </c:extLst>
        </c:ser>
        <c:ser>
          <c:idx val="3"/>
          <c:order val="3"/>
          <c:tx>
            <c:strRef>
              <c:f>'Generation Mix - Ren and FF'!$I$1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'Generation Mix - Ren and FF'!$I$2:$I$338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A2-1E4F-B6FE-FA05BB63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4"/>
          <c:tx>
            <c:strRef>
              <c:f>'Generation Mix - Ren and FF'!$M$1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'Generation Mix - Ren and FF'!$M$2:$M$338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A2-1E4F-B6FE-FA05BB63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Fossil Fuels and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311788720919887E-2"/>
          <c:y val="0.15448483156601683"/>
          <c:w val="0.8272007131047463"/>
          <c:h val="0.66826821687374593"/>
        </c:manualLayout>
      </c:layout>
      <c:areaChart>
        <c:grouping val="stacked"/>
        <c:varyColors val="0"/>
        <c:ser>
          <c:idx val="0"/>
          <c:order val="0"/>
          <c:tx>
            <c:strRef>
              <c:f>'Generation Mix - Ren and FF'!$D$1</c:f>
              <c:strCache>
                <c:ptCount val="1"/>
                <c:pt idx="0">
                  <c:v>Coal (Black) -  MW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FF'!$D$2:$D$338</c:f>
              <c:numCache>
                <c:formatCode>#,##0</c:formatCode>
                <c:ptCount val="337"/>
                <c:pt idx="0">
                  <c:v>3381.98</c:v>
                </c:pt>
                <c:pt idx="1">
                  <c:v>3430.37</c:v>
                </c:pt>
                <c:pt idx="2">
                  <c:v>3463.22</c:v>
                </c:pt>
                <c:pt idx="3">
                  <c:v>3444.6</c:v>
                </c:pt>
                <c:pt idx="4">
                  <c:v>3513.54</c:v>
                </c:pt>
                <c:pt idx="5">
                  <c:v>3972.11</c:v>
                </c:pt>
                <c:pt idx="6">
                  <c:v>4521.03</c:v>
                </c:pt>
                <c:pt idx="7">
                  <c:v>5370.25</c:v>
                </c:pt>
                <c:pt idx="8">
                  <c:v>6233.9</c:v>
                </c:pt>
                <c:pt idx="9">
                  <c:v>6792.19</c:v>
                </c:pt>
                <c:pt idx="10">
                  <c:v>7173.65</c:v>
                </c:pt>
                <c:pt idx="11">
                  <c:v>7371.04</c:v>
                </c:pt>
                <c:pt idx="12">
                  <c:v>7404.26</c:v>
                </c:pt>
                <c:pt idx="13">
                  <c:v>7406.87</c:v>
                </c:pt>
                <c:pt idx="14">
                  <c:v>7405.12</c:v>
                </c:pt>
                <c:pt idx="15">
                  <c:v>7406.79</c:v>
                </c:pt>
                <c:pt idx="16">
                  <c:v>7394.76</c:v>
                </c:pt>
                <c:pt idx="17">
                  <c:v>7400.16</c:v>
                </c:pt>
                <c:pt idx="18">
                  <c:v>7394.61</c:v>
                </c:pt>
                <c:pt idx="19">
                  <c:v>7344.47</c:v>
                </c:pt>
                <c:pt idx="20">
                  <c:v>7331.12</c:v>
                </c:pt>
                <c:pt idx="21">
                  <c:v>7136.3</c:v>
                </c:pt>
                <c:pt idx="22">
                  <c:v>6924.32</c:v>
                </c:pt>
                <c:pt idx="23">
                  <c:v>6706.91</c:v>
                </c:pt>
                <c:pt idx="24">
                  <c:v>6653.65</c:v>
                </c:pt>
                <c:pt idx="25">
                  <c:v>6514.32</c:v>
                </c:pt>
                <c:pt idx="26">
                  <c:v>6333.29</c:v>
                </c:pt>
                <c:pt idx="27">
                  <c:v>6183.43</c:v>
                </c:pt>
                <c:pt idx="28">
                  <c:v>6012.58</c:v>
                </c:pt>
                <c:pt idx="29">
                  <c:v>5886.86</c:v>
                </c:pt>
                <c:pt idx="30">
                  <c:v>5576.23</c:v>
                </c:pt>
                <c:pt idx="31">
                  <c:v>5208.9399999999996</c:v>
                </c:pt>
                <c:pt idx="32">
                  <c:v>4885.05</c:v>
                </c:pt>
                <c:pt idx="33">
                  <c:v>4551.1000000000004</c:v>
                </c:pt>
                <c:pt idx="34">
                  <c:v>4439.37</c:v>
                </c:pt>
                <c:pt idx="35">
                  <c:v>4467.91</c:v>
                </c:pt>
                <c:pt idx="36">
                  <c:v>4683.13</c:v>
                </c:pt>
                <c:pt idx="37">
                  <c:v>4935.49</c:v>
                </c:pt>
                <c:pt idx="38">
                  <c:v>5117.78</c:v>
                </c:pt>
                <c:pt idx="39">
                  <c:v>5303.66</c:v>
                </c:pt>
                <c:pt idx="40">
                  <c:v>5316.74</c:v>
                </c:pt>
                <c:pt idx="41">
                  <c:v>4978.33</c:v>
                </c:pt>
                <c:pt idx="42">
                  <c:v>4610.5200000000004</c:v>
                </c:pt>
                <c:pt idx="43">
                  <c:v>4159.3</c:v>
                </c:pt>
                <c:pt idx="44">
                  <c:v>3605.46</c:v>
                </c:pt>
                <c:pt idx="45">
                  <c:v>3174.08</c:v>
                </c:pt>
                <c:pt idx="46">
                  <c:v>3001.72</c:v>
                </c:pt>
                <c:pt idx="47">
                  <c:v>2956.86</c:v>
                </c:pt>
                <c:pt idx="48">
                  <c:v>2976.78</c:v>
                </c:pt>
                <c:pt idx="49">
                  <c:v>2954.66</c:v>
                </c:pt>
                <c:pt idx="50">
                  <c:v>2922.89</c:v>
                </c:pt>
                <c:pt idx="51">
                  <c:v>2930.97</c:v>
                </c:pt>
                <c:pt idx="52">
                  <c:v>2953.08</c:v>
                </c:pt>
                <c:pt idx="53">
                  <c:v>3081.65</c:v>
                </c:pt>
                <c:pt idx="54">
                  <c:v>3254.49</c:v>
                </c:pt>
                <c:pt idx="55">
                  <c:v>3737.21</c:v>
                </c:pt>
                <c:pt idx="56">
                  <c:v>4544.6099999999997</c:v>
                </c:pt>
                <c:pt idx="57">
                  <c:v>5435.55</c:v>
                </c:pt>
                <c:pt idx="58">
                  <c:v>6348.36</c:v>
                </c:pt>
                <c:pt idx="59">
                  <c:v>6998.02</c:v>
                </c:pt>
                <c:pt idx="60">
                  <c:v>7255.17</c:v>
                </c:pt>
                <c:pt idx="61">
                  <c:v>7304.28</c:v>
                </c:pt>
                <c:pt idx="62">
                  <c:v>7304.57</c:v>
                </c:pt>
                <c:pt idx="63">
                  <c:v>7305.94</c:v>
                </c:pt>
                <c:pt idx="64">
                  <c:v>7345.75</c:v>
                </c:pt>
                <c:pt idx="65">
                  <c:v>7322.64</c:v>
                </c:pt>
                <c:pt idx="66">
                  <c:v>7337.44</c:v>
                </c:pt>
                <c:pt idx="67">
                  <c:v>7279.91</c:v>
                </c:pt>
                <c:pt idx="68">
                  <c:v>7283.77</c:v>
                </c:pt>
                <c:pt idx="69">
                  <c:v>7263.7</c:v>
                </c:pt>
                <c:pt idx="70">
                  <c:v>7253.23</c:v>
                </c:pt>
                <c:pt idx="71">
                  <c:v>7003.96</c:v>
                </c:pt>
                <c:pt idx="72">
                  <c:v>6735.58</c:v>
                </c:pt>
                <c:pt idx="73">
                  <c:v>6466.19</c:v>
                </c:pt>
                <c:pt idx="74">
                  <c:v>6103.18</c:v>
                </c:pt>
                <c:pt idx="75">
                  <c:v>5914.4</c:v>
                </c:pt>
                <c:pt idx="76">
                  <c:v>5907.53</c:v>
                </c:pt>
                <c:pt idx="77">
                  <c:v>5740.51</c:v>
                </c:pt>
                <c:pt idx="78">
                  <c:v>5590.23</c:v>
                </c:pt>
                <c:pt idx="79">
                  <c:v>5569.67</c:v>
                </c:pt>
                <c:pt idx="80">
                  <c:v>5769.39</c:v>
                </c:pt>
                <c:pt idx="81">
                  <c:v>5952.8</c:v>
                </c:pt>
                <c:pt idx="82">
                  <c:v>6074.21</c:v>
                </c:pt>
                <c:pt idx="83">
                  <c:v>6290</c:v>
                </c:pt>
                <c:pt idx="84">
                  <c:v>6564.67</c:v>
                </c:pt>
                <c:pt idx="85">
                  <c:v>6830.02</c:v>
                </c:pt>
                <c:pt idx="86">
                  <c:v>6744.1</c:v>
                </c:pt>
                <c:pt idx="87">
                  <c:v>5955.03</c:v>
                </c:pt>
                <c:pt idx="88">
                  <c:v>4894.42</c:v>
                </c:pt>
                <c:pt idx="89">
                  <c:v>4349.53</c:v>
                </c:pt>
                <c:pt idx="90">
                  <c:v>4108.16</c:v>
                </c:pt>
                <c:pt idx="91">
                  <c:v>3656.04</c:v>
                </c:pt>
                <c:pt idx="92">
                  <c:v>2964.61</c:v>
                </c:pt>
                <c:pt idx="93">
                  <c:v>2519.48</c:v>
                </c:pt>
                <c:pt idx="94">
                  <c:v>2448.65</c:v>
                </c:pt>
                <c:pt idx="95">
                  <c:v>2458.89</c:v>
                </c:pt>
                <c:pt idx="96">
                  <c:v>2389.2800000000002</c:v>
                </c:pt>
                <c:pt idx="97">
                  <c:v>2388.5500000000002</c:v>
                </c:pt>
                <c:pt idx="98">
                  <c:v>2374.46</c:v>
                </c:pt>
                <c:pt idx="99">
                  <c:v>2492.27</c:v>
                </c:pt>
                <c:pt idx="100">
                  <c:v>2708.77</c:v>
                </c:pt>
                <c:pt idx="101">
                  <c:v>3432.06</c:v>
                </c:pt>
                <c:pt idx="102">
                  <c:v>4114.53</c:v>
                </c:pt>
                <c:pt idx="103">
                  <c:v>4724.3100000000004</c:v>
                </c:pt>
                <c:pt idx="104">
                  <c:v>5543.33</c:v>
                </c:pt>
                <c:pt idx="105">
                  <c:v>6377.1</c:v>
                </c:pt>
                <c:pt idx="106">
                  <c:v>6798.69</c:v>
                </c:pt>
                <c:pt idx="107">
                  <c:v>6926.95</c:v>
                </c:pt>
                <c:pt idx="108">
                  <c:v>6945.25</c:v>
                </c:pt>
                <c:pt idx="109">
                  <c:v>6942.21</c:v>
                </c:pt>
                <c:pt idx="110">
                  <c:v>6938.83</c:v>
                </c:pt>
                <c:pt idx="111">
                  <c:v>6935.89</c:v>
                </c:pt>
                <c:pt idx="112">
                  <c:v>6948.12</c:v>
                </c:pt>
                <c:pt idx="113">
                  <c:v>6973.47</c:v>
                </c:pt>
                <c:pt idx="114">
                  <c:v>6949.76</c:v>
                </c:pt>
                <c:pt idx="115">
                  <c:v>6692.86</c:v>
                </c:pt>
                <c:pt idx="116">
                  <c:v>6625.97</c:v>
                </c:pt>
                <c:pt idx="117">
                  <c:v>6276.39</c:v>
                </c:pt>
                <c:pt idx="118">
                  <c:v>5983.07</c:v>
                </c:pt>
                <c:pt idx="119">
                  <c:v>5820.55</c:v>
                </c:pt>
                <c:pt idx="120">
                  <c:v>5517.03</c:v>
                </c:pt>
                <c:pt idx="121">
                  <c:v>5349.02</c:v>
                </c:pt>
                <c:pt idx="122">
                  <c:v>5143.7</c:v>
                </c:pt>
                <c:pt idx="123">
                  <c:v>4920.88</c:v>
                </c:pt>
                <c:pt idx="124">
                  <c:v>4781.75</c:v>
                </c:pt>
                <c:pt idx="125">
                  <c:v>4703</c:v>
                </c:pt>
                <c:pt idx="126">
                  <c:v>4627.54</c:v>
                </c:pt>
                <c:pt idx="127">
                  <c:v>4765.43</c:v>
                </c:pt>
                <c:pt idx="128">
                  <c:v>5265.24</c:v>
                </c:pt>
                <c:pt idx="129">
                  <c:v>5618.82</c:v>
                </c:pt>
                <c:pt idx="130">
                  <c:v>6309.23</c:v>
                </c:pt>
                <c:pt idx="131">
                  <c:v>6751.5</c:v>
                </c:pt>
                <c:pt idx="132">
                  <c:v>7123.99</c:v>
                </c:pt>
                <c:pt idx="133">
                  <c:v>7297.42</c:v>
                </c:pt>
                <c:pt idx="134">
                  <c:v>7328.85</c:v>
                </c:pt>
                <c:pt idx="135">
                  <c:v>6969.81</c:v>
                </c:pt>
                <c:pt idx="136">
                  <c:v>5979.68</c:v>
                </c:pt>
                <c:pt idx="137">
                  <c:v>5028.6499999999996</c:v>
                </c:pt>
                <c:pt idx="138">
                  <c:v>4242.24</c:v>
                </c:pt>
                <c:pt idx="139">
                  <c:v>3632.09</c:v>
                </c:pt>
                <c:pt idx="140">
                  <c:v>3455.68</c:v>
                </c:pt>
                <c:pt idx="141">
                  <c:v>3370.09</c:v>
                </c:pt>
                <c:pt idx="142">
                  <c:v>3416</c:v>
                </c:pt>
                <c:pt idx="143">
                  <c:v>3325.91</c:v>
                </c:pt>
                <c:pt idx="144">
                  <c:v>3347.89</c:v>
                </c:pt>
                <c:pt idx="145">
                  <c:v>3353.05</c:v>
                </c:pt>
                <c:pt idx="146">
                  <c:v>3321.31</c:v>
                </c:pt>
                <c:pt idx="147">
                  <c:v>3353.2</c:v>
                </c:pt>
                <c:pt idx="148">
                  <c:v>3396.13</c:v>
                </c:pt>
                <c:pt idx="149">
                  <c:v>3611.65</c:v>
                </c:pt>
                <c:pt idx="150">
                  <c:v>4298.8100000000004</c:v>
                </c:pt>
                <c:pt idx="151">
                  <c:v>5171.8599999999997</c:v>
                </c:pt>
                <c:pt idx="152">
                  <c:v>6325.23</c:v>
                </c:pt>
                <c:pt idx="153">
                  <c:v>7169.81</c:v>
                </c:pt>
                <c:pt idx="154">
                  <c:v>7371.24</c:v>
                </c:pt>
                <c:pt idx="155">
                  <c:v>7437.64</c:v>
                </c:pt>
                <c:pt idx="156">
                  <c:v>7437.2</c:v>
                </c:pt>
                <c:pt idx="157">
                  <c:v>7414.18</c:v>
                </c:pt>
                <c:pt idx="158">
                  <c:v>7423.35</c:v>
                </c:pt>
                <c:pt idx="159">
                  <c:v>7430.95</c:v>
                </c:pt>
                <c:pt idx="160">
                  <c:v>7436</c:v>
                </c:pt>
                <c:pt idx="161">
                  <c:v>7435.9</c:v>
                </c:pt>
                <c:pt idx="162">
                  <c:v>7432.86</c:v>
                </c:pt>
                <c:pt idx="163">
                  <c:v>7398.19</c:v>
                </c:pt>
                <c:pt idx="164">
                  <c:v>7405.01</c:v>
                </c:pt>
                <c:pt idx="165">
                  <c:v>7391.56</c:v>
                </c:pt>
                <c:pt idx="166">
                  <c:v>7296.79</c:v>
                </c:pt>
                <c:pt idx="167">
                  <c:v>7146.93</c:v>
                </c:pt>
                <c:pt idx="168">
                  <c:v>7147.07</c:v>
                </c:pt>
                <c:pt idx="169">
                  <c:v>7127.96</c:v>
                </c:pt>
                <c:pt idx="170">
                  <c:v>7094.64</c:v>
                </c:pt>
                <c:pt idx="171">
                  <c:v>6718.34</c:v>
                </c:pt>
                <c:pt idx="172">
                  <c:v>6540.19</c:v>
                </c:pt>
                <c:pt idx="173">
                  <c:v>6419.66</c:v>
                </c:pt>
                <c:pt idx="174">
                  <c:v>6256.13</c:v>
                </c:pt>
                <c:pt idx="175">
                  <c:v>6318.02</c:v>
                </c:pt>
                <c:pt idx="176">
                  <c:v>6334.44</c:v>
                </c:pt>
                <c:pt idx="177">
                  <c:v>6376.07</c:v>
                </c:pt>
                <c:pt idx="178">
                  <c:v>6874.18</c:v>
                </c:pt>
                <c:pt idx="179">
                  <c:v>7283</c:v>
                </c:pt>
                <c:pt idx="180">
                  <c:v>7400.33</c:v>
                </c:pt>
                <c:pt idx="181">
                  <c:v>7453.31</c:v>
                </c:pt>
                <c:pt idx="182">
                  <c:v>7456.8</c:v>
                </c:pt>
                <c:pt idx="183">
                  <c:v>7457.68</c:v>
                </c:pt>
                <c:pt idx="184">
                  <c:v>7406.16</c:v>
                </c:pt>
                <c:pt idx="185">
                  <c:v>7310.86</c:v>
                </c:pt>
                <c:pt idx="186">
                  <c:v>7183.54</c:v>
                </c:pt>
                <c:pt idx="187">
                  <c:v>7298.68</c:v>
                </c:pt>
                <c:pt idx="188">
                  <c:v>7071.56</c:v>
                </c:pt>
                <c:pt idx="189">
                  <c:v>6796.41</c:v>
                </c:pt>
                <c:pt idx="190">
                  <c:v>6706.88</c:v>
                </c:pt>
                <c:pt idx="191">
                  <c:v>6683.2</c:v>
                </c:pt>
                <c:pt idx="192">
                  <c:v>6809.4</c:v>
                </c:pt>
                <c:pt idx="193">
                  <c:v>6867.09</c:v>
                </c:pt>
                <c:pt idx="194">
                  <c:v>6861.4</c:v>
                </c:pt>
                <c:pt idx="195">
                  <c:v>6880.14</c:v>
                </c:pt>
                <c:pt idx="196">
                  <c:v>6908.09</c:v>
                </c:pt>
                <c:pt idx="197">
                  <c:v>6977.79</c:v>
                </c:pt>
                <c:pt idx="198">
                  <c:v>7024.53</c:v>
                </c:pt>
                <c:pt idx="199">
                  <c:v>7192.34</c:v>
                </c:pt>
                <c:pt idx="200">
                  <c:v>7361.76</c:v>
                </c:pt>
                <c:pt idx="201">
                  <c:v>7430.85</c:v>
                </c:pt>
                <c:pt idx="202">
                  <c:v>7425.79</c:v>
                </c:pt>
                <c:pt idx="203">
                  <c:v>7285.92</c:v>
                </c:pt>
                <c:pt idx="204">
                  <c:v>7043.9</c:v>
                </c:pt>
                <c:pt idx="205">
                  <c:v>7031.93</c:v>
                </c:pt>
                <c:pt idx="206">
                  <c:v>7010.03</c:v>
                </c:pt>
                <c:pt idx="207">
                  <c:v>6974.25</c:v>
                </c:pt>
                <c:pt idx="208">
                  <c:v>7001.03</c:v>
                </c:pt>
                <c:pt idx="209">
                  <c:v>6981.95</c:v>
                </c:pt>
                <c:pt idx="210">
                  <c:v>6969.56</c:v>
                </c:pt>
                <c:pt idx="211">
                  <c:v>6924.38</c:v>
                </c:pt>
                <c:pt idx="212">
                  <c:v>6895.02</c:v>
                </c:pt>
                <c:pt idx="213">
                  <c:v>6891.76</c:v>
                </c:pt>
                <c:pt idx="214">
                  <c:v>6848.61</c:v>
                </c:pt>
                <c:pt idx="215">
                  <c:v>6764.92</c:v>
                </c:pt>
                <c:pt idx="216">
                  <c:v>6589.13</c:v>
                </c:pt>
                <c:pt idx="217">
                  <c:v>6365.28</c:v>
                </c:pt>
                <c:pt idx="218">
                  <c:v>6234.07</c:v>
                </c:pt>
                <c:pt idx="219">
                  <c:v>6096.22</c:v>
                </c:pt>
                <c:pt idx="220">
                  <c:v>6098.62</c:v>
                </c:pt>
                <c:pt idx="221">
                  <c:v>5986.73</c:v>
                </c:pt>
                <c:pt idx="222">
                  <c:v>5813.57</c:v>
                </c:pt>
                <c:pt idx="223">
                  <c:v>5836.79</c:v>
                </c:pt>
                <c:pt idx="224">
                  <c:v>5783.17</c:v>
                </c:pt>
                <c:pt idx="225">
                  <c:v>5928.17</c:v>
                </c:pt>
                <c:pt idx="226">
                  <c:v>6183.11</c:v>
                </c:pt>
                <c:pt idx="227">
                  <c:v>6584.98</c:v>
                </c:pt>
                <c:pt idx="228">
                  <c:v>6800.91</c:v>
                </c:pt>
                <c:pt idx="229">
                  <c:v>6816.89</c:v>
                </c:pt>
                <c:pt idx="230">
                  <c:v>6875.66</c:v>
                </c:pt>
                <c:pt idx="231">
                  <c:v>6884.99</c:v>
                </c:pt>
                <c:pt idx="232">
                  <c:v>6740.14</c:v>
                </c:pt>
                <c:pt idx="233">
                  <c:v>6353.45</c:v>
                </c:pt>
                <c:pt idx="234">
                  <c:v>6027.26</c:v>
                </c:pt>
                <c:pt idx="235">
                  <c:v>5381.56</c:v>
                </c:pt>
                <c:pt idx="236">
                  <c:v>4791.59</c:v>
                </c:pt>
                <c:pt idx="237">
                  <c:v>4094.45</c:v>
                </c:pt>
                <c:pt idx="238">
                  <c:v>3594.12</c:v>
                </c:pt>
                <c:pt idx="239">
                  <c:v>3480.66</c:v>
                </c:pt>
                <c:pt idx="240">
                  <c:v>3401.49</c:v>
                </c:pt>
                <c:pt idx="241">
                  <c:v>3382.89</c:v>
                </c:pt>
                <c:pt idx="242">
                  <c:v>3391.47</c:v>
                </c:pt>
                <c:pt idx="243">
                  <c:v>3393.65</c:v>
                </c:pt>
                <c:pt idx="244">
                  <c:v>3576.46</c:v>
                </c:pt>
                <c:pt idx="245">
                  <c:v>3890.8</c:v>
                </c:pt>
                <c:pt idx="246">
                  <c:v>4338.79</c:v>
                </c:pt>
                <c:pt idx="247">
                  <c:v>5004.04</c:v>
                </c:pt>
                <c:pt idx="248">
                  <c:v>6023.8</c:v>
                </c:pt>
                <c:pt idx="249">
                  <c:v>6450.83</c:v>
                </c:pt>
                <c:pt idx="250">
                  <c:v>6796.95</c:v>
                </c:pt>
                <c:pt idx="251">
                  <c:v>6879</c:v>
                </c:pt>
                <c:pt idx="252">
                  <c:v>6902.17</c:v>
                </c:pt>
                <c:pt idx="253">
                  <c:v>6929.51</c:v>
                </c:pt>
                <c:pt idx="254">
                  <c:v>6949.18</c:v>
                </c:pt>
                <c:pt idx="255">
                  <c:v>6958.2</c:v>
                </c:pt>
                <c:pt idx="256">
                  <c:v>6928.49</c:v>
                </c:pt>
                <c:pt idx="257">
                  <c:v>6979.48</c:v>
                </c:pt>
                <c:pt idx="258">
                  <c:v>7052.77</c:v>
                </c:pt>
                <c:pt idx="259">
                  <c:v>7089.3</c:v>
                </c:pt>
                <c:pt idx="260">
                  <c:v>7103.07</c:v>
                </c:pt>
                <c:pt idx="261">
                  <c:v>7103.03</c:v>
                </c:pt>
                <c:pt idx="262">
                  <c:v>7075.44</c:v>
                </c:pt>
                <c:pt idx="263">
                  <c:v>6928.5</c:v>
                </c:pt>
                <c:pt idx="264">
                  <c:v>6704.77</c:v>
                </c:pt>
                <c:pt idx="265">
                  <c:v>6563.28</c:v>
                </c:pt>
                <c:pt idx="266">
                  <c:v>6593.27</c:v>
                </c:pt>
                <c:pt idx="267">
                  <c:v>6335.81</c:v>
                </c:pt>
                <c:pt idx="268">
                  <c:v>6186.98</c:v>
                </c:pt>
                <c:pt idx="269">
                  <c:v>6094.46</c:v>
                </c:pt>
                <c:pt idx="270">
                  <c:v>6042.81</c:v>
                </c:pt>
                <c:pt idx="271">
                  <c:v>6084.84</c:v>
                </c:pt>
                <c:pt idx="272">
                  <c:v>6235.52</c:v>
                </c:pt>
                <c:pt idx="273">
                  <c:v>6404.62</c:v>
                </c:pt>
                <c:pt idx="274">
                  <c:v>6728.24</c:v>
                </c:pt>
                <c:pt idx="275">
                  <c:v>7186.1</c:v>
                </c:pt>
                <c:pt idx="276">
                  <c:v>7720.06</c:v>
                </c:pt>
                <c:pt idx="277">
                  <c:v>7916.34</c:v>
                </c:pt>
                <c:pt idx="278">
                  <c:v>7991.77</c:v>
                </c:pt>
                <c:pt idx="279">
                  <c:v>7934.04</c:v>
                </c:pt>
                <c:pt idx="280">
                  <c:v>7701.28</c:v>
                </c:pt>
                <c:pt idx="281">
                  <c:v>7238.66</c:v>
                </c:pt>
                <c:pt idx="282">
                  <c:v>6365.08</c:v>
                </c:pt>
                <c:pt idx="283">
                  <c:v>5709.09</c:v>
                </c:pt>
                <c:pt idx="284">
                  <c:v>5334.09</c:v>
                </c:pt>
                <c:pt idx="285">
                  <c:v>4956.08</c:v>
                </c:pt>
                <c:pt idx="286">
                  <c:v>4581.97</c:v>
                </c:pt>
                <c:pt idx="287">
                  <c:v>4220.4799999999996</c:v>
                </c:pt>
                <c:pt idx="288">
                  <c:v>3998.16</c:v>
                </c:pt>
                <c:pt idx="289">
                  <c:v>4020.32</c:v>
                </c:pt>
                <c:pt idx="290">
                  <c:v>4073.91</c:v>
                </c:pt>
                <c:pt idx="291">
                  <c:v>4130.7700000000004</c:v>
                </c:pt>
                <c:pt idx="292">
                  <c:v>4290.54</c:v>
                </c:pt>
                <c:pt idx="293">
                  <c:v>4915.79</c:v>
                </c:pt>
                <c:pt idx="294">
                  <c:v>5674.82</c:v>
                </c:pt>
                <c:pt idx="295">
                  <c:v>6816.53</c:v>
                </c:pt>
                <c:pt idx="296">
                  <c:v>7710.41</c:v>
                </c:pt>
                <c:pt idx="297">
                  <c:v>7965.6</c:v>
                </c:pt>
                <c:pt idx="298">
                  <c:v>7969.07</c:v>
                </c:pt>
                <c:pt idx="299">
                  <c:v>7997.94</c:v>
                </c:pt>
                <c:pt idx="300">
                  <c:v>8078.78</c:v>
                </c:pt>
                <c:pt idx="301">
                  <c:v>8130.66</c:v>
                </c:pt>
                <c:pt idx="302">
                  <c:v>8129.35</c:v>
                </c:pt>
                <c:pt idx="303">
                  <c:v>8134.41</c:v>
                </c:pt>
                <c:pt idx="304">
                  <c:v>8147.78</c:v>
                </c:pt>
                <c:pt idx="305">
                  <c:v>8145.84</c:v>
                </c:pt>
                <c:pt idx="306">
                  <c:v>8129.83</c:v>
                </c:pt>
                <c:pt idx="307">
                  <c:v>8061.09</c:v>
                </c:pt>
                <c:pt idx="308">
                  <c:v>8073.74</c:v>
                </c:pt>
                <c:pt idx="309">
                  <c:v>8119.62</c:v>
                </c:pt>
                <c:pt idx="310">
                  <c:v>8122.02</c:v>
                </c:pt>
                <c:pt idx="311">
                  <c:v>8067.67</c:v>
                </c:pt>
                <c:pt idx="312">
                  <c:v>7973.44</c:v>
                </c:pt>
                <c:pt idx="313">
                  <c:v>7814.07</c:v>
                </c:pt>
                <c:pt idx="314">
                  <c:v>7627.58</c:v>
                </c:pt>
                <c:pt idx="315">
                  <c:v>7425.33</c:v>
                </c:pt>
                <c:pt idx="316">
                  <c:v>7290</c:v>
                </c:pt>
                <c:pt idx="317">
                  <c:v>7203.53</c:v>
                </c:pt>
                <c:pt idx="318">
                  <c:v>7227.16</c:v>
                </c:pt>
                <c:pt idx="319">
                  <c:v>7270.43</c:v>
                </c:pt>
                <c:pt idx="320">
                  <c:v>7289.57</c:v>
                </c:pt>
                <c:pt idx="321">
                  <c:v>7449.21</c:v>
                </c:pt>
                <c:pt idx="322">
                  <c:v>7844.03</c:v>
                </c:pt>
                <c:pt idx="323">
                  <c:v>8092.69</c:v>
                </c:pt>
                <c:pt idx="324">
                  <c:v>8143.84</c:v>
                </c:pt>
                <c:pt idx="325">
                  <c:v>8100.52</c:v>
                </c:pt>
                <c:pt idx="326">
                  <c:v>8064.88</c:v>
                </c:pt>
                <c:pt idx="327">
                  <c:v>8133.81</c:v>
                </c:pt>
                <c:pt idx="328">
                  <c:v>8086.29</c:v>
                </c:pt>
                <c:pt idx="329">
                  <c:v>7942.53</c:v>
                </c:pt>
                <c:pt idx="330">
                  <c:v>7744.28</c:v>
                </c:pt>
                <c:pt idx="331">
                  <c:v>7298.85</c:v>
                </c:pt>
                <c:pt idx="332">
                  <c:v>6846.27</c:v>
                </c:pt>
                <c:pt idx="333">
                  <c:v>6486.45</c:v>
                </c:pt>
                <c:pt idx="334">
                  <c:v>5928.26</c:v>
                </c:pt>
                <c:pt idx="335">
                  <c:v>5705.43</c:v>
                </c:pt>
                <c:pt idx="336">
                  <c:v>5653.77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E-7F4B-8595-CA7E8F386EDB}"/>
            </c:ext>
          </c:extLst>
        </c:ser>
        <c:ser>
          <c:idx val="1"/>
          <c:order val="1"/>
          <c:tx>
            <c:strRef>
              <c:f>'Generation Mix - Ren and FF'!$E$1</c:f>
              <c:strCache>
                <c:ptCount val="1"/>
                <c:pt idx="0">
                  <c:v>Bioenergy (Biomass) -  MW</c:v>
                </c:pt>
              </c:strCache>
            </c:strRef>
          </c:tx>
          <c:spPr>
            <a:solidFill>
              <a:srgbClr val="40C1BB">
                <a:lumMod val="50000"/>
              </a:srgbClr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FF'!$E$2:$E$338</c:f>
              <c:numCache>
                <c:formatCode>#,##0</c:formatCode>
                <c:ptCount val="337"/>
                <c:pt idx="0">
                  <c:v>28.92</c:v>
                </c:pt>
                <c:pt idx="1">
                  <c:v>29.64</c:v>
                </c:pt>
                <c:pt idx="2">
                  <c:v>20.71</c:v>
                </c:pt>
                <c:pt idx="3">
                  <c:v>11.93</c:v>
                </c:pt>
                <c:pt idx="4">
                  <c:v>11.22</c:v>
                </c:pt>
                <c:pt idx="5">
                  <c:v>12.25</c:v>
                </c:pt>
                <c:pt idx="6">
                  <c:v>11.73</c:v>
                </c:pt>
                <c:pt idx="7">
                  <c:v>13.43</c:v>
                </c:pt>
                <c:pt idx="8">
                  <c:v>1.38</c:v>
                </c:pt>
                <c:pt idx="9">
                  <c:v>-0.54</c:v>
                </c:pt>
                <c:pt idx="10">
                  <c:v>-1.78</c:v>
                </c:pt>
                <c:pt idx="11">
                  <c:v>-1.23</c:v>
                </c:pt>
                <c:pt idx="12">
                  <c:v>-0.77</c:v>
                </c:pt>
                <c:pt idx="13">
                  <c:v>-0.91</c:v>
                </c:pt>
                <c:pt idx="14">
                  <c:v>-0.89</c:v>
                </c:pt>
                <c:pt idx="15">
                  <c:v>-0.47</c:v>
                </c:pt>
                <c:pt idx="16">
                  <c:v>-0.82</c:v>
                </c:pt>
                <c:pt idx="17">
                  <c:v>-1.1000000000000001</c:v>
                </c:pt>
                <c:pt idx="18">
                  <c:v>-0.79</c:v>
                </c:pt>
                <c:pt idx="19">
                  <c:v>-0.79</c:v>
                </c:pt>
                <c:pt idx="20">
                  <c:v>-0.99</c:v>
                </c:pt>
                <c:pt idx="21">
                  <c:v>-0.71</c:v>
                </c:pt>
                <c:pt idx="22">
                  <c:v>-1.29</c:v>
                </c:pt>
                <c:pt idx="23">
                  <c:v>-1.49</c:v>
                </c:pt>
                <c:pt idx="24">
                  <c:v>-0.83</c:v>
                </c:pt>
                <c:pt idx="25">
                  <c:v>-0.99</c:v>
                </c:pt>
                <c:pt idx="26">
                  <c:v>-0.74</c:v>
                </c:pt>
                <c:pt idx="27">
                  <c:v>-0.75</c:v>
                </c:pt>
                <c:pt idx="28">
                  <c:v>-0.76</c:v>
                </c:pt>
                <c:pt idx="29">
                  <c:v>-0.85</c:v>
                </c:pt>
                <c:pt idx="30">
                  <c:v>-0.73</c:v>
                </c:pt>
                <c:pt idx="31">
                  <c:v>-1.29</c:v>
                </c:pt>
                <c:pt idx="32">
                  <c:v>-0.95</c:v>
                </c:pt>
                <c:pt idx="33">
                  <c:v>-0.84</c:v>
                </c:pt>
                <c:pt idx="34">
                  <c:v>-1.22</c:v>
                </c:pt>
                <c:pt idx="35">
                  <c:v>-1.65</c:v>
                </c:pt>
                <c:pt idx="36">
                  <c:v>-0.77</c:v>
                </c:pt>
                <c:pt idx="37">
                  <c:v>-0.84</c:v>
                </c:pt>
                <c:pt idx="38">
                  <c:v>-0.57999999999999996</c:v>
                </c:pt>
                <c:pt idx="39">
                  <c:v>-0.16</c:v>
                </c:pt>
                <c:pt idx="40">
                  <c:v>-0.73</c:v>
                </c:pt>
                <c:pt idx="41">
                  <c:v>-0.99</c:v>
                </c:pt>
                <c:pt idx="42">
                  <c:v>-1.86</c:v>
                </c:pt>
                <c:pt idx="43">
                  <c:v>-4.28</c:v>
                </c:pt>
                <c:pt idx="44">
                  <c:v>-5.28</c:v>
                </c:pt>
                <c:pt idx="45">
                  <c:v>-2.37</c:v>
                </c:pt>
                <c:pt idx="46">
                  <c:v>1.53</c:v>
                </c:pt>
                <c:pt idx="47">
                  <c:v>1.76</c:v>
                </c:pt>
                <c:pt idx="48">
                  <c:v>2.52</c:v>
                </c:pt>
                <c:pt idx="49">
                  <c:v>8.02</c:v>
                </c:pt>
                <c:pt idx="50">
                  <c:v>8.64</c:v>
                </c:pt>
                <c:pt idx="51">
                  <c:v>9.1</c:v>
                </c:pt>
                <c:pt idx="52">
                  <c:v>8.36</c:v>
                </c:pt>
                <c:pt idx="53">
                  <c:v>8.32</c:v>
                </c:pt>
                <c:pt idx="54">
                  <c:v>9.65</c:v>
                </c:pt>
                <c:pt idx="55">
                  <c:v>5.32</c:v>
                </c:pt>
                <c:pt idx="56">
                  <c:v>1.41</c:v>
                </c:pt>
                <c:pt idx="57">
                  <c:v>-1.76</c:v>
                </c:pt>
                <c:pt idx="58">
                  <c:v>-1.57</c:v>
                </c:pt>
                <c:pt idx="59">
                  <c:v>-1.22</c:v>
                </c:pt>
                <c:pt idx="60">
                  <c:v>-0.99</c:v>
                </c:pt>
                <c:pt idx="61">
                  <c:v>-0.62</c:v>
                </c:pt>
                <c:pt idx="62">
                  <c:v>-0.75</c:v>
                </c:pt>
                <c:pt idx="63">
                  <c:v>-1.31</c:v>
                </c:pt>
                <c:pt idx="64">
                  <c:v>-0.97</c:v>
                </c:pt>
                <c:pt idx="65">
                  <c:v>-1.25</c:v>
                </c:pt>
                <c:pt idx="66">
                  <c:v>-1.28</c:v>
                </c:pt>
                <c:pt idx="67">
                  <c:v>-1.21</c:v>
                </c:pt>
                <c:pt idx="68">
                  <c:v>-1.43</c:v>
                </c:pt>
                <c:pt idx="69">
                  <c:v>-1.1299999999999999</c:v>
                </c:pt>
                <c:pt idx="70">
                  <c:v>-1.45</c:v>
                </c:pt>
                <c:pt idx="71">
                  <c:v>-1.01</c:v>
                </c:pt>
                <c:pt idx="72">
                  <c:v>-1.24</c:v>
                </c:pt>
                <c:pt idx="73">
                  <c:v>-3.77</c:v>
                </c:pt>
                <c:pt idx="74">
                  <c:v>-1.63</c:v>
                </c:pt>
                <c:pt idx="75">
                  <c:v>-1.05</c:v>
                </c:pt>
                <c:pt idx="76">
                  <c:v>-1.07</c:v>
                </c:pt>
                <c:pt idx="77">
                  <c:v>-2.63</c:v>
                </c:pt>
                <c:pt idx="78">
                  <c:v>-0.85</c:v>
                </c:pt>
                <c:pt idx="79">
                  <c:v>-1.02</c:v>
                </c:pt>
                <c:pt idx="80">
                  <c:v>-1.77</c:v>
                </c:pt>
                <c:pt idx="81">
                  <c:v>-0.21</c:v>
                </c:pt>
                <c:pt idx="82">
                  <c:v>-0.14000000000000001</c:v>
                </c:pt>
                <c:pt idx="83">
                  <c:v>-2.2200000000000002</c:v>
                </c:pt>
                <c:pt idx="84">
                  <c:v>-0.64</c:v>
                </c:pt>
                <c:pt idx="85">
                  <c:v>-0.47</c:v>
                </c:pt>
                <c:pt idx="86">
                  <c:v>-1.1599999999999999</c:v>
                </c:pt>
                <c:pt idx="87">
                  <c:v>-0.05</c:v>
                </c:pt>
                <c:pt idx="88">
                  <c:v>-0.27</c:v>
                </c:pt>
                <c:pt idx="89">
                  <c:v>0.14000000000000001</c:v>
                </c:pt>
                <c:pt idx="90">
                  <c:v>9.33</c:v>
                </c:pt>
                <c:pt idx="91">
                  <c:v>9.5399999999999991</c:v>
                </c:pt>
                <c:pt idx="92">
                  <c:v>9.11</c:v>
                </c:pt>
                <c:pt idx="93">
                  <c:v>7.68</c:v>
                </c:pt>
                <c:pt idx="94">
                  <c:v>4.12</c:v>
                </c:pt>
                <c:pt idx="95">
                  <c:v>1.95</c:v>
                </c:pt>
                <c:pt idx="96">
                  <c:v>0.11</c:v>
                </c:pt>
                <c:pt idx="97">
                  <c:v>-0.12</c:v>
                </c:pt>
                <c:pt idx="98">
                  <c:v>-0.39</c:v>
                </c:pt>
                <c:pt idx="99">
                  <c:v>-0.02</c:v>
                </c:pt>
                <c:pt idx="100">
                  <c:v>-0.12</c:v>
                </c:pt>
                <c:pt idx="101">
                  <c:v>-0.49</c:v>
                </c:pt>
                <c:pt idx="102">
                  <c:v>0.55000000000000004</c:v>
                </c:pt>
                <c:pt idx="103">
                  <c:v>7.25</c:v>
                </c:pt>
                <c:pt idx="104">
                  <c:v>3.33</c:v>
                </c:pt>
                <c:pt idx="105">
                  <c:v>-1.0900000000000001</c:v>
                </c:pt>
                <c:pt idx="106">
                  <c:v>-2.9</c:v>
                </c:pt>
                <c:pt idx="107">
                  <c:v>-3.66</c:v>
                </c:pt>
                <c:pt idx="108">
                  <c:v>-2.25</c:v>
                </c:pt>
                <c:pt idx="109">
                  <c:v>-2.2599999999999998</c:v>
                </c:pt>
                <c:pt idx="110">
                  <c:v>-2.15</c:v>
                </c:pt>
                <c:pt idx="111">
                  <c:v>-0.85</c:v>
                </c:pt>
                <c:pt idx="112">
                  <c:v>-0.95</c:v>
                </c:pt>
                <c:pt idx="113">
                  <c:v>-1.49</c:v>
                </c:pt>
                <c:pt idx="114">
                  <c:v>-0.97</c:v>
                </c:pt>
                <c:pt idx="115">
                  <c:v>-0.57999999999999996</c:v>
                </c:pt>
                <c:pt idx="116">
                  <c:v>-0.85</c:v>
                </c:pt>
                <c:pt idx="117">
                  <c:v>1.53</c:v>
                </c:pt>
                <c:pt idx="118">
                  <c:v>2.4</c:v>
                </c:pt>
                <c:pt idx="119">
                  <c:v>1.32</c:v>
                </c:pt>
                <c:pt idx="120">
                  <c:v>-0.23</c:v>
                </c:pt>
                <c:pt idx="121">
                  <c:v>0.21</c:v>
                </c:pt>
                <c:pt idx="122">
                  <c:v>0.69</c:v>
                </c:pt>
                <c:pt idx="123">
                  <c:v>0.38</c:v>
                </c:pt>
                <c:pt idx="124">
                  <c:v>0.89</c:v>
                </c:pt>
                <c:pt idx="125">
                  <c:v>-0.04</c:v>
                </c:pt>
                <c:pt idx="126">
                  <c:v>-0.24</c:v>
                </c:pt>
                <c:pt idx="127">
                  <c:v>-1.26</c:v>
                </c:pt>
                <c:pt idx="128">
                  <c:v>-0.54</c:v>
                </c:pt>
                <c:pt idx="129">
                  <c:v>0.56999999999999995</c:v>
                </c:pt>
                <c:pt idx="130">
                  <c:v>-0.28999999999999998</c:v>
                </c:pt>
                <c:pt idx="131">
                  <c:v>-1.1299999999999999</c:v>
                </c:pt>
                <c:pt idx="132">
                  <c:v>-3.58</c:v>
                </c:pt>
                <c:pt idx="133">
                  <c:v>-1.92</c:v>
                </c:pt>
                <c:pt idx="134">
                  <c:v>-3.31</c:v>
                </c:pt>
                <c:pt idx="135">
                  <c:v>-3.44</c:v>
                </c:pt>
                <c:pt idx="136">
                  <c:v>-3.45</c:v>
                </c:pt>
                <c:pt idx="137">
                  <c:v>0.96</c:v>
                </c:pt>
                <c:pt idx="138">
                  <c:v>11.53</c:v>
                </c:pt>
                <c:pt idx="139">
                  <c:v>13.54</c:v>
                </c:pt>
                <c:pt idx="140">
                  <c:v>13.92</c:v>
                </c:pt>
                <c:pt idx="141">
                  <c:v>13.54</c:v>
                </c:pt>
                <c:pt idx="142">
                  <c:v>13.34</c:v>
                </c:pt>
                <c:pt idx="143">
                  <c:v>9.8000000000000007</c:v>
                </c:pt>
                <c:pt idx="144">
                  <c:v>7.17</c:v>
                </c:pt>
                <c:pt idx="145">
                  <c:v>6.59</c:v>
                </c:pt>
                <c:pt idx="146">
                  <c:v>6.74</c:v>
                </c:pt>
                <c:pt idx="147">
                  <c:v>6.09</c:v>
                </c:pt>
                <c:pt idx="148">
                  <c:v>6.7</c:v>
                </c:pt>
                <c:pt idx="149">
                  <c:v>6.89</c:v>
                </c:pt>
                <c:pt idx="150">
                  <c:v>8.69</c:v>
                </c:pt>
                <c:pt idx="151">
                  <c:v>0.46</c:v>
                </c:pt>
                <c:pt idx="152">
                  <c:v>-1.73</c:v>
                </c:pt>
                <c:pt idx="153">
                  <c:v>-1.71</c:v>
                </c:pt>
                <c:pt idx="154">
                  <c:v>-1.51</c:v>
                </c:pt>
                <c:pt idx="155">
                  <c:v>-1.55</c:v>
                </c:pt>
                <c:pt idx="156">
                  <c:v>-1.6</c:v>
                </c:pt>
                <c:pt idx="157">
                  <c:v>-1.92</c:v>
                </c:pt>
                <c:pt idx="158">
                  <c:v>-1.74</c:v>
                </c:pt>
                <c:pt idx="159">
                  <c:v>-2.23</c:v>
                </c:pt>
                <c:pt idx="160">
                  <c:v>-0.23</c:v>
                </c:pt>
                <c:pt idx="161">
                  <c:v>-0.18</c:v>
                </c:pt>
                <c:pt idx="162">
                  <c:v>-0.37</c:v>
                </c:pt>
                <c:pt idx="163">
                  <c:v>0.05</c:v>
                </c:pt>
                <c:pt idx="164">
                  <c:v>-0.48</c:v>
                </c:pt>
                <c:pt idx="165">
                  <c:v>-0.56000000000000005</c:v>
                </c:pt>
                <c:pt idx="166">
                  <c:v>-0.33</c:v>
                </c:pt>
                <c:pt idx="167">
                  <c:v>-0.41</c:v>
                </c:pt>
                <c:pt idx="168">
                  <c:v>-0.94</c:v>
                </c:pt>
                <c:pt idx="169">
                  <c:v>-0.92</c:v>
                </c:pt>
                <c:pt idx="170">
                  <c:v>-0.83</c:v>
                </c:pt>
                <c:pt idx="171">
                  <c:v>-0.88</c:v>
                </c:pt>
                <c:pt idx="172">
                  <c:v>-0.84</c:v>
                </c:pt>
                <c:pt idx="173">
                  <c:v>-0.62</c:v>
                </c:pt>
                <c:pt idx="174">
                  <c:v>-0.88</c:v>
                </c:pt>
                <c:pt idx="175">
                  <c:v>-0.7</c:v>
                </c:pt>
                <c:pt idx="176">
                  <c:v>-0.88</c:v>
                </c:pt>
                <c:pt idx="177">
                  <c:v>-0.74</c:v>
                </c:pt>
                <c:pt idx="178">
                  <c:v>-0.11</c:v>
                </c:pt>
                <c:pt idx="179">
                  <c:v>-0.3</c:v>
                </c:pt>
                <c:pt idx="180">
                  <c:v>-2.27</c:v>
                </c:pt>
                <c:pt idx="181">
                  <c:v>-1.19</c:v>
                </c:pt>
                <c:pt idx="182">
                  <c:v>-0.82</c:v>
                </c:pt>
                <c:pt idx="183">
                  <c:v>-0.18</c:v>
                </c:pt>
                <c:pt idx="184">
                  <c:v>-2.0099999999999998</c:v>
                </c:pt>
                <c:pt idx="185">
                  <c:v>-3.12</c:v>
                </c:pt>
                <c:pt idx="186">
                  <c:v>4.5</c:v>
                </c:pt>
                <c:pt idx="187">
                  <c:v>10.39</c:v>
                </c:pt>
                <c:pt idx="188">
                  <c:v>13.03</c:v>
                </c:pt>
                <c:pt idx="189">
                  <c:v>10.81</c:v>
                </c:pt>
                <c:pt idx="190">
                  <c:v>8.76</c:v>
                </c:pt>
                <c:pt idx="191">
                  <c:v>10.55</c:v>
                </c:pt>
                <c:pt idx="192">
                  <c:v>11.8</c:v>
                </c:pt>
                <c:pt idx="193">
                  <c:v>10.96</c:v>
                </c:pt>
                <c:pt idx="194">
                  <c:v>8.0399999999999991</c:v>
                </c:pt>
                <c:pt idx="195">
                  <c:v>8.73</c:v>
                </c:pt>
                <c:pt idx="196">
                  <c:v>8.48</c:v>
                </c:pt>
                <c:pt idx="197">
                  <c:v>8.2899999999999991</c:v>
                </c:pt>
                <c:pt idx="198">
                  <c:v>8.23</c:v>
                </c:pt>
                <c:pt idx="199">
                  <c:v>5.2</c:v>
                </c:pt>
                <c:pt idx="200">
                  <c:v>-2.56</c:v>
                </c:pt>
                <c:pt idx="201">
                  <c:v>-1.78</c:v>
                </c:pt>
                <c:pt idx="202">
                  <c:v>-2.58</c:v>
                </c:pt>
                <c:pt idx="203">
                  <c:v>-2.46</c:v>
                </c:pt>
                <c:pt idx="204">
                  <c:v>-1.97</c:v>
                </c:pt>
                <c:pt idx="205">
                  <c:v>-2.2599999999999998</c:v>
                </c:pt>
                <c:pt idx="206">
                  <c:v>-1.56</c:v>
                </c:pt>
                <c:pt idx="207">
                  <c:v>-2.63</c:v>
                </c:pt>
                <c:pt idx="208">
                  <c:v>-2.11</c:v>
                </c:pt>
                <c:pt idx="209">
                  <c:v>-2.66</c:v>
                </c:pt>
                <c:pt idx="210">
                  <c:v>-2.46</c:v>
                </c:pt>
                <c:pt idx="211">
                  <c:v>-1.59</c:v>
                </c:pt>
                <c:pt idx="212">
                  <c:v>-2.08</c:v>
                </c:pt>
                <c:pt idx="213">
                  <c:v>-1.45</c:v>
                </c:pt>
                <c:pt idx="214">
                  <c:v>-2.06</c:v>
                </c:pt>
                <c:pt idx="215">
                  <c:v>-2.4500000000000002</c:v>
                </c:pt>
                <c:pt idx="216">
                  <c:v>-0.92</c:v>
                </c:pt>
                <c:pt idx="217">
                  <c:v>-0.75</c:v>
                </c:pt>
                <c:pt idx="218">
                  <c:v>-2.37</c:v>
                </c:pt>
                <c:pt idx="219">
                  <c:v>-4.2699999999999996</c:v>
                </c:pt>
                <c:pt idx="220">
                  <c:v>-4.49</c:v>
                </c:pt>
                <c:pt idx="221">
                  <c:v>-4.3600000000000003</c:v>
                </c:pt>
                <c:pt idx="222">
                  <c:v>-4.25</c:v>
                </c:pt>
                <c:pt idx="223">
                  <c:v>5.95</c:v>
                </c:pt>
                <c:pt idx="224">
                  <c:v>21.02</c:v>
                </c:pt>
                <c:pt idx="225">
                  <c:v>20.59</c:v>
                </c:pt>
                <c:pt idx="226">
                  <c:v>20.440000000000001</c:v>
                </c:pt>
                <c:pt idx="227">
                  <c:v>21.97</c:v>
                </c:pt>
                <c:pt idx="228">
                  <c:v>22.15</c:v>
                </c:pt>
                <c:pt idx="229">
                  <c:v>23.93</c:v>
                </c:pt>
                <c:pt idx="230">
                  <c:v>26.83</c:v>
                </c:pt>
                <c:pt idx="231">
                  <c:v>28.03</c:v>
                </c:pt>
                <c:pt idx="232">
                  <c:v>28.17</c:v>
                </c:pt>
                <c:pt idx="233">
                  <c:v>26.62</c:v>
                </c:pt>
                <c:pt idx="234">
                  <c:v>7.14</c:v>
                </c:pt>
                <c:pt idx="235">
                  <c:v>-0.23</c:v>
                </c:pt>
                <c:pt idx="236">
                  <c:v>-0.13</c:v>
                </c:pt>
                <c:pt idx="237">
                  <c:v>-0.03</c:v>
                </c:pt>
                <c:pt idx="238">
                  <c:v>-0.05</c:v>
                </c:pt>
                <c:pt idx="239">
                  <c:v>-0.81</c:v>
                </c:pt>
                <c:pt idx="240">
                  <c:v>-0.89</c:v>
                </c:pt>
                <c:pt idx="241">
                  <c:v>5.98</c:v>
                </c:pt>
                <c:pt idx="242">
                  <c:v>17.32</c:v>
                </c:pt>
                <c:pt idx="243">
                  <c:v>16.13</c:v>
                </c:pt>
                <c:pt idx="244">
                  <c:v>14.86</c:v>
                </c:pt>
                <c:pt idx="245">
                  <c:v>14.82</c:v>
                </c:pt>
                <c:pt idx="246">
                  <c:v>15.96</c:v>
                </c:pt>
                <c:pt idx="247">
                  <c:v>15.33</c:v>
                </c:pt>
                <c:pt idx="248">
                  <c:v>5.85</c:v>
                </c:pt>
                <c:pt idx="249">
                  <c:v>-4.87</c:v>
                </c:pt>
                <c:pt idx="250">
                  <c:v>-6.02</c:v>
                </c:pt>
                <c:pt idx="251">
                  <c:v>-4.0199999999999996</c:v>
                </c:pt>
                <c:pt idx="252">
                  <c:v>-2.09</c:v>
                </c:pt>
                <c:pt idx="253">
                  <c:v>-2.2000000000000002</c:v>
                </c:pt>
                <c:pt idx="254">
                  <c:v>-0.41</c:v>
                </c:pt>
                <c:pt idx="255">
                  <c:v>-1.6</c:v>
                </c:pt>
                <c:pt idx="256">
                  <c:v>-1.25</c:v>
                </c:pt>
                <c:pt idx="257">
                  <c:v>-0.04</c:v>
                </c:pt>
                <c:pt idx="258">
                  <c:v>-1.1499999999999999</c:v>
                </c:pt>
                <c:pt idx="259">
                  <c:v>-0.57999999999999996</c:v>
                </c:pt>
                <c:pt idx="260">
                  <c:v>0.47</c:v>
                </c:pt>
                <c:pt idx="261">
                  <c:v>3.5</c:v>
                </c:pt>
                <c:pt idx="262">
                  <c:v>4.43</c:v>
                </c:pt>
                <c:pt idx="263">
                  <c:v>3.16</c:v>
                </c:pt>
                <c:pt idx="264">
                  <c:v>0.84</c:v>
                </c:pt>
                <c:pt idx="265">
                  <c:v>-1.02</c:v>
                </c:pt>
                <c:pt idx="266">
                  <c:v>-0.79</c:v>
                </c:pt>
                <c:pt idx="267">
                  <c:v>-1.03</c:v>
                </c:pt>
                <c:pt idx="268">
                  <c:v>-0.9</c:v>
                </c:pt>
                <c:pt idx="269">
                  <c:v>-0.59</c:v>
                </c:pt>
                <c:pt idx="270">
                  <c:v>-0.97</c:v>
                </c:pt>
                <c:pt idx="271">
                  <c:v>-0.6</c:v>
                </c:pt>
                <c:pt idx="272">
                  <c:v>-1.36</c:v>
                </c:pt>
                <c:pt idx="273">
                  <c:v>-0.95</c:v>
                </c:pt>
                <c:pt idx="274">
                  <c:v>-1.57</c:v>
                </c:pt>
                <c:pt idx="275">
                  <c:v>-0.95</c:v>
                </c:pt>
                <c:pt idx="276">
                  <c:v>0.36</c:v>
                </c:pt>
                <c:pt idx="277">
                  <c:v>3.42</c:v>
                </c:pt>
                <c:pt idx="278">
                  <c:v>1.62</c:v>
                </c:pt>
                <c:pt idx="279">
                  <c:v>-0.55000000000000004</c:v>
                </c:pt>
                <c:pt idx="280">
                  <c:v>1.71</c:v>
                </c:pt>
                <c:pt idx="281">
                  <c:v>12.53</c:v>
                </c:pt>
                <c:pt idx="282">
                  <c:v>10.27</c:v>
                </c:pt>
                <c:pt idx="283">
                  <c:v>5.35</c:v>
                </c:pt>
                <c:pt idx="284">
                  <c:v>6.48</c:v>
                </c:pt>
                <c:pt idx="285">
                  <c:v>9.8800000000000008</c:v>
                </c:pt>
                <c:pt idx="286">
                  <c:v>9.6</c:v>
                </c:pt>
                <c:pt idx="287">
                  <c:v>9.5399999999999991</c:v>
                </c:pt>
                <c:pt idx="288">
                  <c:v>9.18</c:v>
                </c:pt>
                <c:pt idx="289">
                  <c:v>8.73</c:v>
                </c:pt>
                <c:pt idx="290">
                  <c:v>8.4</c:v>
                </c:pt>
                <c:pt idx="291">
                  <c:v>8.9700000000000006</c:v>
                </c:pt>
                <c:pt idx="292">
                  <c:v>9.51</c:v>
                </c:pt>
                <c:pt idx="293">
                  <c:v>9.5399999999999991</c:v>
                </c:pt>
                <c:pt idx="294">
                  <c:v>10.43</c:v>
                </c:pt>
                <c:pt idx="295">
                  <c:v>9.0299999999999994</c:v>
                </c:pt>
                <c:pt idx="296">
                  <c:v>-0.04</c:v>
                </c:pt>
                <c:pt idx="297">
                  <c:v>-0.95</c:v>
                </c:pt>
                <c:pt idx="298">
                  <c:v>-0.15</c:v>
                </c:pt>
                <c:pt idx="299">
                  <c:v>0.25</c:v>
                </c:pt>
                <c:pt idx="300">
                  <c:v>-0.3</c:v>
                </c:pt>
                <c:pt idx="301">
                  <c:v>-0.02</c:v>
                </c:pt>
                <c:pt idx="302">
                  <c:v>-0.18</c:v>
                </c:pt>
                <c:pt idx="303">
                  <c:v>0.51</c:v>
                </c:pt>
                <c:pt idx="304">
                  <c:v>0.03</c:v>
                </c:pt>
                <c:pt idx="305">
                  <c:v>-0.2</c:v>
                </c:pt>
                <c:pt idx="306">
                  <c:v>0.27</c:v>
                </c:pt>
                <c:pt idx="307">
                  <c:v>-2.5499999999999998</c:v>
                </c:pt>
                <c:pt idx="308">
                  <c:v>-2.5099999999999998</c:v>
                </c:pt>
                <c:pt idx="309">
                  <c:v>-0.33</c:v>
                </c:pt>
                <c:pt idx="310">
                  <c:v>-0.5</c:v>
                </c:pt>
                <c:pt idx="311">
                  <c:v>-0.74</c:v>
                </c:pt>
                <c:pt idx="312">
                  <c:v>-2.65</c:v>
                </c:pt>
                <c:pt idx="313">
                  <c:v>-1.69</c:v>
                </c:pt>
                <c:pt idx="314">
                  <c:v>-1.04</c:v>
                </c:pt>
                <c:pt idx="315">
                  <c:v>-1.43</c:v>
                </c:pt>
                <c:pt idx="316">
                  <c:v>-2.1800000000000002</c:v>
                </c:pt>
                <c:pt idx="317">
                  <c:v>-2.29</c:v>
                </c:pt>
                <c:pt idx="318">
                  <c:v>-2.92</c:v>
                </c:pt>
                <c:pt idx="319">
                  <c:v>-2.83</c:v>
                </c:pt>
                <c:pt idx="320">
                  <c:v>-2.35</c:v>
                </c:pt>
                <c:pt idx="321">
                  <c:v>-3.22</c:v>
                </c:pt>
                <c:pt idx="322">
                  <c:v>-0.92</c:v>
                </c:pt>
                <c:pt idx="323">
                  <c:v>-1.32</c:v>
                </c:pt>
                <c:pt idx="324">
                  <c:v>0.45</c:v>
                </c:pt>
                <c:pt idx="325">
                  <c:v>-0.76</c:v>
                </c:pt>
                <c:pt idx="326">
                  <c:v>-0.59</c:v>
                </c:pt>
                <c:pt idx="327">
                  <c:v>-0.13</c:v>
                </c:pt>
                <c:pt idx="328">
                  <c:v>2.06</c:v>
                </c:pt>
                <c:pt idx="329">
                  <c:v>12.36</c:v>
                </c:pt>
                <c:pt idx="330">
                  <c:v>12.89</c:v>
                </c:pt>
                <c:pt idx="331">
                  <c:v>10.83</c:v>
                </c:pt>
                <c:pt idx="332">
                  <c:v>10.45</c:v>
                </c:pt>
                <c:pt idx="333">
                  <c:v>10.32</c:v>
                </c:pt>
                <c:pt idx="334">
                  <c:v>10.49</c:v>
                </c:pt>
                <c:pt idx="335">
                  <c:v>10.53</c:v>
                </c:pt>
                <c:pt idx="336">
                  <c:v>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E-7F4B-8595-CA7E8F386EDB}"/>
            </c:ext>
          </c:extLst>
        </c:ser>
        <c:ser>
          <c:idx val="2"/>
          <c:order val="2"/>
          <c:tx>
            <c:strRef>
              <c:f>'Generation Mix - Ren and FF'!$F$1</c:f>
              <c:strCache>
                <c:ptCount val="1"/>
                <c:pt idx="0">
                  <c:v>Gas (CCGT) -  MW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FF'!$F$2:$F$338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1.17</c:v>
                </c:pt>
                <c:pt idx="4">
                  <c:v>52.33</c:v>
                </c:pt>
                <c:pt idx="5">
                  <c:v>179.83</c:v>
                </c:pt>
                <c:pt idx="6">
                  <c:v>190</c:v>
                </c:pt>
                <c:pt idx="7">
                  <c:v>199.67</c:v>
                </c:pt>
                <c:pt idx="8">
                  <c:v>345.83</c:v>
                </c:pt>
                <c:pt idx="9">
                  <c:v>447.33</c:v>
                </c:pt>
                <c:pt idx="10">
                  <c:v>445.5</c:v>
                </c:pt>
                <c:pt idx="11">
                  <c:v>445.5</c:v>
                </c:pt>
                <c:pt idx="12">
                  <c:v>445.33</c:v>
                </c:pt>
                <c:pt idx="13">
                  <c:v>446</c:v>
                </c:pt>
                <c:pt idx="14">
                  <c:v>445.83</c:v>
                </c:pt>
                <c:pt idx="15">
                  <c:v>446</c:v>
                </c:pt>
                <c:pt idx="16">
                  <c:v>448.33</c:v>
                </c:pt>
                <c:pt idx="17">
                  <c:v>446.83</c:v>
                </c:pt>
                <c:pt idx="18">
                  <c:v>445.67</c:v>
                </c:pt>
                <c:pt idx="19">
                  <c:v>437.5</c:v>
                </c:pt>
                <c:pt idx="20">
                  <c:v>448.67</c:v>
                </c:pt>
                <c:pt idx="21">
                  <c:v>440.5</c:v>
                </c:pt>
                <c:pt idx="22">
                  <c:v>443</c:v>
                </c:pt>
                <c:pt idx="23">
                  <c:v>357.83</c:v>
                </c:pt>
                <c:pt idx="24">
                  <c:v>300.5</c:v>
                </c:pt>
                <c:pt idx="25">
                  <c:v>291.83</c:v>
                </c:pt>
                <c:pt idx="26">
                  <c:v>194.17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199</c:v>
                </c:pt>
                <c:pt idx="32">
                  <c:v>208.33</c:v>
                </c:pt>
                <c:pt idx="33">
                  <c:v>258.33</c:v>
                </c:pt>
                <c:pt idx="34">
                  <c:v>308</c:v>
                </c:pt>
                <c:pt idx="35">
                  <c:v>442.17</c:v>
                </c:pt>
                <c:pt idx="36">
                  <c:v>444.67</c:v>
                </c:pt>
                <c:pt idx="37">
                  <c:v>445.83</c:v>
                </c:pt>
                <c:pt idx="38">
                  <c:v>444.83</c:v>
                </c:pt>
                <c:pt idx="39">
                  <c:v>443.83</c:v>
                </c:pt>
                <c:pt idx="40">
                  <c:v>429.67</c:v>
                </c:pt>
                <c:pt idx="41">
                  <c:v>240</c:v>
                </c:pt>
                <c:pt idx="42">
                  <c:v>6.33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131</c:v>
                </c:pt>
                <c:pt idx="55">
                  <c:v>264.5</c:v>
                </c:pt>
                <c:pt idx="56">
                  <c:v>399.67</c:v>
                </c:pt>
                <c:pt idx="57">
                  <c:v>270.83</c:v>
                </c:pt>
                <c:pt idx="58">
                  <c:v>4</c:v>
                </c:pt>
                <c:pt idx="59">
                  <c:v>26.63</c:v>
                </c:pt>
                <c:pt idx="60">
                  <c:v>26.56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1.33</c:v>
                </c:pt>
                <c:pt idx="148">
                  <c:v>14.5</c:v>
                </c:pt>
                <c:pt idx="149">
                  <c:v>17.329999999999998</c:v>
                </c:pt>
                <c:pt idx="150">
                  <c:v>37</c:v>
                </c:pt>
                <c:pt idx="151">
                  <c:v>181.67</c:v>
                </c:pt>
                <c:pt idx="152">
                  <c:v>199.5</c:v>
                </c:pt>
                <c:pt idx="153">
                  <c:v>400</c:v>
                </c:pt>
                <c:pt idx="154">
                  <c:v>443.83</c:v>
                </c:pt>
                <c:pt idx="155">
                  <c:v>442.83</c:v>
                </c:pt>
                <c:pt idx="156">
                  <c:v>441.83</c:v>
                </c:pt>
                <c:pt idx="157">
                  <c:v>442.33</c:v>
                </c:pt>
                <c:pt idx="158">
                  <c:v>443.83</c:v>
                </c:pt>
                <c:pt idx="159">
                  <c:v>451.17</c:v>
                </c:pt>
                <c:pt idx="160">
                  <c:v>451.83</c:v>
                </c:pt>
                <c:pt idx="161">
                  <c:v>451.83</c:v>
                </c:pt>
                <c:pt idx="162">
                  <c:v>448.17</c:v>
                </c:pt>
                <c:pt idx="163">
                  <c:v>449.5</c:v>
                </c:pt>
                <c:pt idx="164">
                  <c:v>450.83</c:v>
                </c:pt>
                <c:pt idx="165">
                  <c:v>446.17</c:v>
                </c:pt>
                <c:pt idx="166">
                  <c:v>440</c:v>
                </c:pt>
                <c:pt idx="167">
                  <c:v>308.5</c:v>
                </c:pt>
                <c:pt idx="168">
                  <c:v>195.33</c:v>
                </c:pt>
                <c:pt idx="169">
                  <c:v>190</c:v>
                </c:pt>
                <c:pt idx="170">
                  <c:v>190.17</c:v>
                </c:pt>
                <c:pt idx="171">
                  <c:v>190.5</c:v>
                </c:pt>
                <c:pt idx="172">
                  <c:v>190.17</c:v>
                </c:pt>
                <c:pt idx="173">
                  <c:v>190.17</c:v>
                </c:pt>
                <c:pt idx="174">
                  <c:v>190.17</c:v>
                </c:pt>
                <c:pt idx="175">
                  <c:v>190.17</c:v>
                </c:pt>
                <c:pt idx="176">
                  <c:v>190.17</c:v>
                </c:pt>
                <c:pt idx="177">
                  <c:v>198.17</c:v>
                </c:pt>
                <c:pt idx="178">
                  <c:v>297.67</c:v>
                </c:pt>
                <c:pt idx="179">
                  <c:v>306.83</c:v>
                </c:pt>
                <c:pt idx="180">
                  <c:v>443.83</c:v>
                </c:pt>
                <c:pt idx="181">
                  <c:v>450</c:v>
                </c:pt>
                <c:pt idx="182">
                  <c:v>450</c:v>
                </c:pt>
                <c:pt idx="183">
                  <c:v>449.67</c:v>
                </c:pt>
                <c:pt idx="184">
                  <c:v>449.83</c:v>
                </c:pt>
                <c:pt idx="185">
                  <c:v>442.5</c:v>
                </c:pt>
                <c:pt idx="186">
                  <c:v>448.83</c:v>
                </c:pt>
                <c:pt idx="187">
                  <c:v>449.67</c:v>
                </c:pt>
                <c:pt idx="188">
                  <c:v>448.5</c:v>
                </c:pt>
                <c:pt idx="189">
                  <c:v>442.17</c:v>
                </c:pt>
                <c:pt idx="190">
                  <c:v>271.83</c:v>
                </c:pt>
                <c:pt idx="191">
                  <c:v>151.83000000000001</c:v>
                </c:pt>
                <c:pt idx="192">
                  <c:v>199.17</c:v>
                </c:pt>
                <c:pt idx="193">
                  <c:v>190.17</c:v>
                </c:pt>
                <c:pt idx="194">
                  <c:v>190</c:v>
                </c:pt>
                <c:pt idx="195">
                  <c:v>190.17</c:v>
                </c:pt>
                <c:pt idx="196">
                  <c:v>190.17</c:v>
                </c:pt>
                <c:pt idx="197">
                  <c:v>198.17</c:v>
                </c:pt>
                <c:pt idx="198">
                  <c:v>317.17</c:v>
                </c:pt>
                <c:pt idx="199">
                  <c:v>447.5</c:v>
                </c:pt>
                <c:pt idx="200">
                  <c:v>450</c:v>
                </c:pt>
                <c:pt idx="201">
                  <c:v>449.33</c:v>
                </c:pt>
                <c:pt idx="202">
                  <c:v>451.67</c:v>
                </c:pt>
                <c:pt idx="203">
                  <c:v>450.33</c:v>
                </c:pt>
                <c:pt idx="204">
                  <c:v>451.83</c:v>
                </c:pt>
                <c:pt idx="205">
                  <c:v>450.83</c:v>
                </c:pt>
                <c:pt idx="206">
                  <c:v>450.83</c:v>
                </c:pt>
                <c:pt idx="207">
                  <c:v>453</c:v>
                </c:pt>
                <c:pt idx="208">
                  <c:v>454.33</c:v>
                </c:pt>
                <c:pt idx="209">
                  <c:v>454.33</c:v>
                </c:pt>
                <c:pt idx="210">
                  <c:v>453</c:v>
                </c:pt>
                <c:pt idx="211">
                  <c:v>430.83</c:v>
                </c:pt>
                <c:pt idx="212">
                  <c:v>455</c:v>
                </c:pt>
                <c:pt idx="213">
                  <c:v>422.83</c:v>
                </c:pt>
                <c:pt idx="214">
                  <c:v>302.17</c:v>
                </c:pt>
                <c:pt idx="215">
                  <c:v>291</c:v>
                </c:pt>
                <c:pt idx="216">
                  <c:v>194</c:v>
                </c:pt>
                <c:pt idx="217">
                  <c:v>190</c:v>
                </c:pt>
                <c:pt idx="218">
                  <c:v>189.83</c:v>
                </c:pt>
                <c:pt idx="219">
                  <c:v>190</c:v>
                </c:pt>
                <c:pt idx="220">
                  <c:v>190.33</c:v>
                </c:pt>
                <c:pt idx="221">
                  <c:v>190</c:v>
                </c:pt>
                <c:pt idx="222">
                  <c:v>190</c:v>
                </c:pt>
                <c:pt idx="223">
                  <c:v>190.33</c:v>
                </c:pt>
                <c:pt idx="224">
                  <c:v>189.83</c:v>
                </c:pt>
                <c:pt idx="225">
                  <c:v>190.33</c:v>
                </c:pt>
                <c:pt idx="226">
                  <c:v>198.33</c:v>
                </c:pt>
                <c:pt idx="227">
                  <c:v>400.33</c:v>
                </c:pt>
                <c:pt idx="228">
                  <c:v>450.5</c:v>
                </c:pt>
                <c:pt idx="229">
                  <c:v>451</c:v>
                </c:pt>
                <c:pt idx="230">
                  <c:v>451.5</c:v>
                </c:pt>
                <c:pt idx="231">
                  <c:v>451.33</c:v>
                </c:pt>
                <c:pt idx="232">
                  <c:v>380.33</c:v>
                </c:pt>
                <c:pt idx="233">
                  <c:v>120.67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3.83</c:v>
                </c:pt>
                <c:pt idx="246">
                  <c:v>101.33</c:v>
                </c:pt>
                <c:pt idx="247">
                  <c:v>233.17</c:v>
                </c:pt>
                <c:pt idx="248">
                  <c:v>401.83</c:v>
                </c:pt>
                <c:pt idx="249">
                  <c:v>441.5</c:v>
                </c:pt>
                <c:pt idx="250">
                  <c:v>449</c:v>
                </c:pt>
                <c:pt idx="251">
                  <c:v>476.23</c:v>
                </c:pt>
                <c:pt idx="252">
                  <c:v>529.34</c:v>
                </c:pt>
                <c:pt idx="253">
                  <c:v>530.91999999999996</c:v>
                </c:pt>
                <c:pt idx="254">
                  <c:v>530.16999999999996</c:v>
                </c:pt>
                <c:pt idx="255">
                  <c:v>531.04999999999995</c:v>
                </c:pt>
                <c:pt idx="256">
                  <c:v>517.71</c:v>
                </c:pt>
                <c:pt idx="257">
                  <c:v>450</c:v>
                </c:pt>
                <c:pt idx="258">
                  <c:v>451.33</c:v>
                </c:pt>
                <c:pt idx="259">
                  <c:v>449.17</c:v>
                </c:pt>
                <c:pt idx="260">
                  <c:v>451.83</c:v>
                </c:pt>
                <c:pt idx="261">
                  <c:v>451.5</c:v>
                </c:pt>
                <c:pt idx="262">
                  <c:v>409.5</c:v>
                </c:pt>
                <c:pt idx="263">
                  <c:v>253.83</c:v>
                </c:pt>
                <c:pt idx="264">
                  <c:v>50.17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52.17</c:v>
                </c:pt>
                <c:pt idx="296">
                  <c:v>189.67</c:v>
                </c:pt>
                <c:pt idx="297">
                  <c:v>308.83</c:v>
                </c:pt>
                <c:pt idx="298">
                  <c:v>443.33</c:v>
                </c:pt>
                <c:pt idx="299">
                  <c:v>441.67</c:v>
                </c:pt>
                <c:pt idx="300">
                  <c:v>443.5</c:v>
                </c:pt>
                <c:pt idx="301">
                  <c:v>450.33</c:v>
                </c:pt>
                <c:pt idx="302">
                  <c:v>450.83</c:v>
                </c:pt>
                <c:pt idx="303">
                  <c:v>451.5</c:v>
                </c:pt>
                <c:pt idx="304">
                  <c:v>451.5</c:v>
                </c:pt>
                <c:pt idx="305">
                  <c:v>450.17</c:v>
                </c:pt>
                <c:pt idx="306">
                  <c:v>450.67</c:v>
                </c:pt>
                <c:pt idx="307">
                  <c:v>449.83</c:v>
                </c:pt>
                <c:pt idx="308">
                  <c:v>453.17</c:v>
                </c:pt>
                <c:pt idx="309">
                  <c:v>444.17</c:v>
                </c:pt>
                <c:pt idx="310">
                  <c:v>305.17</c:v>
                </c:pt>
                <c:pt idx="311">
                  <c:v>194.33</c:v>
                </c:pt>
                <c:pt idx="312">
                  <c:v>190</c:v>
                </c:pt>
                <c:pt idx="313">
                  <c:v>189.83</c:v>
                </c:pt>
                <c:pt idx="314">
                  <c:v>189.67</c:v>
                </c:pt>
                <c:pt idx="315">
                  <c:v>190</c:v>
                </c:pt>
                <c:pt idx="316">
                  <c:v>190.17</c:v>
                </c:pt>
                <c:pt idx="317">
                  <c:v>189.83</c:v>
                </c:pt>
                <c:pt idx="318">
                  <c:v>189.67</c:v>
                </c:pt>
                <c:pt idx="319">
                  <c:v>190</c:v>
                </c:pt>
                <c:pt idx="320">
                  <c:v>189.83</c:v>
                </c:pt>
                <c:pt idx="321">
                  <c:v>190.17</c:v>
                </c:pt>
                <c:pt idx="322">
                  <c:v>208.17</c:v>
                </c:pt>
                <c:pt idx="323">
                  <c:v>376.17</c:v>
                </c:pt>
                <c:pt idx="324">
                  <c:v>457.92</c:v>
                </c:pt>
                <c:pt idx="325">
                  <c:v>534.85</c:v>
                </c:pt>
                <c:pt idx="326">
                  <c:v>576.74</c:v>
                </c:pt>
                <c:pt idx="327">
                  <c:v>568.51</c:v>
                </c:pt>
                <c:pt idx="328">
                  <c:v>373.48</c:v>
                </c:pt>
                <c:pt idx="329">
                  <c:v>9.67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E-7F4B-8595-CA7E8F386EDB}"/>
            </c:ext>
          </c:extLst>
        </c:ser>
        <c:ser>
          <c:idx val="3"/>
          <c:order val="3"/>
          <c:tx>
            <c:strRef>
              <c:f>'Generation Mix - Ren and FF'!$G$1</c:f>
              <c:strCache>
                <c:ptCount val="1"/>
                <c:pt idx="0">
                  <c:v>Gas (OCGT) -  MW</c:v>
                </c:pt>
              </c:strCache>
            </c:strRef>
          </c:tx>
          <c:spPr>
            <a:solidFill>
              <a:srgbClr val="40C1BB">
                <a:lumMod val="50000"/>
              </a:srgbClr>
            </a:solidFill>
            <a:ln w="25400">
              <a:noFill/>
            </a:ln>
            <a:effectLst/>
          </c:spPr>
          <c:cat>
            <c:strRef>
              <c:f>'Generation Mix - Ren and FF'!$N$2:$N$338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'Generation Mix - Ren and FF'!$G$2:$G$338</c:f>
              <c:numCache>
                <c:formatCode>#,##0</c:formatCode>
                <c:ptCount val="337"/>
                <c:pt idx="0">
                  <c:v>37.35</c:v>
                </c:pt>
                <c:pt idx="1">
                  <c:v>37.369999999999997</c:v>
                </c:pt>
                <c:pt idx="2">
                  <c:v>37.19</c:v>
                </c:pt>
                <c:pt idx="3">
                  <c:v>38.090000000000003</c:v>
                </c:pt>
                <c:pt idx="4">
                  <c:v>38.33</c:v>
                </c:pt>
                <c:pt idx="5">
                  <c:v>37.979999999999997</c:v>
                </c:pt>
                <c:pt idx="6">
                  <c:v>38.64</c:v>
                </c:pt>
                <c:pt idx="7">
                  <c:v>40.81</c:v>
                </c:pt>
                <c:pt idx="8">
                  <c:v>41.5</c:v>
                </c:pt>
                <c:pt idx="9">
                  <c:v>159.38</c:v>
                </c:pt>
                <c:pt idx="10">
                  <c:v>207.84</c:v>
                </c:pt>
                <c:pt idx="11">
                  <c:v>208.9</c:v>
                </c:pt>
                <c:pt idx="12">
                  <c:v>208.73</c:v>
                </c:pt>
                <c:pt idx="13">
                  <c:v>207.75</c:v>
                </c:pt>
                <c:pt idx="14">
                  <c:v>208.19</c:v>
                </c:pt>
                <c:pt idx="15">
                  <c:v>202.7</c:v>
                </c:pt>
                <c:pt idx="16">
                  <c:v>134.81</c:v>
                </c:pt>
                <c:pt idx="17">
                  <c:v>43.05</c:v>
                </c:pt>
                <c:pt idx="18">
                  <c:v>42.96</c:v>
                </c:pt>
                <c:pt idx="19">
                  <c:v>43.81</c:v>
                </c:pt>
                <c:pt idx="20">
                  <c:v>44.19</c:v>
                </c:pt>
                <c:pt idx="21">
                  <c:v>44.26</c:v>
                </c:pt>
                <c:pt idx="22">
                  <c:v>43.43</c:v>
                </c:pt>
                <c:pt idx="23">
                  <c:v>43.2</c:v>
                </c:pt>
                <c:pt idx="24">
                  <c:v>43.07</c:v>
                </c:pt>
                <c:pt idx="25">
                  <c:v>43.06</c:v>
                </c:pt>
                <c:pt idx="26">
                  <c:v>43.13</c:v>
                </c:pt>
                <c:pt idx="27">
                  <c:v>43.12</c:v>
                </c:pt>
                <c:pt idx="28">
                  <c:v>43.23</c:v>
                </c:pt>
                <c:pt idx="29">
                  <c:v>43.27</c:v>
                </c:pt>
                <c:pt idx="30">
                  <c:v>43.26</c:v>
                </c:pt>
                <c:pt idx="31">
                  <c:v>43.36</c:v>
                </c:pt>
                <c:pt idx="32">
                  <c:v>43.29</c:v>
                </c:pt>
                <c:pt idx="33">
                  <c:v>43.34</c:v>
                </c:pt>
                <c:pt idx="34">
                  <c:v>188.84</c:v>
                </c:pt>
                <c:pt idx="35">
                  <c:v>276.87</c:v>
                </c:pt>
                <c:pt idx="36">
                  <c:v>366.33</c:v>
                </c:pt>
                <c:pt idx="37">
                  <c:v>398.12</c:v>
                </c:pt>
                <c:pt idx="38">
                  <c:v>470.75</c:v>
                </c:pt>
                <c:pt idx="39">
                  <c:v>526.64</c:v>
                </c:pt>
                <c:pt idx="40">
                  <c:v>443.49</c:v>
                </c:pt>
                <c:pt idx="41">
                  <c:v>272.06</c:v>
                </c:pt>
                <c:pt idx="42">
                  <c:v>138.19999999999999</c:v>
                </c:pt>
                <c:pt idx="43">
                  <c:v>44.13</c:v>
                </c:pt>
                <c:pt idx="44">
                  <c:v>41.45</c:v>
                </c:pt>
                <c:pt idx="45">
                  <c:v>45.3</c:v>
                </c:pt>
                <c:pt idx="46">
                  <c:v>44.94</c:v>
                </c:pt>
                <c:pt idx="47">
                  <c:v>44.95</c:v>
                </c:pt>
                <c:pt idx="48">
                  <c:v>44.78</c:v>
                </c:pt>
                <c:pt idx="49">
                  <c:v>44.91</c:v>
                </c:pt>
                <c:pt idx="50">
                  <c:v>38.96</c:v>
                </c:pt>
                <c:pt idx="51">
                  <c:v>37.880000000000003</c:v>
                </c:pt>
                <c:pt idx="52">
                  <c:v>37.840000000000003</c:v>
                </c:pt>
                <c:pt idx="53">
                  <c:v>37.83</c:v>
                </c:pt>
                <c:pt idx="54">
                  <c:v>37.880000000000003</c:v>
                </c:pt>
                <c:pt idx="55">
                  <c:v>42.68</c:v>
                </c:pt>
                <c:pt idx="56">
                  <c:v>45.07</c:v>
                </c:pt>
                <c:pt idx="57">
                  <c:v>121.89</c:v>
                </c:pt>
                <c:pt idx="58">
                  <c:v>512.5</c:v>
                </c:pt>
                <c:pt idx="59">
                  <c:v>570.39</c:v>
                </c:pt>
                <c:pt idx="60">
                  <c:v>581.52</c:v>
                </c:pt>
                <c:pt idx="61">
                  <c:v>659.66</c:v>
                </c:pt>
                <c:pt idx="62">
                  <c:v>579.75</c:v>
                </c:pt>
                <c:pt idx="63">
                  <c:v>496.44</c:v>
                </c:pt>
                <c:pt idx="64">
                  <c:v>273.85000000000002</c:v>
                </c:pt>
                <c:pt idx="65">
                  <c:v>43.6</c:v>
                </c:pt>
                <c:pt idx="66">
                  <c:v>43.97</c:v>
                </c:pt>
                <c:pt idx="67">
                  <c:v>43.78</c:v>
                </c:pt>
                <c:pt idx="68">
                  <c:v>43.82</c:v>
                </c:pt>
                <c:pt idx="69">
                  <c:v>43.54</c:v>
                </c:pt>
                <c:pt idx="70">
                  <c:v>43.46</c:v>
                </c:pt>
                <c:pt idx="71">
                  <c:v>43.51</c:v>
                </c:pt>
                <c:pt idx="72">
                  <c:v>43.54</c:v>
                </c:pt>
                <c:pt idx="73">
                  <c:v>43.1</c:v>
                </c:pt>
                <c:pt idx="74">
                  <c:v>43.18</c:v>
                </c:pt>
                <c:pt idx="75">
                  <c:v>42.7</c:v>
                </c:pt>
                <c:pt idx="76">
                  <c:v>42.92</c:v>
                </c:pt>
                <c:pt idx="77">
                  <c:v>42.79</c:v>
                </c:pt>
                <c:pt idx="78">
                  <c:v>42.66</c:v>
                </c:pt>
                <c:pt idx="79">
                  <c:v>42.41</c:v>
                </c:pt>
                <c:pt idx="80">
                  <c:v>43.34</c:v>
                </c:pt>
                <c:pt idx="81">
                  <c:v>44.17</c:v>
                </c:pt>
                <c:pt idx="82">
                  <c:v>44.79</c:v>
                </c:pt>
                <c:pt idx="83">
                  <c:v>44.89</c:v>
                </c:pt>
                <c:pt idx="84">
                  <c:v>44.66</c:v>
                </c:pt>
                <c:pt idx="85">
                  <c:v>44.76</c:v>
                </c:pt>
                <c:pt idx="86">
                  <c:v>44.81</c:v>
                </c:pt>
                <c:pt idx="87">
                  <c:v>42.18</c:v>
                </c:pt>
                <c:pt idx="88">
                  <c:v>37.869999999999997</c:v>
                </c:pt>
                <c:pt idx="89">
                  <c:v>37.840000000000003</c:v>
                </c:pt>
                <c:pt idx="90">
                  <c:v>37.83</c:v>
                </c:pt>
                <c:pt idx="91">
                  <c:v>37.89</c:v>
                </c:pt>
                <c:pt idx="92">
                  <c:v>37.880000000000003</c:v>
                </c:pt>
                <c:pt idx="93">
                  <c:v>37.83</c:v>
                </c:pt>
                <c:pt idx="94">
                  <c:v>37.840000000000003</c:v>
                </c:pt>
                <c:pt idx="95">
                  <c:v>37.89</c:v>
                </c:pt>
                <c:pt idx="96">
                  <c:v>37.840000000000003</c:v>
                </c:pt>
                <c:pt idx="97">
                  <c:v>37.81</c:v>
                </c:pt>
                <c:pt idx="98">
                  <c:v>37.82</c:v>
                </c:pt>
                <c:pt idx="99">
                  <c:v>37.880000000000003</c:v>
                </c:pt>
                <c:pt idx="100">
                  <c:v>37.82</c:v>
                </c:pt>
                <c:pt idx="101">
                  <c:v>37.83</c:v>
                </c:pt>
                <c:pt idx="102">
                  <c:v>37.869999999999997</c:v>
                </c:pt>
                <c:pt idx="103">
                  <c:v>39.4</c:v>
                </c:pt>
                <c:pt idx="104">
                  <c:v>42.78</c:v>
                </c:pt>
                <c:pt idx="105">
                  <c:v>42.55</c:v>
                </c:pt>
                <c:pt idx="106">
                  <c:v>71.83</c:v>
                </c:pt>
                <c:pt idx="107">
                  <c:v>341.22</c:v>
                </c:pt>
                <c:pt idx="108">
                  <c:v>354.04</c:v>
                </c:pt>
                <c:pt idx="109">
                  <c:v>353.65</c:v>
                </c:pt>
                <c:pt idx="110">
                  <c:v>330.67</c:v>
                </c:pt>
                <c:pt idx="111">
                  <c:v>305.45</c:v>
                </c:pt>
                <c:pt idx="112">
                  <c:v>187.96</c:v>
                </c:pt>
                <c:pt idx="113">
                  <c:v>42.95</c:v>
                </c:pt>
                <c:pt idx="114">
                  <c:v>43.15</c:v>
                </c:pt>
                <c:pt idx="115">
                  <c:v>43.14</c:v>
                </c:pt>
                <c:pt idx="116">
                  <c:v>42.51</c:v>
                </c:pt>
                <c:pt idx="117">
                  <c:v>42.52</c:v>
                </c:pt>
                <c:pt idx="118">
                  <c:v>43.16</c:v>
                </c:pt>
                <c:pt idx="119">
                  <c:v>43.36</c:v>
                </c:pt>
                <c:pt idx="120">
                  <c:v>43.19</c:v>
                </c:pt>
                <c:pt idx="121">
                  <c:v>42.53</c:v>
                </c:pt>
                <c:pt idx="122">
                  <c:v>42.41</c:v>
                </c:pt>
                <c:pt idx="123">
                  <c:v>42.87</c:v>
                </c:pt>
                <c:pt idx="124">
                  <c:v>43.16</c:v>
                </c:pt>
                <c:pt idx="125">
                  <c:v>43.29</c:v>
                </c:pt>
                <c:pt idx="126">
                  <c:v>43.32</c:v>
                </c:pt>
                <c:pt idx="127">
                  <c:v>43.3</c:v>
                </c:pt>
                <c:pt idx="128">
                  <c:v>43.4</c:v>
                </c:pt>
                <c:pt idx="129">
                  <c:v>42.88</c:v>
                </c:pt>
                <c:pt idx="130">
                  <c:v>42.53</c:v>
                </c:pt>
                <c:pt idx="131">
                  <c:v>43</c:v>
                </c:pt>
                <c:pt idx="132">
                  <c:v>43.75</c:v>
                </c:pt>
                <c:pt idx="133">
                  <c:v>43.23</c:v>
                </c:pt>
                <c:pt idx="134">
                  <c:v>43.32</c:v>
                </c:pt>
                <c:pt idx="135">
                  <c:v>43.3</c:v>
                </c:pt>
                <c:pt idx="136">
                  <c:v>43.44</c:v>
                </c:pt>
                <c:pt idx="137">
                  <c:v>42.44</c:v>
                </c:pt>
                <c:pt idx="138">
                  <c:v>40.770000000000003</c:v>
                </c:pt>
                <c:pt idx="139">
                  <c:v>38.119999999999997</c:v>
                </c:pt>
                <c:pt idx="140">
                  <c:v>40.619999999999997</c:v>
                </c:pt>
                <c:pt idx="141">
                  <c:v>38.700000000000003</c:v>
                </c:pt>
                <c:pt idx="142">
                  <c:v>38.369999999999997</c:v>
                </c:pt>
                <c:pt idx="143">
                  <c:v>38.18</c:v>
                </c:pt>
                <c:pt idx="144">
                  <c:v>37.9</c:v>
                </c:pt>
                <c:pt idx="145">
                  <c:v>37.869999999999997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37.86</c:v>
                </c:pt>
                <c:pt idx="149">
                  <c:v>37.880000000000003</c:v>
                </c:pt>
                <c:pt idx="150">
                  <c:v>37.799999999999997</c:v>
                </c:pt>
                <c:pt idx="151">
                  <c:v>39.65</c:v>
                </c:pt>
                <c:pt idx="152">
                  <c:v>47.35</c:v>
                </c:pt>
                <c:pt idx="153">
                  <c:v>475.02</c:v>
                </c:pt>
                <c:pt idx="154">
                  <c:v>980.74</c:v>
                </c:pt>
                <c:pt idx="155">
                  <c:v>1022.08</c:v>
                </c:pt>
                <c:pt idx="156">
                  <c:v>1039.98</c:v>
                </c:pt>
                <c:pt idx="157">
                  <c:v>1035.82</c:v>
                </c:pt>
                <c:pt idx="158">
                  <c:v>1023.49</c:v>
                </c:pt>
                <c:pt idx="159">
                  <c:v>963.58</c:v>
                </c:pt>
                <c:pt idx="160">
                  <c:v>822.62</c:v>
                </c:pt>
                <c:pt idx="161">
                  <c:v>641.17999999999995</c:v>
                </c:pt>
                <c:pt idx="162">
                  <c:v>359.13</c:v>
                </c:pt>
                <c:pt idx="163">
                  <c:v>340.06</c:v>
                </c:pt>
                <c:pt idx="164">
                  <c:v>56.61</c:v>
                </c:pt>
                <c:pt idx="165">
                  <c:v>44.47</c:v>
                </c:pt>
                <c:pt idx="166">
                  <c:v>44.39</c:v>
                </c:pt>
                <c:pt idx="167">
                  <c:v>44.6</c:v>
                </c:pt>
                <c:pt idx="168">
                  <c:v>44.65</c:v>
                </c:pt>
                <c:pt idx="169">
                  <c:v>44.75</c:v>
                </c:pt>
                <c:pt idx="170">
                  <c:v>44.91</c:v>
                </c:pt>
                <c:pt idx="171">
                  <c:v>44.97</c:v>
                </c:pt>
                <c:pt idx="172">
                  <c:v>45.02</c:v>
                </c:pt>
                <c:pt idx="173">
                  <c:v>44.9</c:v>
                </c:pt>
                <c:pt idx="174">
                  <c:v>44.78</c:v>
                </c:pt>
                <c:pt idx="175">
                  <c:v>43.49</c:v>
                </c:pt>
                <c:pt idx="176">
                  <c:v>43.71</c:v>
                </c:pt>
                <c:pt idx="177">
                  <c:v>44.22</c:v>
                </c:pt>
                <c:pt idx="178">
                  <c:v>44.19</c:v>
                </c:pt>
                <c:pt idx="179">
                  <c:v>42.77</c:v>
                </c:pt>
                <c:pt idx="180">
                  <c:v>173.25</c:v>
                </c:pt>
                <c:pt idx="181">
                  <c:v>389.81</c:v>
                </c:pt>
                <c:pt idx="182">
                  <c:v>526.04999999999995</c:v>
                </c:pt>
                <c:pt idx="183">
                  <c:v>525.49</c:v>
                </c:pt>
                <c:pt idx="184">
                  <c:v>430.01</c:v>
                </c:pt>
                <c:pt idx="185">
                  <c:v>322.52999999999997</c:v>
                </c:pt>
                <c:pt idx="186">
                  <c:v>202.9</c:v>
                </c:pt>
                <c:pt idx="187">
                  <c:v>57.49</c:v>
                </c:pt>
                <c:pt idx="188">
                  <c:v>41.71</c:v>
                </c:pt>
                <c:pt idx="189">
                  <c:v>41.62</c:v>
                </c:pt>
                <c:pt idx="190">
                  <c:v>41.34</c:v>
                </c:pt>
                <c:pt idx="191">
                  <c:v>42.69</c:v>
                </c:pt>
                <c:pt idx="192">
                  <c:v>43.52</c:v>
                </c:pt>
                <c:pt idx="193">
                  <c:v>43.74</c:v>
                </c:pt>
                <c:pt idx="194">
                  <c:v>44.38</c:v>
                </c:pt>
                <c:pt idx="195">
                  <c:v>43.81</c:v>
                </c:pt>
                <c:pt idx="196">
                  <c:v>44.02</c:v>
                </c:pt>
                <c:pt idx="197">
                  <c:v>43.92</c:v>
                </c:pt>
                <c:pt idx="198">
                  <c:v>43.44</c:v>
                </c:pt>
                <c:pt idx="199">
                  <c:v>87.34</c:v>
                </c:pt>
                <c:pt idx="200">
                  <c:v>435.09</c:v>
                </c:pt>
                <c:pt idx="201">
                  <c:v>861.28</c:v>
                </c:pt>
                <c:pt idx="202">
                  <c:v>1037.73</c:v>
                </c:pt>
                <c:pt idx="203">
                  <c:v>1035.6199999999999</c:v>
                </c:pt>
                <c:pt idx="204">
                  <c:v>1038.24</c:v>
                </c:pt>
                <c:pt idx="205">
                  <c:v>1037.17</c:v>
                </c:pt>
                <c:pt idx="206">
                  <c:v>1036</c:v>
                </c:pt>
                <c:pt idx="207">
                  <c:v>1028.56</c:v>
                </c:pt>
                <c:pt idx="208">
                  <c:v>1028.19</c:v>
                </c:pt>
                <c:pt idx="209">
                  <c:v>998.64</c:v>
                </c:pt>
                <c:pt idx="210">
                  <c:v>656.22</c:v>
                </c:pt>
                <c:pt idx="211">
                  <c:v>551.91999999999996</c:v>
                </c:pt>
                <c:pt idx="212">
                  <c:v>334.57</c:v>
                </c:pt>
                <c:pt idx="213">
                  <c:v>67.81</c:v>
                </c:pt>
                <c:pt idx="214">
                  <c:v>45.33</c:v>
                </c:pt>
                <c:pt idx="215">
                  <c:v>45.1</c:v>
                </c:pt>
                <c:pt idx="216">
                  <c:v>44.54</c:v>
                </c:pt>
                <c:pt idx="217">
                  <c:v>44.21</c:v>
                </c:pt>
                <c:pt idx="218">
                  <c:v>42.96</c:v>
                </c:pt>
                <c:pt idx="219">
                  <c:v>43</c:v>
                </c:pt>
                <c:pt idx="220">
                  <c:v>43.36</c:v>
                </c:pt>
                <c:pt idx="221">
                  <c:v>43.2</c:v>
                </c:pt>
                <c:pt idx="222">
                  <c:v>43.31</c:v>
                </c:pt>
                <c:pt idx="223">
                  <c:v>42.78</c:v>
                </c:pt>
                <c:pt idx="224">
                  <c:v>42.48</c:v>
                </c:pt>
                <c:pt idx="225">
                  <c:v>41.28</c:v>
                </c:pt>
                <c:pt idx="226">
                  <c:v>40.58</c:v>
                </c:pt>
                <c:pt idx="227">
                  <c:v>62.36</c:v>
                </c:pt>
                <c:pt idx="228">
                  <c:v>353.98</c:v>
                </c:pt>
                <c:pt idx="229">
                  <c:v>795.02</c:v>
                </c:pt>
                <c:pt idx="230">
                  <c:v>871.8</c:v>
                </c:pt>
                <c:pt idx="231">
                  <c:v>852.25</c:v>
                </c:pt>
                <c:pt idx="232">
                  <c:v>609.87</c:v>
                </c:pt>
                <c:pt idx="233">
                  <c:v>370.52</c:v>
                </c:pt>
                <c:pt idx="234">
                  <c:v>71.680000000000007</c:v>
                </c:pt>
                <c:pt idx="235">
                  <c:v>36.799999999999997</c:v>
                </c:pt>
                <c:pt idx="236">
                  <c:v>36.56</c:v>
                </c:pt>
                <c:pt idx="237">
                  <c:v>36.17</c:v>
                </c:pt>
                <c:pt idx="238">
                  <c:v>35.770000000000003</c:v>
                </c:pt>
                <c:pt idx="239">
                  <c:v>35.65</c:v>
                </c:pt>
                <c:pt idx="240">
                  <c:v>36.44</c:v>
                </c:pt>
                <c:pt idx="241">
                  <c:v>37.31</c:v>
                </c:pt>
                <c:pt idx="242">
                  <c:v>36.93</c:v>
                </c:pt>
                <c:pt idx="243">
                  <c:v>36.880000000000003</c:v>
                </c:pt>
                <c:pt idx="244">
                  <c:v>37.08</c:v>
                </c:pt>
                <c:pt idx="245">
                  <c:v>37.17</c:v>
                </c:pt>
                <c:pt idx="246">
                  <c:v>37.840000000000003</c:v>
                </c:pt>
                <c:pt idx="247">
                  <c:v>103.98</c:v>
                </c:pt>
                <c:pt idx="248">
                  <c:v>544.23</c:v>
                </c:pt>
                <c:pt idx="249">
                  <c:v>727.54</c:v>
                </c:pt>
                <c:pt idx="250">
                  <c:v>1026.98</c:v>
                </c:pt>
                <c:pt idx="251">
                  <c:v>1039.6400000000001</c:v>
                </c:pt>
                <c:pt idx="252">
                  <c:v>1032.6600000000001</c:v>
                </c:pt>
                <c:pt idx="253">
                  <c:v>1023.79</c:v>
                </c:pt>
                <c:pt idx="254">
                  <c:v>1042.5</c:v>
                </c:pt>
                <c:pt idx="255">
                  <c:v>1036.0999999999999</c:v>
                </c:pt>
                <c:pt idx="256">
                  <c:v>1030.04</c:v>
                </c:pt>
                <c:pt idx="257">
                  <c:v>855.34</c:v>
                </c:pt>
                <c:pt idx="258">
                  <c:v>687.79</c:v>
                </c:pt>
                <c:pt idx="259">
                  <c:v>359.53</c:v>
                </c:pt>
                <c:pt idx="260">
                  <c:v>155.96</c:v>
                </c:pt>
                <c:pt idx="261">
                  <c:v>46.71</c:v>
                </c:pt>
                <c:pt idx="262">
                  <c:v>41.68</c:v>
                </c:pt>
                <c:pt idx="263">
                  <c:v>41.52</c:v>
                </c:pt>
                <c:pt idx="264">
                  <c:v>41.75</c:v>
                </c:pt>
                <c:pt idx="265">
                  <c:v>41.97</c:v>
                </c:pt>
                <c:pt idx="266">
                  <c:v>42.18</c:v>
                </c:pt>
                <c:pt idx="267">
                  <c:v>41.86</c:v>
                </c:pt>
                <c:pt idx="268">
                  <c:v>41.82</c:v>
                </c:pt>
                <c:pt idx="269">
                  <c:v>41.55</c:v>
                </c:pt>
                <c:pt idx="270">
                  <c:v>41.79</c:v>
                </c:pt>
                <c:pt idx="271">
                  <c:v>41.67</c:v>
                </c:pt>
                <c:pt idx="272">
                  <c:v>41.39</c:v>
                </c:pt>
                <c:pt idx="273">
                  <c:v>41.15</c:v>
                </c:pt>
                <c:pt idx="274">
                  <c:v>41.32</c:v>
                </c:pt>
                <c:pt idx="275">
                  <c:v>40.590000000000003</c:v>
                </c:pt>
                <c:pt idx="276">
                  <c:v>136.79</c:v>
                </c:pt>
                <c:pt idx="277">
                  <c:v>388.59</c:v>
                </c:pt>
                <c:pt idx="278">
                  <c:v>374.39</c:v>
                </c:pt>
                <c:pt idx="279">
                  <c:v>374.46</c:v>
                </c:pt>
                <c:pt idx="280">
                  <c:v>256.95</c:v>
                </c:pt>
                <c:pt idx="281">
                  <c:v>41.48</c:v>
                </c:pt>
                <c:pt idx="282">
                  <c:v>41.56</c:v>
                </c:pt>
                <c:pt idx="283">
                  <c:v>41.74</c:v>
                </c:pt>
                <c:pt idx="284">
                  <c:v>40.880000000000003</c:v>
                </c:pt>
                <c:pt idx="285">
                  <c:v>40.71</c:v>
                </c:pt>
                <c:pt idx="286">
                  <c:v>39.68</c:v>
                </c:pt>
                <c:pt idx="287">
                  <c:v>37.090000000000003</c:v>
                </c:pt>
                <c:pt idx="288">
                  <c:v>34.85</c:v>
                </c:pt>
                <c:pt idx="289">
                  <c:v>34.19</c:v>
                </c:pt>
                <c:pt idx="290">
                  <c:v>32.159999999999997</c:v>
                </c:pt>
                <c:pt idx="291">
                  <c:v>30.94</c:v>
                </c:pt>
                <c:pt idx="292">
                  <c:v>32.28</c:v>
                </c:pt>
                <c:pt idx="293">
                  <c:v>33.39</c:v>
                </c:pt>
                <c:pt idx="294">
                  <c:v>34.92</c:v>
                </c:pt>
                <c:pt idx="295">
                  <c:v>36.58</c:v>
                </c:pt>
                <c:pt idx="296">
                  <c:v>36.67</c:v>
                </c:pt>
                <c:pt idx="297">
                  <c:v>163.5</c:v>
                </c:pt>
                <c:pt idx="298">
                  <c:v>500.54</c:v>
                </c:pt>
                <c:pt idx="299">
                  <c:v>699.88</c:v>
                </c:pt>
                <c:pt idx="300">
                  <c:v>701.87</c:v>
                </c:pt>
                <c:pt idx="301">
                  <c:v>704.97</c:v>
                </c:pt>
                <c:pt idx="302">
                  <c:v>703.35</c:v>
                </c:pt>
                <c:pt idx="303">
                  <c:v>703.88</c:v>
                </c:pt>
                <c:pt idx="304">
                  <c:v>704.96</c:v>
                </c:pt>
                <c:pt idx="305">
                  <c:v>621.1</c:v>
                </c:pt>
                <c:pt idx="306">
                  <c:v>350.09</c:v>
                </c:pt>
                <c:pt idx="307">
                  <c:v>195.03</c:v>
                </c:pt>
                <c:pt idx="308">
                  <c:v>52.8</c:v>
                </c:pt>
                <c:pt idx="309">
                  <c:v>42.55</c:v>
                </c:pt>
                <c:pt idx="310">
                  <c:v>42.53</c:v>
                </c:pt>
                <c:pt idx="311">
                  <c:v>42.68</c:v>
                </c:pt>
                <c:pt idx="312">
                  <c:v>42.71</c:v>
                </c:pt>
                <c:pt idx="313">
                  <c:v>42.84</c:v>
                </c:pt>
                <c:pt idx="314">
                  <c:v>42.78</c:v>
                </c:pt>
                <c:pt idx="315">
                  <c:v>42.9</c:v>
                </c:pt>
                <c:pt idx="316">
                  <c:v>43.32</c:v>
                </c:pt>
                <c:pt idx="317">
                  <c:v>43</c:v>
                </c:pt>
                <c:pt idx="318">
                  <c:v>42.73</c:v>
                </c:pt>
                <c:pt idx="319">
                  <c:v>43.12</c:v>
                </c:pt>
                <c:pt idx="320">
                  <c:v>43.54</c:v>
                </c:pt>
                <c:pt idx="321">
                  <c:v>43.19</c:v>
                </c:pt>
                <c:pt idx="322">
                  <c:v>43.6</c:v>
                </c:pt>
                <c:pt idx="323">
                  <c:v>43.57</c:v>
                </c:pt>
                <c:pt idx="324">
                  <c:v>43.84</c:v>
                </c:pt>
                <c:pt idx="325">
                  <c:v>43.74</c:v>
                </c:pt>
                <c:pt idx="326">
                  <c:v>43.56</c:v>
                </c:pt>
                <c:pt idx="327">
                  <c:v>43.51</c:v>
                </c:pt>
                <c:pt idx="328">
                  <c:v>43.92</c:v>
                </c:pt>
                <c:pt idx="329">
                  <c:v>43.94</c:v>
                </c:pt>
                <c:pt idx="330">
                  <c:v>43.91</c:v>
                </c:pt>
                <c:pt idx="331">
                  <c:v>43.76</c:v>
                </c:pt>
                <c:pt idx="332">
                  <c:v>42.91</c:v>
                </c:pt>
                <c:pt idx="333">
                  <c:v>42.78</c:v>
                </c:pt>
                <c:pt idx="334">
                  <c:v>43.28</c:v>
                </c:pt>
                <c:pt idx="335">
                  <c:v>43.43</c:v>
                </c:pt>
                <c:pt idx="336">
                  <c:v>43.58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0E-7F4B-8595-CA7E8F38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4"/>
          <c:order val="4"/>
          <c:tx>
            <c:strRef>
              <c:f>'Generation Mix - Ren and FF'!$M$1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2225" cap="rnd">
              <a:solidFill>
                <a:srgbClr val="D7153A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94"/>
            <c:marker>
              <c:symbol val="none"/>
            </c:marker>
            <c:bubble3D val="0"/>
            <c:spPr>
              <a:ln w="22225" cap="rnd">
                <a:solidFill>
                  <a:srgbClr val="D7153A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0E-7F4B-8595-CA7E8F386EDB}"/>
              </c:ext>
            </c:extLst>
          </c:dPt>
          <c:val>
            <c:numRef>
              <c:f>'Generation Mix - Ren and FF'!$M$2:$M$338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0E-7F4B-8595-CA7E8F38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640399"/>
        <c:axId val="1002615679"/>
      </c:lineChart>
      <c:dateAx>
        <c:axId val="133680616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yy\&#10;h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0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  <c:minorUnit val="24"/>
      </c:dateAx>
      <c:valAx>
        <c:axId val="164812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Electricity Generated - MW</a:t>
                </a:r>
                <a:endParaRPr lang="en-A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1.3641417941726516E-2"/>
              <c:y val="0.31684063944171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midCat"/>
      </c:valAx>
      <c:valAx>
        <c:axId val="1002615679"/>
        <c:scaling>
          <c:orientation val="minMax"/>
          <c:max val="3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Spot Price AUD/Mh</a:t>
                </a:r>
              </a:p>
            </c:rich>
          </c:tx>
          <c:layout>
            <c:manualLayout>
              <c:xMode val="edge"/>
              <c:yMode val="edge"/>
              <c:x val="0.96605469606942229"/>
              <c:y val="0.294830663537447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40399"/>
        <c:crosses val="max"/>
        <c:crossBetween val="between"/>
        <c:majorUnit val="40"/>
      </c:valAx>
      <c:catAx>
        <c:axId val="1002640399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615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3288749754018"/>
          <c:y val="0.95262123501264628"/>
          <c:w val="0.79850312211225172"/>
          <c:h val="2.54283449852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'Dispatchable Renewable'!#REF!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'Dispatchable Renewable'!#REF!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C-4B4A-BFDA-7531085E10DF}"/>
            </c:ext>
          </c:extLst>
        </c:ser>
        <c:ser>
          <c:idx val="1"/>
          <c:order val="1"/>
          <c:tx>
            <c:strRef>
              <c:f>'Dispatchable Renewable'!#REF!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'Dispatchable Renewable'!#REF!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C-4B4A-BFDA-7531085E1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scatterChart>
        <c:scatterStyle val="smoothMarker"/>
        <c:varyColors val="0"/>
        <c:ser>
          <c:idx val="2"/>
          <c:order val="2"/>
          <c:tx>
            <c:strRef>
              <c:f>'Dispatchable Renewable'!$F$1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'Dispatchable Renewable'!$F$2:$F$338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6C-4B4A-BFDA-7531085E1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90864"/>
        <c:axId val="1064601840"/>
      </c:scatterChart>
      <c:dateAx>
        <c:axId val="13368061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0646018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90864"/>
        <c:crosses val="max"/>
        <c:crossBetween val="midCat"/>
      </c:valAx>
      <c:valAx>
        <c:axId val="106459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64601840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'Dispatchable Renewable'!$D$1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'Dispatchable Renewable'!$D$2:$D$338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8343-8561-6DDC612B2C14}"/>
            </c:ext>
          </c:extLst>
        </c:ser>
        <c:ser>
          <c:idx val="0"/>
          <c:order val="1"/>
          <c:tx>
            <c:strRef>
              <c:f>'Dispatchable Renewable'!$E$1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'Dispatchable Renewable'!$E$2:$E$338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4-8343-8561-6DDC612B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'Dispatchable Renewable'!$F$1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'Dispatchable Renewable'!$F$2:$F$338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44-8343-8561-6DDC612B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1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'Dispatchable Renewable'!$B$1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'Dispatchable Renewable'!$B$2:$B$338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E-754C-ABED-353B2F82A4E5}"/>
            </c:ext>
          </c:extLst>
        </c:ser>
        <c:ser>
          <c:idx val="0"/>
          <c:order val="1"/>
          <c:tx>
            <c:strRef>
              <c:f>'Dispatchable Renewable'!$C$1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'Dispatchable Renewable'!$C$2:$C$338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E-754C-ABED-353B2F82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'Dispatchable Renewable'!$F$1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'Dispatchable Renewable'!$F$2:$F$338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E-754C-ABED-353B2F82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50"/>
          <c:min val="-5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</a:t>
            </a:r>
            <a:r>
              <a:rPr lang="en-US" baseline="0"/>
              <a:t> Firming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'Dispatchable Renewable'!$B$1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'Dispatchable Renewable'!$B$2:$B$338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7-A642-8AFC-7A8FB47A78BE}"/>
            </c:ext>
          </c:extLst>
        </c:ser>
        <c:ser>
          <c:idx val="2"/>
          <c:order val="1"/>
          <c:tx>
            <c:strRef>
              <c:f>'Dispatchable Renewable'!$D$1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'Dispatchable Renewable'!$D$2:$D$338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7-A642-8AFC-7A8FB47A78BE}"/>
            </c:ext>
          </c:extLst>
        </c:ser>
        <c:ser>
          <c:idx val="0"/>
          <c:order val="2"/>
          <c:tx>
            <c:strRef>
              <c:f>'Dispatchable Renewable'!$C$1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'Dispatchable Renewable'!$C$2:$C$338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7-A642-8AFC-7A8FB47A78BE}"/>
            </c:ext>
          </c:extLst>
        </c:ser>
        <c:ser>
          <c:idx val="3"/>
          <c:order val="3"/>
          <c:tx>
            <c:strRef>
              <c:f>'Dispatchable Renewable'!$E$1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'Dispatchable Renewable'!$E$2:$E$338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C7-A642-8AFC-7A8FB47A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4"/>
          <c:tx>
            <c:strRef>
              <c:f>'Dispatchable Renewable'!$F$1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'Dispatchable Renewable'!$F$2:$F$338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7-A642-8AFC-7A8FB47A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Renewable Firming (charging) and Spot Price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83191664612022E-2"/>
          <c:y val="0.13507544587391568"/>
          <c:w val="0.82736088045920331"/>
          <c:h val="0.68470830510162706"/>
        </c:manualLayout>
      </c:layout>
      <c:areaChart>
        <c:grouping val="stacked"/>
        <c:varyColors val="0"/>
        <c:ser>
          <c:idx val="1"/>
          <c:order val="0"/>
          <c:tx>
            <c:strRef>
              <c:f>'Dispatchable Renewable'!$B$1</c:f>
              <c:strCache>
                <c:ptCount val="1"/>
                <c:pt idx="0">
                  <c:v>Battery (Charging) -  MW</c:v>
                </c:pt>
              </c:strCache>
            </c:strRef>
          </c:tx>
          <c:spPr>
            <a:solidFill>
              <a:srgbClr val="752F8A">
                <a:lumMod val="40000"/>
                <a:lumOff val="60000"/>
              </a:srgbClr>
            </a:solidFill>
            <a:ln w="25400">
              <a:noFill/>
            </a:ln>
            <a:effectLst/>
          </c:spPr>
          <c:cat>
            <c:strRef>
              <c:f>'Dispatchable Renewable'!$H$2:$H$338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'Dispatchable Renewable'!$B$2:$B$338</c:f>
              <c:numCache>
                <c:formatCode>#,##0</c:formatCode>
                <c:ptCount val="337"/>
                <c:pt idx="0">
                  <c:v>-190.82</c:v>
                </c:pt>
                <c:pt idx="1">
                  <c:v>-401.87</c:v>
                </c:pt>
                <c:pt idx="2">
                  <c:v>-649.61</c:v>
                </c:pt>
                <c:pt idx="3">
                  <c:v>-162.4</c:v>
                </c:pt>
                <c:pt idx="4">
                  <c:v>-22.51</c:v>
                </c:pt>
                <c:pt idx="5">
                  <c:v>-379.85</c:v>
                </c:pt>
                <c:pt idx="6">
                  <c:v>-100.81</c:v>
                </c:pt>
                <c:pt idx="7">
                  <c:v>-84.16</c:v>
                </c:pt>
                <c:pt idx="8">
                  <c:v>-307.23</c:v>
                </c:pt>
                <c:pt idx="9">
                  <c:v>-300.85000000000002</c:v>
                </c:pt>
                <c:pt idx="10">
                  <c:v>-60.4</c:v>
                </c:pt>
                <c:pt idx="11">
                  <c:v>-2.2799999999999998</c:v>
                </c:pt>
                <c:pt idx="12">
                  <c:v>-2.2000000000000002</c:v>
                </c:pt>
                <c:pt idx="13">
                  <c:v>-3.18</c:v>
                </c:pt>
                <c:pt idx="14">
                  <c:v>-4.08</c:v>
                </c:pt>
                <c:pt idx="15">
                  <c:v>-1.94</c:v>
                </c:pt>
                <c:pt idx="16">
                  <c:v>-3.76</c:v>
                </c:pt>
                <c:pt idx="17">
                  <c:v>-4.08</c:v>
                </c:pt>
                <c:pt idx="18">
                  <c:v>-4.13</c:v>
                </c:pt>
                <c:pt idx="19">
                  <c:v>-3.78</c:v>
                </c:pt>
                <c:pt idx="20">
                  <c:v>-3.23</c:v>
                </c:pt>
                <c:pt idx="21">
                  <c:v>-3.47</c:v>
                </c:pt>
                <c:pt idx="22">
                  <c:v>-8.66</c:v>
                </c:pt>
                <c:pt idx="23">
                  <c:v>-5.73</c:v>
                </c:pt>
                <c:pt idx="24">
                  <c:v>-2.97</c:v>
                </c:pt>
                <c:pt idx="25">
                  <c:v>-6.6</c:v>
                </c:pt>
                <c:pt idx="26">
                  <c:v>-6.97</c:v>
                </c:pt>
                <c:pt idx="27">
                  <c:v>-12.24</c:v>
                </c:pt>
                <c:pt idx="28">
                  <c:v>-38.869999999999997</c:v>
                </c:pt>
                <c:pt idx="29">
                  <c:v>-43.54</c:v>
                </c:pt>
                <c:pt idx="30">
                  <c:v>-51.93</c:v>
                </c:pt>
                <c:pt idx="31">
                  <c:v>-30.81</c:v>
                </c:pt>
                <c:pt idx="32">
                  <c:v>-3.04</c:v>
                </c:pt>
                <c:pt idx="33">
                  <c:v>-3.4</c:v>
                </c:pt>
                <c:pt idx="34">
                  <c:v>-3.83</c:v>
                </c:pt>
                <c:pt idx="35">
                  <c:v>-2.94</c:v>
                </c:pt>
                <c:pt idx="36">
                  <c:v>-4.3</c:v>
                </c:pt>
                <c:pt idx="37">
                  <c:v>-3.38</c:v>
                </c:pt>
                <c:pt idx="38">
                  <c:v>-3.76</c:v>
                </c:pt>
                <c:pt idx="39">
                  <c:v>-4.1900000000000004</c:v>
                </c:pt>
                <c:pt idx="40">
                  <c:v>-9.08</c:v>
                </c:pt>
                <c:pt idx="41">
                  <c:v>-10</c:v>
                </c:pt>
                <c:pt idx="42">
                  <c:v>-8.0299999999999994</c:v>
                </c:pt>
                <c:pt idx="43">
                  <c:v>-106.11</c:v>
                </c:pt>
                <c:pt idx="44">
                  <c:v>-201.76</c:v>
                </c:pt>
                <c:pt idx="45">
                  <c:v>-318.83</c:v>
                </c:pt>
                <c:pt idx="46">
                  <c:v>-358.97</c:v>
                </c:pt>
                <c:pt idx="47">
                  <c:v>-405.98</c:v>
                </c:pt>
                <c:pt idx="48">
                  <c:v>-345.19</c:v>
                </c:pt>
                <c:pt idx="49">
                  <c:v>-267.83999999999997</c:v>
                </c:pt>
                <c:pt idx="50">
                  <c:v>-223.94</c:v>
                </c:pt>
                <c:pt idx="51">
                  <c:v>-91.91</c:v>
                </c:pt>
                <c:pt idx="52">
                  <c:v>-23.34</c:v>
                </c:pt>
                <c:pt idx="53">
                  <c:v>-5.71</c:v>
                </c:pt>
                <c:pt idx="54">
                  <c:v>-10.58</c:v>
                </c:pt>
                <c:pt idx="55">
                  <c:v>-3.08</c:v>
                </c:pt>
                <c:pt idx="56">
                  <c:v>-2</c:v>
                </c:pt>
                <c:pt idx="57">
                  <c:v>-1.59</c:v>
                </c:pt>
                <c:pt idx="58">
                  <c:v>-1.51</c:v>
                </c:pt>
                <c:pt idx="59">
                  <c:v>-2.0099999999999998</c:v>
                </c:pt>
                <c:pt idx="60">
                  <c:v>-2.0299999999999998</c:v>
                </c:pt>
                <c:pt idx="61">
                  <c:v>-2.5</c:v>
                </c:pt>
                <c:pt idx="62">
                  <c:v>-4.2699999999999996</c:v>
                </c:pt>
                <c:pt idx="63">
                  <c:v>-6.4</c:v>
                </c:pt>
                <c:pt idx="64">
                  <c:v>-3.04</c:v>
                </c:pt>
                <c:pt idx="65">
                  <c:v>-5.24</c:v>
                </c:pt>
                <c:pt idx="66">
                  <c:v>-5.66</c:v>
                </c:pt>
                <c:pt idx="67">
                  <c:v>-4.1500000000000004</c:v>
                </c:pt>
                <c:pt idx="68">
                  <c:v>-11.87</c:v>
                </c:pt>
                <c:pt idx="69">
                  <c:v>-11.65</c:v>
                </c:pt>
                <c:pt idx="70">
                  <c:v>-7.38</c:v>
                </c:pt>
                <c:pt idx="71">
                  <c:v>-13.82</c:v>
                </c:pt>
                <c:pt idx="72">
                  <c:v>-4.16</c:v>
                </c:pt>
                <c:pt idx="73">
                  <c:v>-5.79</c:v>
                </c:pt>
                <c:pt idx="74">
                  <c:v>-6.37</c:v>
                </c:pt>
                <c:pt idx="75">
                  <c:v>-6.84</c:v>
                </c:pt>
                <c:pt idx="76">
                  <c:v>-7.97</c:v>
                </c:pt>
                <c:pt idx="77">
                  <c:v>-8.36</c:v>
                </c:pt>
                <c:pt idx="78">
                  <c:v>-12.28</c:v>
                </c:pt>
                <c:pt idx="79">
                  <c:v>-16.11</c:v>
                </c:pt>
                <c:pt idx="80">
                  <c:v>-21.6</c:v>
                </c:pt>
                <c:pt idx="81">
                  <c:v>-5.82</c:v>
                </c:pt>
                <c:pt idx="82">
                  <c:v>-6.54</c:v>
                </c:pt>
                <c:pt idx="83">
                  <c:v>-16.5</c:v>
                </c:pt>
                <c:pt idx="84">
                  <c:v>-11.07</c:v>
                </c:pt>
                <c:pt idx="85">
                  <c:v>-9.7200000000000006</c:v>
                </c:pt>
                <c:pt idx="86">
                  <c:v>-11.97</c:v>
                </c:pt>
                <c:pt idx="87">
                  <c:v>-17.34</c:v>
                </c:pt>
                <c:pt idx="88">
                  <c:v>-49.15</c:v>
                </c:pt>
                <c:pt idx="89">
                  <c:v>-25.06</c:v>
                </c:pt>
                <c:pt idx="90">
                  <c:v>-18.59</c:v>
                </c:pt>
                <c:pt idx="91">
                  <c:v>-35.54</c:v>
                </c:pt>
                <c:pt idx="92">
                  <c:v>-60.99</c:v>
                </c:pt>
                <c:pt idx="93">
                  <c:v>-72.02</c:v>
                </c:pt>
                <c:pt idx="94">
                  <c:v>-174.42</c:v>
                </c:pt>
                <c:pt idx="95">
                  <c:v>-88.23</c:v>
                </c:pt>
                <c:pt idx="96">
                  <c:v>-179.28</c:v>
                </c:pt>
                <c:pt idx="97">
                  <c:v>-193.5</c:v>
                </c:pt>
                <c:pt idx="98">
                  <c:v>-238</c:v>
                </c:pt>
                <c:pt idx="99">
                  <c:v>-299.37</c:v>
                </c:pt>
                <c:pt idx="100">
                  <c:v>-254.92</c:v>
                </c:pt>
                <c:pt idx="101">
                  <c:v>-269.14</c:v>
                </c:pt>
                <c:pt idx="102">
                  <c:v>-215.94</c:v>
                </c:pt>
                <c:pt idx="103">
                  <c:v>-126.78</c:v>
                </c:pt>
                <c:pt idx="104">
                  <c:v>-3.51</c:v>
                </c:pt>
                <c:pt idx="105">
                  <c:v>-2.37</c:v>
                </c:pt>
                <c:pt idx="106">
                  <c:v>-2.3199999999999998</c:v>
                </c:pt>
                <c:pt idx="107">
                  <c:v>-1.58</c:v>
                </c:pt>
                <c:pt idx="108">
                  <c:v>-1.45</c:v>
                </c:pt>
                <c:pt idx="109">
                  <c:v>-1.53</c:v>
                </c:pt>
                <c:pt idx="110">
                  <c:v>-2.15</c:v>
                </c:pt>
                <c:pt idx="111">
                  <c:v>-3.45</c:v>
                </c:pt>
                <c:pt idx="112">
                  <c:v>-2.67</c:v>
                </c:pt>
                <c:pt idx="113">
                  <c:v>-11.84</c:v>
                </c:pt>
                <c:pt idx="114">
                  <c:v>-7.38</c:v>
                </c:pt>
                <c:pt idx="115">
                  <c:v>-83.85</c:v>
                </c:pt>
                <c:pt idx="116">
                  <c:v>-155.27000000000001</c:v>
                </c:pt>
                <c:pt idx="117">
                  <c:v>-62.67</c:v>
                </c:pt>
                <c:pt idx="118">
                  <c:v>-101.41</c:v>
                </c:pt>
                <c:pt idx="119">
                  <c:v>-87.13</c:v>
                </c:pt>
                <c:pt idx="120">
                  <c:v>-50.52</c:v>
                </c:pt>
                <c:pt idx="121">
                  <c:v>-4.3099999999999996</c:v>
                </c:pt>
                <c:pt idx="122">
                  <c:v>-51.03</c:v>
                </c:pt>
                <c:pt idx="123">
                  <c:v>-52.8</c:v>
                </c:pt>
                <c:pt idx="124">
                  <c:v>-67.489999999999995</c:v>
                </c:pt>
                <c:pt idx="125">
                  <c:v>-63.85</c:v>
                </c:pt>
                <c:pt idx="126">
                  <c:v>-43.63</c:v>
                </c:pt>
                <c:pt idx="127">
                  <c:v>-55.86</c:v>
                </c:pt>
                <c:pt idx="128">
                  <c:v>-95.96</c:v>
                </c:pt>
                <c:pt idx="129">
                  <c:v>-37.93</c:v>
                </c:pt>
                <c:pt idx="130">
                  <c:v>-10.93</c:v>
                </c:pt>
                <c:pt idx="131">
                  <c:v>-10.5</c:v>
                </c:pt>
                <c:pt idx="132">
                  <c:v>-15.9</c:v>
                </c:pt>
                <c:pt idx="133">
                  <c:v>-2.09</c:v>
                </c:pt>
                <c:pt idx="134">
                  <c:v>-4.78</c:v>
                </c:pt>
                <c:pt idx="135">
                  <c:v>-5.0999999999999996</c:v>
                </c:pt>
                <c:pt idx="136">
                  <c:v>-35.28</c:v>
                </c:pt>
                <c:pt idx="137">
                  <c:v>-38.520000000000003</c:v>
                </c:pt>
                <c:pt idx="138">
                  <c:v>-8.85</c:v>
                </c:pt>
                <c:pt idx="139">
                  <c:v>-81.27</c:v>
                </c:pt>
                <c:pt idx="140">
                  <c:v>-106.43</c:v>
                </c:pt>
                <c:pt idx="141">
                  <c:v>-244.89</c:v>
                </c:pt>
                <c:pt idx="142">
                  <c:v>-458.77</c:v>
                </c:pt>
                <c:pt idx="143">
                  <c:v>-292.61</c:v>
                </c:pt>
                <c:pt idx="144">
                  <c:v>-403.44</c:v>
                </c:pt>
                <c:pt idx="145">
                  <c:v>-473.85</c:v>
                </c:pt>
                <c:pt idx="146">
                  <c:v>-248.12</c:v>
                </c:pt>
                <c:pt idx="147">
                  <c:v>-35.68</c:v>
                </c:pt>
                <c:pt idx="148">
                  <c:v>-3.48</c:v>
                </c:pt>
                <c:pt idx="149">
                  <c:v>-53.08</c:v>
                </c:pt>
                <c:pt idx="150">
                  <c:v>-118.18</c:v>
                </c:pt>
                <c:pt idx="151">
                  <c:v>-371.88</c:v>
                </c:pt>
                <c:pt idx="152">
                  <c:v>-303.89999999999998</c:v>
                </c:pt>
                <c:pt idx="153">
                  <c:v>-53.59</c:v>
                </c:pt>
                <c:pt idx="154">
                  <c:v>-8.41</c:v>
                </c:pt>
                <c:pt idx="155">
                  <c:v>-10.9</c:v>
                </c:pt>
                <c:pt idx="156">
                  <c:v>-5.97</c:v>
                </c:pt>
                <c:pt idx="157">
                  <c:v>-7.68</c:v>
                </c:pt>
                <c:pt idx="158">
                  <c:v>-5.16</c:v>
                </c:pt>
                <c:pt idx="159">
                  <c:v>-6.88</c:v>
                </c:pt>
                <c:pt idx="160">
                  <c:v>-4.63</c:v>
                </c:pt>
                <c:pt idx="161">
                  <c:v>-6.52</c:v>
                </c:pt>
                <c:pt idx="162">
                  <c:v>-9.9499999999999993</c:v>
                </c:pt>
                <c:pt idx="163">
                  <c:v>-33.520000000000003</c:v>
                </c:pt>
                <c:pt idx="164">
                  <c:v>-9.76</c:v>
                </c:pt>
                <c:pt idx="165">
                  <c:v>-21.79</c:v>
                </c:pt>
                <c:pt idx="166">
                  <c:v>-36.96</c:v>
                </c:pt>
                <c:pt idx="167">
                  <c:v>-19.12</c:v>
                </c:pt>
                <c:pt idx="168">
                  <c:v>-21.55</c:v>
                </c:pt>
                <c:pt idx="169">
                  <c:v>-21.09</c:v>
                </c:pt>
                <c:pt idx="170">
                  <c:v>-13.15</c:v>
                </c:pt>
                <c:pt idx="171">
                  <c:v>-36.590000000000003</c:v>
                </c:pt>
                <c:pt idx="172">
                  <c:v>-160.09</c:v>
                </c:pt>
                <c:pt idx="173">
                  <c:v>-104.48</c:v>
                </c:pt>
                <c:pt idx="174">
                  <c:v>-73.5</c:v>
                </c:pt>
                <c:pt idx="175">
                  <c:v>-203.92</c:v>
                </c:pt>
                <c:pt idx="176">
                  <c:v>-255.16</c:v>
                </c:pt>
                <c:pt idx="177">
                  <c:v>-152.51</c:v>
                </c:pt>
                <c:pt idx="178">
                  <c:v>-127.28</c:v>
                </c:pt>
                <c:pt idx="179">
                  <c:v>-6.98</c:v>
                </c:pt>
                <c:pt idx="180">
                  <c:v>-2.31</c:v>
                </c:pt>
                <c:pt idx="181">
                  <c:v>-2.91</c:v>
                </c:pt>
                <c:pt idx="182">
                  <c:v>-1.6</c:v>
                </c:pt>
                <c:pt idx="183">
                  <c:v>-2.98</c:v>
                </c:pt>
                <c:pt idx="184">
                  <c:v>-0.01</c:v>
                </c:pt>
                <c:pt idx="185">
                  <c:v>-3.63</c:v>
                </c:pt>
                <c:pt idx="186">
                  <c:v>-5.25</c:v>
                </c:pt>
                <c:pt idx="187">
                  <c:v>-2.91</c:v>
                </c:pt>
                <c:pt idx="188">
                  <c:v>-3.08</c:v>
                </c:pt>
                <c:pt idx="189">
                  <c:v>-18</c:v>
                </c:pt>
                <c:pt idx="190">
                  <c:v>-36.04</c:v>
                </c:pt>
                <c:pt idx="191">
                  <c:v>-171.54</c:v>
                </c:pt>
                <c:pt idx="192">
                  <c:v>-335.08</c:v>
                </c:pt>
                <c:pt idx="193">
                  <c:v>-295</c:v>
                </c:pt>
                <c:pt idx="194">
                  <c:v>-142.77000000000001</c:v>
                </c:pt>
                <c:pt idx="195">
                  <c:v>-139.22</c:v>
                </c:pt>
                <c:pt idx="196">
                  <c:v>-243.01</c:v>
                </c:pt>
                <c:pt idx="197">
                  <c:v>-169.84</c:v>
                </c:pt>
                <c:pt idx="198">
                  <c:v>-166.03</c:v>
                </c:pt>
                <c:pt idx="199">
                  <c:v>-115.04</c:v>
                </c:pt>
                <c:pt idx="200">
                  <c:v>-60.62</c:v>
                </c:pt>
                <c:pt idx="201">
                  <c:v>-96.48</c:v>
                </c:pt>
                <c:pt idx="202">
                  <c:v>-133.13999999999999</c:v>
                </c:pt>
                <c:pt idx="203">
                  <c:v>-5.15</c:v>
                </c:pt>
                <c:pt idx="204">
                  <c:v>-5.62</c:v>
                </c:pt>
                <c:pt idx="205">
                  <c:v>-6.27</c:v>
                </c:pt>
                <c:pt idx="206">
                  <c:v>-17.82</c:v>
                </c:pt>
                <c:pt idx="207">
                  <c:v>-12.74</c:v>
                </c:pt>
                <c:pt idx="208">
                  <c:v>-8.18</c:v>
                </c:pt>
                <c:pt idx="209">
                  <c:v>-6.76</c:v>
                </c:pt>
                <c:pt idx="210">
                  <c:v>-13.72</c:v>
                </c:pt>
                <c:pt idx="211">
                  <c:v>-14.12</c:v>
                </c:pt>
                <c:pt idx="212">
                  <c:v>-7.64</c:v>
                </c:pt>
                <c:pt idx="213">
                  <c:v>-11.04</c:v>
                </c:pt>
                <c:pt idx="214">
                  <c:v>-8.8000000000000007</c:v>
                </c:pt>
                <c:pt idx="215">
                  <c:v>-48.46</c:v>
                </c:pt>
                <c:pt idx="216">
                  <c:v>-11.98</c:v>
                </c:pt>
                <c:pt idx="217">
                  <c:v>-43.37</c:v>
                </c:pt>
                <c:pt idx="218">
                  <c:v>-106.28</c:v>
                </c:pt>
                <c:pt idx="219">
                  <c:v>-123.26</c:v>
                </c:pt>
                <c:pt idx="220">
                  <c:v>-90.15</c:v>
                </c:pt>
                <c:pt idx="221">
                  <c:v>-112.17</c:v>
                </c:pt>
                <c:pt idx="222">
                  <c:v>-121.77</c:v>
                </c:pt>
                <c:pt idx="223">
                  <c:v>-130.87</c:v>
                </c:pt>
                <c:pt idx="224">
                  <c:v>-100.34</c:v>
                </c:pt>
                <c:pt idx="225">
                  <c:v>-42.13</c:v>
                </c:pt>
                <c:pt idx="226">
                  <c:v>-8.7799999999999994</c:v>
                </c:pt>
                <c:pt idx="227">
                  <c:v>-6.42</c:v>
                </c:pt>
                <c:pt idx="228">
                  <c:v>-6.26</c:v>
                </c:pt>
                <c:pt idx="229">
                  <c:v>-6.04</c:v>
                </c:pt>
                <c:pt idx="230">
                  <c:v>-22.83</c:v>
                </c:pt>
                <c:pt idx="231">
                  <c:v>-7.13</c:v>
                </c:pt>
                <c:pt idx="232">
                  <c:v>-7.14</c:v>
                </c:pt>
                <c:pt idx="233">
                  <c:v>-6.88</c:v>
                </c:pt>
                <c:pt idx="234">
                  <c:v>-6.98</c:v>
                </c:pt>
                <c:pt idx="235">
                  <c:v>-77.48</c:v>
                </c:pt>
                <c:pt idx="236">
                  <c:v>-111.94</c:v>
                </c:pt>
                <c:pt idx="237">
                  <c:v>-75.11</c:v>
                </c:pt>
                <c:pt idx="238">
                  <c:v>-105.88</c:v>
                </c:pt>
                <c:pt idx="239">
                  <c:v>-92.17</c:v>
                </c:pt>
                <c:pt idx="240">
                  <c:v>-92.57</c:v>
                </c:pt>
                <c:pt idx="241">
                  <c:v>-213.99</c:v>
                </c:pt>
                <c:pt idx="242">
                  <c:v>-154.68</c:v>
                </c:pt>
                <c:pt idx="243">
                  <c:v>-57.89</c:v>
                </c:pt>
                <c:pt idx="244">
                  <c:v>-116.89</c:v>
                </c:pt>
                <c:pt idx="245">
                  <c:v>-5.53</c:v>
                </c:pt>
                <c:pt idx="246">
                  <c:v>-17.36</c:v>
                </c:pt>
                <c:pt idx="247">
                  <c:v>-16.07</c:v>
                </c:pt>
                <c:pt idx="248">
                  <c:v>-155.34</c:v>
                </c:pt>
                <c:pt idx="249">
                  <c:v>-8.01</c:v>
                </c:pt>
                <c:pt idx="250">
                  <c:v>-1.68</c:v>
                </c:pt>
                <c:pt idx="251">
                  <c:v>-2.61</c:v>
                </c:pt>
                <c:pt idx="252">
                  <c:v>-1.85</c:v>
                </c:pt>
                <c:pt idx="253">
                  <c:v>-1.62</c:v>
                </c:pt>
                <c:pt idx="254">
                  <c:v>-4.66</c:v>
                </c:pt>
                <c:pt idx="255">
                  <c:v>-2.19</c:v>
                </c:pt>
                <c:pt idx="256">
                  <c:v>-3.13</c:v>
                </c:pt>
                <c:pt idx="257">
                  <c:v>-3.06</c:v>
                </c:pt>
                <c:pt idx="258">
                  <c:v>-9.59</c:v>
                </c:pt>
                <c:pt idx="259">
                  <c:v>-4.28</c:v>
                </c:pt>
                <c:pt idx="260">
                  <c:v>-5.45</c:v>
                </c:pt>
                <c:pt idx="261">
                  <c:v>-7.99</c:v>
                </c:pt>
                <c:pt idx="262">
                  <c:v>-21.5</c:v>
                </c:pt>
                <c:pt idx="263">
                  <c:v>-24.29</c:v>
                </c:pt>
                <c:pt idx="264">
                  <c:v>-53.84</c:v>
                </c:pt>
                <c:pt idx="265">
                  <c:v>-7.03</c:v>
                </c:pt>
                <c:pt idx="266">
                  <c:v>-9.25</c:v>
                </c:pt>
                <c:pt idx="267">
                  <c:v>-80.16</c:v>
                </c:pt>
                <c:pt idx="268">
                  <c:v>-61.47</c:v>
                </c:pt>
                <c:pt idx="269">
                  <c:v>-37.4</c:v>
                </c:pt>
                <c:pt idx="270">
                  <c:v>-72.31</c:v>
                </c:pt>
                <c:pt idx="271">
                  <c:v>-76.900000000000006</c:v>
                </c:pt>
                <c:pt idx="272">
                  <c:v>-114.78</c:v>
                </c:pt>
                <c:pt idx="273">
                  <c:v>-111.86</c:v>
                </c:pt>
                <c:pt idx="274">
                  <c:v>-78.739999999999995</c:v>
                </c:pt>
                <c:pt idx="275">
                  <c:v>-36.92</c:v>
                </c:pt>
                <c:pt idx="276">
                  <c:v>-21.25</c:v>
                </c:pt>
                <c:pt idx="277">
                  <c:v>-6.31</c:v>
                </c:pt>
                <c:pt idx="278">
                  <c:v>-8.93</c:v>
                </c:pt>
                <c:pt idx="279">
                  <c:v>-4.79</c:v>
                </c:pt>
                <c:pt idx="280">
                  <c:v>-1.91</c:v>
                </c:pt>
                <c:pt idx="281">
                  <c:v>-5.2</c:v>
                </c:pt>
                <c:pt idx="282">
                  <c:v>-7.06</c:v>
                </c:pt>
                <c:pt idx="283">
                  <c:v>-2.8</c:v>
                </c:pt>
                <c:pt idx="284">
                  <c:v>-10.07</c:v>
                </c:pt>
                <c:pt idx="285">
                  <c:v>-38.36</c:v>
                </c:pt>
                <c:pt idx="286">
                  <c:v>-123.22</c:v>
                </c:pt>
                <c:pt idx="287">
                  <c:v>-224.54</c:v>
                </c:pt>
                <c:pt idx="288">
                  <c:v>-156.88</c:v>
                </c:pt>
                <c:pt idx="289">
                  <c:v>-214.46</c:v>
                </c:pt>
                <c:pt idx="290">
                  <c:v>-199.66</c:v>
                </c:pt>
                <c:pt idx="291">
                  <c:v>-111.6</c:v>
                </c:pt>
                <c:pt idx="292">
                  <c:v>-25.92</c:v>
                </c:pt>
                <c:pt idx="293">
                  <c:v>-27.79</c:v>
                </c:pt>
                <c:pt idx="294">
                  <c:v>-79.58</c:v>
                </c:pt>
                <c:pt idx="295">
                  <c:v>-105.3</c:v>
                </c:pt>
                <c:pt idx="296">
                  <c:v>-26.84</c:v>
                </c:pt>
                <c:pt idx="297">
                  <c:v>-6.92</c:v>
                </c:pt>
                <c:pt idx="298">
                  <c:v>-2.33</c:v>
                </c:pt>
                <c:pt idx="299">
                  <c:v>-2.59</c:v>
                </c:pt>
                <c:pt idx="300">
                  <c:v>-3.52</c:v>
                </c:pt>
                <c:pt idx="301">
                  <c:v>-4.9400000000000004</c:v>
                </c:pt>
                <c:pt idx="302">
                  <c:v>-5.38</c:v>
                </c:pt>
                <c:pt idx="303">
                  <c:v>-13.84</c:v>
                </c:pt>
                <c:pt idx="304">
                  <c:v>-3.69</c:v>
                </c:pt>
                <c:pt idx="305">
                  <c:v>-10.78</c:v>
                </c:pt>
                <c:pt idx="306">
                  <c:v>-14.03</c:v>
                </c:pt>
                <c:pt idx="307">
                  <c:v>-13.46</c:v>
                </c:pt>
                <c:pt idx="308">
                  <c:v>-12.4</c:v>
                </c:pt>
                <c:pt idx="309">
                  <c:v>-11.46</c:v>
                </c:pt>
                <c:pt idx="310">
                  <c:v>-10.81</c:v>
                </c:pt>
                <c:pt idx="311">
                  <c:v>-12.24</c:v>
                </c:pt>
                <c:pt idx="312">
                  <c:v>-20.67</c:v>
                </c:pt>
                <c:pt idx="313">
                  <c:v>-59.56</c:v>
                </c:pt>
                <c:pt idx="314">
                  <c:v>-16.57</c:v>
                </c:pt>
                <c:pt idx="315">
                  <c:v>-16.52</c:v>
                </c:pt>
                <c:pt idx="316">
                  <c:v>-50.46</c:v>
                </c:pt>
                <c:pt idx="317">
                  <c:v>-70.569999999999993</c:v>
                </c:pt>
                <c:pt idx="318">
                  <c:v>-67.290000000000006</c:v>
                </c:pt>
                <c:pt idx="319">
                  <c:v>-77.040000000000006</c:v>
                </c:pt>
                <c:pt idx="320">
                  <c:v>-76.790000000000006</c:v>
                </c:pt>
                <c:pt idx="321">
                  <c:v>-45.92</c:v>
                </c:pt>
                <c:pt idx="322">
                  <c:v>-78.44</c:v>
                </c:pt>
                <c:pt idx="323">
                  <c:v>-95.53</c:v>
                </c:pt>
                <c:pt idx="324">
                  <c:v>-32.76</c:v>
                </c:pt>
                <c:pt idx="325">
                  <c:v>-6.85</c:v>
                </c:pt>
                <c:pt idx="326">
                  <c:v>-6.86</c:v>
                </c:pt>
                <c:pt idx="327">
                  <c:v>-7.68</c:v>
                </c:pt>
                <c:pt idx="328">
                  <c:v>-6.08</c:v>
                </c:pt>
                <c:pt idx="329">
                  <c:v>-25.04</c:v>
                </c:pt>
                <c:pt idx="330">
                  <c:v>-15.09</c:v>
                </c:pt>
                <c:pt idx="331">
                  <c:v>-232.19</c:v>
                </c:pt>
                <c:pt idx="332">
                  <c:v>-140.24</c:v>
                </c:pt>
                <c:pt idx="333">
                  <c:v>-31.11</c:v>
                </c:pt>
                <c:pt idx="334">
                  <c:v>-134.41</c:v>
                </c:pt>
                <c:pt idx="335">
                  <c:v>-217.25</c:v>
                </c:pt>
                <c:pt idx="336">
                  <c:v>-224.94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5-4E4D-B349-D9F2B9EDF832}"/>
            </c:ext>
          </c:extLst>
        </c:ser>
        <c:ser>
          <c:idx val="2"/>
          <c:order val="1"/>
          <c:tx>
            <c:strRef>
              <c:f>'Dispatchable Renewable'!$C$1</c:f>
              <c:strCache>
                <c:ptCount val="1"/>
                <c:pt idx="0">
                  <c:v>Pumps -  MW</c:v>
                </c:pt>
              </c:strCache>
            </c:strRef>
          </c:tx>
          <c:spPr>
            <a:solidFill>
              <a:srgbClr val="40C1BB">
                <a:lumMod val="60000"/>
                <a:lumOff val="40000"/>
              </a:srgbClr>
            </a:solidFill>
            <a:ln w="25400">
              <a:noFill/>
            </a:ln>
            <a:effectLst/>
          </c:spPr>
          <c:cat>
            <c:strRef>
              <c:f>'Dispatchable Renewable'!$H$2:$H$338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'Dispatchable Renewable'!$C$2:$C$338</c:f>
              <c:numCache>
                <c:formatCode>#,##0</c:formatCode>
                <c:ptCount val="337"/>
                <c:pt idx="0">
                  <c:v>-469.14</c:v>
                </c:pt>
                <c:pt idx="1">
                  <c:v>-468.66</c:v>
                </c:pt>
                <c:pt idx="2">
                  <c:v>-468.04</c:v>
                </c:pt>
                <c:pt idx="3">
                  <c:v>-467.76</c:v>
                </c:pt>
                <c:pt idx="4">
                  <c:v>-468.28</c:v>
                </c:pt>
                <c:pt idx="5">
                  <c:v>-467.17</c:v>
                </c:pt>
                <c:pt idx="6">
                  <c:v>-436.42</c:v>
                </c:pt>
                <c:pt idx="7">
                  <c:v>-230.55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-83.29</c:v>
                </c:pt>
                <c:pt idx="46">
                  <c:v>-285.31</c:v>
                </c:pt>
                <c:pt idx="47">
                  <c:v>-481.08</c:v>
                </c:pt>
                <c:pt idx="48">
                  <c:v>-658.89</c:v>
                </c:pt>
                <c:pt idx="49">
                  <c:v>-660.31</c:v>
                </c:pt>
                <c:pt idx="50">
                  <c:v>-659.22</c:v>
                </c:pt>
                <c:pt idx="51">
                  <c:v>-659.99</c:v>
                </c:pt>
                <c:pt idx="52">
                  <c:v>-659.91</c:v>
                </c:pt>
                <c:pt idx="53">
                  <c:v>-628.64</c:v>
                </c:pt>
                <c:pt idx="54">
                  <c:v>-304.86</c:v>
                </c:pt>
                <c:pt idx="55">
                  <c:v>-67.099999999999994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-67.34</c:v>
                </c:pt>
                <c:pt idx="84">
                  <c:v>-80.83</c:v>
                </c:pt>
                <c:pt idx="85">
                  <c:v>-80.86</c:v>
                </c:pt>
                <c:pt idx="86">
                  <c:v>-80.8</c:v>
                </c:pt>
                <c:pt idx="87">
                  <c:v>-80.69</c:v>
                </c:pt>
                <c:pt idx="88">
                  <c:v>-96.63</c:v>
                </c:pt>
                <c:pt idx="89">
                  <c:v>-270.41000000000003</c:v>
                </c:pt>
                <c:pt idx="90">
                  <c:v>-271.38</c:v>
                </c:pt>
                <c:pt idx="91">
                  <c:v>-284.11</c:v>
                </c:pt>
                <c:pt idx="92">
                  <c:v>-466.75</c:v>
                </c:pt>
                <c:pt idx="93">
                  <c:v>-470.18</c:v>
                </c:pt>
                <c:pt idx="94">
                  <c:v>-582.36</c:v>
                </c:pt>
                <c:pt idx="95">
                  <c:v>-660.52</c:v>
                </c:pt>
                <c:pt idx="96">
                  <c:v>-660.59</c:v>
                </c:pt>
                <c:pt idx="97">
                  <c:v>-659.32</c:v>
                </c:pt>
                <c:pt idx="98">
                  <c:v>-660.04</c:v>
                </c:pt>
                <c:pt idx="99">
                  <c:v>-658.02</c:v>
                </c:pt>
                <c:pt idx="100">
                  <c:v>-657.84</c:v>
                </c:pt>
                <c:pt idx="101">
                  <c:v>-658.88</c:v>
                </c:pt>
                <c:pt idx="102">
                  <c:v>-657.04</c:v>
                </c:pt>
                <c:pt idx="103">
                  <c:v>-656.15</c:v>
                </c:pt>
                <c:pt idx="104">
                  <c:v>-354.68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-26.8</c:v>
                </c:pt>
                <c:pt idx="138">
                  <c:v>-97.44</c:v>
                </c:pt>
                <c:pt idx="139">
                  <c:v>-283.64</c:v>
                </c:pt>
                <c:pt idx="140">
                  <c:v>-480.14</c:v>
                </c:pt>
                <c:pt idx="141">
                  <c:v>-657.9</c:v>
                </c:pt>
                <c:pt idx="142">
                  <c:v>-657.57</c:v>
                </c:pt>
                <c:pt idx="143">
                  <c:v>-657.06</c:v>
                </c:pt>
                <c:pt idx="144">
                  <c:v>-655.29999999999995</c:v>
                </c:pt>
                <c:pt idx="145">
                  <c:v>-654.79999999999995</c:v>
                </c:pt>
                <c:pt idx="146">
                  <c:v>-655.72</c:v>
                </c:pt>
                <c:pt idx="147">
                  <c:v>-653.5</c:v>
                </c:pt>
                <c:pt idx="148">
                  <c:v>-653.39</c:v>
                </c:pt>
                <c:pt idx="149">
                  <c:v>-639.83000000000004</c:v>
                </c:pt>
                <c:pt idx="150">
                  <c:v>-572.38</c:v>
                </c:pt>
                <c:pt idx="151">
                  <c:v>-254.63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-67.53</c:v>
                </c:pt>
                <c:pt idx="171">
                  <c:v>-80.69</c:v>
                </c:pt>
                <c:pt idx="172">
                  <c:v>-80.63</c:v>
                </c:pt>
                <c:pt idx="173">
                  <c:v>-80.709999999999994</c:v>
                </c:pt>
                <c:pt idx="174">
                  <c:v>-80.64</c:v>
                </c:pt>
                <c:pt idx="175">
                  <c:v>-80.66</c:v>
                </c:pt>
                <c:pt idx="176">
                  <c:v>-67.19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-67.22</c:v>
                </c:pt>
                <c:pt idx="190">
                  <c:v>-80.680000000000007</c:v>
                </c:pt>
                <c:pt idx="191">
                  <c:v>-80.61</c:v>
                </c:pt>
                <c:pt idx="192">
                  <c:v>-80.64</c:v>
                </c:pt>
                <c:pt idx="193">
                  <c:v>-80.47</c:v>
                </c:pt>
                <c:pt idx="194">
                  <c:v>-80.540000000000006</c:v>
                </c:pt>
                <c:pt idx="195">
                  <c:v>-67.069999999999993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-67.36</c:v>
                </c:pt>
                <c:pt idx="217">
                  <c:v>-80.8</c:v>
                </c:pt>
                <c:pt idx="218">
                  <c:v>-80.760000000000005</c:v>
                </c:pt>
                <c:pt idx="219">
                  <c:v>-80.78</c:v>
                </c:pt>
                <c:pt idx="220">
                  <c:v>-80.78</c:v>
                </c:pt>
                <c:pt idx="221">
                  <c:v>-80.75</c:v>
                </c:pt>
                <c:pt idx="222">
                  <c:v>-80.75</c:v>
                </c:pt>
                <c:pt idx="223">
                  <c:v>-80.61</c:v>
                </c:pt>
                <c:pt idx="224">
                  <c:v>-80.64</c:v>
                </c:pt>
                <c:pt idx="225">
                  <c:v>-67.17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-67.3</c:v>
                </c:pt>
                <c:pt idx="238">
                  <c:v>-256.69</c:v>
                </c:pt>
                <c:pt idx="239">
                  <c:v>-271.67</c:v>
                </c:pt>
                <c:pt idx="240">
                  <c:v>-271.18</c:v>
                </c:pt>
                <c:pt idx="241">
                  <c:v>-271.22000000000003</c:v>
                </c:pt>
                <c:pt idx="242">
                  <c:v>-270.79000000000002</c:v>
                </c:pt>
                <c:pt idx="243">
                  <c:v>-271.17</c:v>
                </c:pt>
                <c:pt idx="244">
                  <c:v>-271.07</c:v>
                </c:pt>
                <c:pt idx="245">
                  <c:v>-271.54000000000002</c:v>
                </c:pt>
                <c:pt idx="246">
                  <c:v>-58.45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-15.55</c:v>
                </c:pt>
                <c:pt idx="288">
                  <c:v>-205.37</c:v>
                </c:pt>
                <c:pt idx="289">
                  <c:v>-454.87</c:v>
                </c:pt>
                <c:pt idx="290">
                  <c:v>-470.54</c:v>
                </c:pt>
                <c:pt idx="291">
                  <c:v>-470.43</c:v>
                </c:pt>
                <c:pt idx="292">
                  <c:v>-470.54</c:v>
                </c:pt>
                <c:pt idx="293">
                  <c:v>-241.81</c:v>
                </c:pt>
                <c:pt idx="294">
                  <c:v>-80.64</c:v>
                </c:pt>
                <c:pt idx="295">
                  <c:v>-67.239999999999995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-67.48</c:v>
                </c:pt>
                <c:pt idx="315">
                  <c:v>-80.81</c:v>
                </c:pt>
                <c:pt idx="316">
                  <c:v>-80.709999999999994</c:v>
                </c:pt>
                <c:pt idx="317">
                  <c:v>-80.61</c:v>
                </c:pt>
                <c:pt idx="318">
                  <c:v>-80.709999999999994</c:v>
                </c:pt>
                <c:pt idx="319">
                  <c:v>-80.73</c:v>
                </c:pt>
                <c:pt idx="320">
                  <c:v>-80.75</c:v>
                </c:pt>
                <c:pt idx="321">
                  <c:v>-67.25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-67.319999999999993</c:v>
                </c:pt>
                <c:pt idx="334">
                  <c:v>-80.92</c:v>
                </c:pt>
                <c:pt idx="335">
                  <c:v>-80.709999999999994</c:v>
                </c:pt>
                <c:pt idx="336">
                  <c:v>-80.709999999999994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5-4E4D-B349-D9F2B9ED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0"/>
          <c:order val="2"/>
          <c:tx>
            <c:strRef>
              <c:f>'Dispatchable Renewable'!$F$1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2225" cap="rnd">
              <a:solidFill>
                <a:srgbClr val="D7153A"/>
              </a:solidFill>
              <a:round/>
            </a:ln>
            <a:effectLst/>
          </c:spPr>
          <c:marker>
            <c:symbol val="none"/>
          </c:marker>
          <c:cat>
            <c:strRef>
              <c:f>'Dispatchable Renewable'!$H$2:$H$338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'Dispatchable Renewable'!$F$2:$F$338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75-4E4D-B349-D9F2B9ED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796224"/>
        <c:axId val="1675793744"/>
      </c:lineChart>
      <c:dateAx>
        <c:axId val="133680616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yy\&#10;hh: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  <c:minorUnit val="24"/>
      </c:dateAx>
      <c:valAx>
        <c:axId val="164812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Electricity Generated - MW</a:t>
                </a:r>
                <a:endParaRPr lang="en-A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7.3494008979550765E-3"/>
              <c:y val="0.33465643944668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  <c:majorUnit val="1000"/>
      </c:valAx>
      <c:valAx>
        <c:axId val="1675793744"/>
        <c:scaling>
          <c:orientation val="minMax"/>
          <c:max val="3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Price</a:t>
                </a:r>
                <a:r>
                  <a:rPr lang="en-US" sz="1200" b="1" baseline="0"/>
                  <a:t> - AUD/MWh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98940110586117047"/>
              <c:y val="0.3980526617398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96224"/>
        <c:crosses val="max"/>
        <c:crossBetween val="between"/>
        <c:majorUnit val="40"/>
      </c:valAx>
      <c:catAx>
        <c:axId val="1675796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579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3413970499081688"/>
          <c:y val="0.93499137382376296"/>
          <c:w val="0.53230291535066554"/>
          <c:h val="5.9500621632822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Renewable Firming (discharing) and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81996567854527"/>
          <c:y val="0.14557693917335693"/>
          <c:w val="0.80879680155770561"/>
          <c:h val="0.67717610926640581"/>
        </c:manualLayout>
      </c:layout>
      <c:areaChart>
        <c:grouping val="stacked"/>
        <c:varyColors val="0"/>
        <c:ser>
          <c:idx val="0"/>
          <c:order val="0"/>
          <c:tx>
            <c:strRef>
              <c:f>'Dispatchable Renewable'!$D$1</c:f>
              <c:strCache>
                <c:ptCount val="1"/>
                <c:pt idx="0">
                  <c:v>Battery (Discharging) -  MW</c:v>
                </c:pt>
              </c:strCache>
            </c:strRef>
          </c:tx>
          <c:spPr>
            <a:solidFill>
              <a:srgbClr val="1F77B4"/>
            </a:solidFill>
            <a:ln w="25400">
              <a:noFill/>
            </a:ln>
            <a:effectLst/>
          </c:spPr>
          <c:cat>
            <c:strRef>
              <c:f>'Dispatchable Renewable'!$H$2:$H$338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'Dispatchable Renewable'!$D$2:$D$338</c:f>
              <c:numCache>
                <c:formatCode>#,##0</c:formatCode>
                <c:ptCount val="337"/>
                <c:pt idx="0">
                  <c:v>353.88</c:v>
                </c:pt>
                <c:pt idx="1">
                  <c:v>152.37</c:v>
                </c:pt>
                <c:pt idx="2">
                  <c:v>1.82</c:v>
                </c:pt>
                <c:pt idx="3">
                  <c:v>97.38</c:v>
                </c:pt>
                <c:pt idx="4">
                  <c:v>241.68</c:v>
                </c:pt>
                <c:pt idx="5">
                  <c:v>78.8</c:v>
                </c:pt>
                <c:pt idx="6">
                  <c:v>235.41</c:v>
                </c:pt>
                <c:pt idx="7">
                  <c:v>60.13</c:v>
                </c:pt>
                <c:pt idx="8">
                  <c:v>186.7</c:v>
                </c:pt>
                <c:pt idx="9">
                  <c:v>279.3</c:v>
                </c:pt>
                <c:pt idx="10">
                  <c:v>202.42</c:v>
                </c:pt>
                <c:pt idx="11">
                  <c:v>204.59</c:v>
                </c:pt>
                <c:pt idx="12">
                  <c:v>254.8</c:v>
                </c:pt>
                <c:pt idx="13">
                  <c:v>132.97999999999999</c:v>
                </c:pt>
                <c:pt idx="14">
                  <c:v>61.78</c:v>
                </c:pt>
                <c:pt idx="15">
                  <c:v>51.27</c:v>
                </c:pt>
                <c:pt idx="16">
                  <c:v>4.51</c:v>
                </c:pt>
                <c:pt idx="17">
                  <c:v>6.95</c:v>
                </c:pt>
                <c:pt idx="18">
                  <c:v>2.73</c:v>
                </c:pt>
                <c:pt idx="19">
                  <c:v>0.04</c:v>
                </c:pt>
                <c:pt idx="20">
                  <c:v>13.33</c:v>
                </c:pt>
                <c:pt idx="21">
                  <c:v>8.36</c:v>
                </c:pt>
                <c:pt idx="22">
                  <c:v>4.6500000000000004</c:v>
                </c:pt>
                <c:pt idx="23">
                  <c:v>5.28</c:v>
                </c:pt>
                <c:pt idx="24">
                  <c:v>5.2</c:v>
                </c:pt>
                <c:pt idx="25">
                  <c:v>1.08</c:v>
                </c:pt>
                <c:pt idx="26">
                  <c:v>2.64</c:v>
                </c:pt>
                <c:pt idx="27">
                  <c:v>3.17</c:v>
                </c:pt>
                <c:pt idx="28">
                  <c:v>2.41</c:v>
                </c:pt>
                <c:pt idx="29">
                  <c:v>2.5499999999999998</c:v>
                </c:pt>
                <c:pt idx="30">
                  <c:v>0</c:v>
                </c:pt>
                <c:pt idx="31">
                  <c:v>0.73</c:v>
                </c:pt>
                <c:pt idx="32">
                  <c:v>1.2</c:v>
                </c:pt>
                <c:pt idx="33">
                  <c:v>5.23</c:v>
                </c:pt>
                <c:pt idx="34">
                  <c:v>5.26</c:v>
                </c:pt>
                <c:pt idx="35">
                  <c:v>7.77</c:v>
                </c:pt>
                <c:pt idx="36">
                  <c:v>113.87</c:v>
                </c:pt>
                <c:pt idx="37">
                  <c:v>144.33000000000001</c:v>
                </c:pt>
                <c:pt idx="38">
                  <c:v>142.56</c:v>
                </c:pt>
                <c:pt idx="39">
                  <c:v>58.45</c:v>
                </c:pt>
                <c:pt idx="40">
                  <c:v>21.3</c:v>
                </c:pt>
                <c:pt idx="41">
                  <c:v>2.87</c:v>
                </c:pt>
                <c:pt idx="42">
                  <c:v>14.61</c:v>
                </c:pt>
                <c:pt idx="43">
                  <c:v>4.43</c:v>
                </c:pt>
                <c:pt idx="44">
                  <c:v>0.02</c:v>
                </c:pt>
                <c:pt idx="45">
                  <c:v>0</c:v>
                </c:pt>
                <c:pt idx="46">
                  <c:v>0.54</c:v>
                </c:pt>
                <c:pt idx="47">
                  <c:v>0.08</c:v>
                </c:pt>
                <c:pt idx="48">
                  <c:v>0.92</c:v>
                </c:pt>
                <c:pt idx="49">
                  <c:v>1.02</c:v>
                </c:pt>
                <c:pt idx="50">
                  <c:v>1.95</c:v>
                </c:pt>
                <c:pt idx="51">
                  <c:v>2.19</c:v>
                </c:pt>
                <c:pt idx="52">
                  <c:v>3.43</c:v>
                </c:pt>
                <c:pt idx="53">
                  <c:v>7.54</c:v>
                </c:pt>
                <c:pt idx="54">
                  <c:v>7.59</c:v>
                </c:pt>
                <c:pt idx="55">
                  <c:v>9.9700000000000006</c:v>
                </c:pt>
                <c:pt idx="56">
                  <c:v>229.5</c:v>
                </c:pt>
                <c:pt idx="57">
                  <c:v>393.4</c:v>
                </c:pt>
                <c:pt idx="58">
                  <c:v>444.85</c:v>
                </c:pt>
                <c:pt idx="59">
                  <c:v>379.29</c:v>
                </c:pt>
                <c:pt idx="60">
                  <c:v>293.07</c:v>
                </c:pt>
                <c:pt idx="61">
                  <c:v>168.81</c:v>
                </c:pt>
                <c:pt idx="62">
                  <c:v>33.909999999999997</c:v>
                </c:pt>
                <c:pt idx="63">
                  <c:v>2.81</c:v>
                </c:pt>
                <c:pt idx="64">
                  <c:v>6.24</c:v>
                </c:pt>
                <c:pt idx="65">
                  <c:v>2.4500000000000002</c:v>
                </c:pt>
                <c:pt idx="66">
                  <c:v>1.79</c:v>
                </c:pt>
                <c:pt idx="67">
                  <c:v>5.14</c:v>
                </c:pt>
                <c:pt idx="68">
                  <c:v>11.09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0.25</c:v>
                </c:pt>
                <c:pt idx="72">
                  <c:v>1.57</c:v>
                </c:pt>
                <c:pt idx="73">
                  <c:v>1.5</c:v>
                </c:pt>
                <c:pt idx="74">
                  <c:v>2.14</c:v>
                </c:pt>
                <c:pt idx="75">
                  <c:v>2.73</c:v>
                </c:pt>
                <c:pt idx="76">
                  <c:v>1.41</c:v>
                </c:pt>
                <c:pt idx="77">
                  <c:v>2.25</c:v>
                </c:pt>
                <c:pt idx="78">
                  <c:v>0.73</c:v>
                </c:pt>
                <c:pt idx="79">
                  <c:v>1</c:v>
                </c:pt>
                <c:pt idx="80">
                  <c:v>1.95</c:v>
                </c:pt>
                <c:pt idx="81">
                  <c:v>1.82</c:v>
                </c:pt>
                <c:pt idx="82">
                  <c:v>3.8</c:v>
                </c:pt>
                <c:pt idx="83">
                  <c:v>2.5099999999999998</c:v>
                </c:pt>
                <c:pt idx="84">
                  <c:v>1.74</c:v>
                </c:pt>
                <c:pt idx="85">
                  <c:v>0</c:v>
                </c:pt>
                <c:pt idx="86">
                  <c:v>0.14000000000000001</c:v>
                </c:pt>
                <c:pt idx="87">
                  <c:v>1.99</c:v>
                </c:pt>
                <c:pt idx="88">
                  <c:v>2.16</c:v>
                </c:pt>
                <c:pt idx="89">
                  <c:v>6.16</c:v>
                </c:pt>
                <c:pt idx="90">
                  <c:v>2.61</c:v>
                </c:pt>
                <c:pt idx="91">
                  <c:v>7.44</c:v>
                </c:pt>
                <c:pt idx="92">
                  <c:v>3.18</c:v>
                </c:pt>
                <c:pt idx="93">
                  <c:v>3.99</c:v>
                </c:pt>
                <c:pt idx="94">
                  <c:v>0.74</c:v>
                </c:pt>
                <c:pt idx="95">
                  <c:v>1.59</c:v>
                </c:pt>
                <c:pt idx="96">
                  <c:v>0.3</c:v>
                </c:pt>
                <c:pt idx="97">
                  <c:v>0.96</c:v>
                </c:pt>
                <c:pt idx="98">
                  <c:v>0.4</c:v>
                </c:pt>
                <c:pt idx="99">
                  <c:v>0.48</c:v>
                </c:pt>
                <c:pt idx="100">
                  <c:v>1.42</c:v>
                </c:pt>
                <c:pt idx="101">
                  <c:v>0.95</c:v>
                </c:pt>
                <c:pt idx="102">
                  <c:v>1.91</c:v>
                </c:pt>
                <c:pt idx="103">
                  <c:v>1.72</c:v>
                </c:pt>
                <c:pt idx="104">
                  <c:v>4.62</c:v>
                </c:pt>
                <c:pt idx="105">
                  <c:v>207.02</c:v>
                </c:pt>
                <c:pt idx="106">
                  <c:v>309.89999999999998</c:v>
                </c:pt>
                <c:pt idx="107">
                  <c:v>420.47</c:v>
                </c:pt>
                <c:pt idx="108">
                  <c:v>352.46</c:v>
                </c:pt>
                <c:pt idx="109">
                  <c:v>293.27</c:v>
                </c:pt>
                <c:pt idx="110">
                  <c:v>168.55</c:v>
                </c:pt>
                <c:pt idx="111">
                  <c:v>43.64</c:v>
                </c:pt>
                <c:pt idx="112">
                  <c:v>21.47</c:v>
                </c:pt>
                <c:pt idx="113">
                  <c:v>10.91</c:v>
                </c:pt>
                <c:pt idx="114">
                  <c:v>2.4300000000000002</c:v>
                </c:pt>
                <c:pt idx="115">
                  <c:v>1.77</c:v>
                </c:pt>
                <c:pt idx="116">
                  <c:v>3.37</c:v>
                </c:pt>
                <c:pt idx="117">
                  <c:v>1.39</c:v>
                </c:pt>
                <c:pt idx="118">
                  <c:v>1.05</c:v>
                </c:pt>
                <c:pt idx="119">
                  <c:v>0.6</c:v>
                </c:pt>
                <c:pt idx="120">
                  <c:v>0.18</c:v>
                </c:pt>
                <c:pt idx="121">
                  <c:v>1.05</c:v>
                </c:pt>
                <c:pt idx="122">
                  <c:v>0.28999999999999998</c:v>
                </c:pt>
                <c:pt idx="123">
                  <c:v>0.35</c:v>
                </c:pt>
                <c:pt idx="124">
                  <c:v>1.51</c:v>
                </c:pt>
                <c:pt idx="125">
                  <c:v>1.01</c:v>
                </c:pt>
                <c:pt idx="126">
                  <c:v>1.59</c:v>
                </c:pt>
                <c:pt idx="127">
                  <c:v>11.02</c:v>
                </c:pt>
                <c:pt idx="128">
                  <c:v>0.69</c:v>
                </c:pt>
                <c:pt idx="129">
                  <c:v>5.82</c:v>
                </c:pt>
                <c:pt idx="130">
                  <c:v>4.59</c:v>
                </c:pt>
                <c:pt idx="131">
                  <c:v>83.72</c:v>
                </c:pt>
                <c:pt idx="132">
                  <c:v>146.22999999999999</c:v>
                </c:pt>
                <c:pt idx="133">
                  <c:v>240.67</c:v>
                </c:pt>
                <c:pt idx="134">
                  <c:v>89.95</c:v>
                </c:pt>
                <c:pt idx="135">
                  <c:v>80.38</c:v>
                </c:pt>
                <c:pt idx="136">
                  <c:v>1.1599999999999999</c:v>
                </c:pt>
                <c:pt idx="137">
                  <c:v>0.81</c:v>
                </c:pt>
                <c:pt idx="138">
                  <c:v>1.08</c:v>
                </c:pt>
                <c:pt idx="139">
                  <c:v>2.21</c:v>
                </c:pt>
                <c:pt idx="140">
                  <c:v>1.74</c:v>
                </c:pt>
                <c:pt idx="141">
                  <c:v>0.02</c:v>
                </c:pt>
                <c:pt idx="142">
                  <c:v>0.31</c:v>
                </c:pt>
                <c:pt idx="143">
                  <c:v>275.94</c:v>
                </c:pt>
                <c:pt idx="144">
                  <c:v>47.4</c:v>
                </c:pt>
                <c:pt idx="145">
                  <c:v>1.51</c:v>
                </c:pt>
                <c:pt idx="146">
                  <c:v>0.09</c:v>
                </c:pt>
                <c:pt idx="147">
                  <c:v>0.33</c:v>
                </c:pt>
                <c:pt idx="148">
                  <c:v>143.33000000000001</c:v>
                </c:pt>
                <c:pt idx="149">
                  <c:v>281.5</c:v>
                </c:pt>
                <c:pt idx="150">
                  <c:v>245.71</c:v>
                </c:pt>
                <c:pt idx="151">
                  <c:v>15.72</c:v>
                </c:pt>
                <c:pt idx="152">
                  <c:v>8.73</c:v>
                </c:pt>
                <c:pt idx="153">
                  <c:v>19.29</c:v>
                </c:pt>
                <c:pt idx="154">
                  <c:v>80.709999999999994</c:v>
                </c:pt>
                <c:pt idx="155">
                  <c:v>147.34</c:v>
                </c:pt>
                <c:pt idx="156">
                  <c:v>232.35</c:v>
                </c:pt>
                <c:pt idx="157">
                  <c:v>158.43</c:v>
                </c:pt>
                <c:pt idx="158">
                  <c:v>98.18</c:v>
                </c:pt>
                <c:pt idx="159">
                  <c:v>17.59</c:v>
                </c:pt>
                <c:pt idx="160">
                  <c:v>2</c:v>
                </c:pt>
                <c:pt idx="161">
                  <c:v>2.0699999999999998</c:v>
                </c:pt>
                <c:pt idx="162">
                  <c:v>0.06</c:v>
                </c:pt>
                <c:pt idx="163">
                  <c:v>1.25</c:v>
                </c:pt>
                <c:pt idx="164">
                  <c:v>0.87</c:v>
                </c:pt>
                <c:pt idx="165">
                  <c:v>0.96</c:v>
                </c:pt>
                <c:pt idx="166">
                  <c:v>0.49</c:v>
                </c:pt>
                <c:pt idx="167">
                  <c:v>0.34</c:v>
                </c:pt>
                <c:pt idx="168">
                  <c:v>0.37</c:v>
                </c:pt>
                <c:pt idx="169">
                  <c:v>0.54</c:v>
                </c:pt>
                <c:pt idx="170">
                  <c:v>0.25</c:v>
                </c:pt>
                <c:pt idx="171">
                  <c:v>0.28999999999999998</c:v>
                </c:pt>
                <c:pt idx="172">
                  <c:v>3.79</c:v>
                </c:pt>
                <c:pt idx="173">
                  <c:v>3.86</c:v>
                </c:pt>
                <c:pt idx="174">
                  <c:v>0.03</c:v>
                </c:pt>
                <c:pt idx="175">
                  <c:v>0.57999999999999996</c:v>
                </c:pt>
                <c:pt idx="176">
                  <c:v>4.05</c:v>
                </c:pt>
                <c:pt idx="177">
                  <c:v>1.85</c:v>
                </c:pt>
                <c:pt idx="178">
                  <c:v>0.38</c:v>
                </c:pt>
                <c:pt idx="179">
                  <c:v>6.6</c:v>
                </c:pt>
                <c:pt idx="180">
                  <c:v>40.520000000000003</c:v>
                </c:pt>
                <c:pt idx="181">
                  <c:v>139.94</c:v>
                </c:pt>
                <c:pt idx="182">
                  <c:v>266.73</c:v>
                </c:pt>
                <c:pt idx="183">
                  <c:v>194.55</c:v>
                </c:pt>
                <c:pt idx="184">
                  <c:v>146.44999999999999</c:v>
                </c:pt>
                <c:pt idx="185">
                  <c:v>30.23</c:v>
                </c:pt>
                <c:pt idx="186">
                  <c:v>2.73</c:v>
                </c:pt>
                <c:pt idx="187">
                  <c:v>32.299999999999997</c:v>
                </c:pt>
                <c:pt idx="188">
                  <c:v>14.56</c:v>
                </c:pt>
                <c:pt idx="189">
                  <c:v>186.4</c:v>
                </c:pt>
                <c:pt idx="190">
                  <c:v>276.32</c:v>
                </c:pt>
                <c:pt idx="191">
                  <c:v>140.53</c:v>
                </c:pt>
                <c:pt idx="192">
                  <c:v>1.1000000000000001</c:v>
                </c:pt>
                <c:pt idx="193">
                  <c:v>1.71</c:v>
                </c:pt>
                <c:pt idx="194">
                  <c:v>0.14000000000000001</c:v>
                </c:pt>
                <c:pt idx="195">
                  <c:v>48.38</c:v>
                </c:pt>
                <c:pt idx="196">
                  <c:v>49.75</c:v>
                </c:pt>
                <c:pt idx="197">
                  <c:v>18.43</c:v>
                </c:pt>
                <c:pt idx="198">
                  <c:v>144.30000000000001</c:v>
                </c:pt>
                <c:pt idx="199">
                  <c:v>18.46</c:v>
                </c:pt>
                <c:pt idx="200">
                  <c:v>126.24</c:v>
                </c:pt>
                <c:pt idx="201">
                  <c:v>116.18</c:v>
                </c:pt>
                <c:pt idx="202">
                  <c:v>186.82</c:v>
                </c:pt>
                <c:pt idx="203">
                  <c:v>172.06</c:v>
                </c:pt>
                <c:pt idx="204">
                  <c:v>228.5</c:v>
                </c:pt>
                <c:pt idx="205">
                  <c:v>115.27</c:v>
                </c:pt>
                <c:pt idx="206">
                  <c:v>26.49</c:v>
                </c:pt>
                <c:pt idx="207">
                  <c:v>2.1800000000000002</c:v>
                </c:pt>
                <c:pt idx="208">
                  <c:v>51.99</c:v>
                </c:pt>
                <c:pt idx="209">
                  <c:v>38.4</c:v>
                </c:pt>
                <c:pt idx="210">
                  <c:v>9.33</c:v>
                </c:pt>
                <c:pt idx="211">
                  <c:v>0.96</c:v>
                </c:pt>
                <c:pt idx="212">
                  <c:v>88.99</c:v>
                </c:pt>
                <c:pt idx="213">
                  <c:v>19.87</c:v>
                </c:pt>
                <c:pt idx="214">
                  <c:v>0.57999999999999996</c:v>
                </c:pt>
                <c:pt idx="215">
                  <c:v>1.87</c:v>
                </c:pt>
                <c:pt idx="216">
                  <c:v>0.11</c:v>
                </c:pt>
                <c:pt idx="217">
                  <c:v>1.17</c:v>
                </c:pt>
                <c:pt idx="218">
                  <c:v>3.33</c:v>
                </c:pt>
                <c:pt idx="219">
                  <c:v>3.31</c:v>
                </c:pt>
                <c:pt idx="220">
                  <c:v>3.86</c:v>
                </c:pt>
                <c:pt idx="221">
                  <c:v>3.74</c:v>
                </c:pt>
                <c:pt idx="222">
                  <c:v>0.05</c:v>
                </c:pt>
                <c:pt idx="223">
                  <c:v>0.6</c:v>
                </c:pt>
                <c:pt idx="224">
                  <c:v>0.59</c:v>
                </c:pt>
                <c:pt idx="225">
                  <c:v>1.36</c:v>
                </c:pt>
                <c:pt idx="226">
                  <c:v>2.0299999999999998</c:v>
                </c:pt>
                <c:pt idx="227">
                  <c:v>19.12</c:v>
                </c:pt>
                <c:pt idx="228">
                  <c:v>96.17</c:v>
                </c:pt>
                <c:pt idx="229">
                  <c:v>167.76</c:v>
                </c:pt>
                <c:pt idx="230">
                  <c:v>125.37</c:v>
                </c:pt>
                <c:pt idx="231">
                  <c:v>133.88999999999999</c:v>
                </c:pt>
                <c:pt idx="232">
                  <c:v>77.94</c:v>
                </c:pt>
                <c:pt idx="233">
                  <c:v>37.97</c:v>
                </c:pt>
                <c:pt idx="234">
                  <c:v>6.25</c:v>
                </c:pt>
                <c:pt idx="235">
                  <c:v>0.53</c:v>
                </c:pt>
                <c:pt idx="236">
                  <c:v>0.03</c:v>
                </c:pt>
                <c:pt idx="237">
                  <c:v>137.94999999999999</c:v>
                </c:pt>
                <c:pt idx="238">
                  <c:v>129.59</c:v>
                </c:pt>
                <c:pt idx="239">
                  <c:v>0.75</c:v>
                </c:pt>
                <c:pt idx="240">
                  <c:v>1.18</c:v>
                </c:pt>
                <c:pt idx="241">
                  <c:v>0.42</c:v>
                </c:pt>
                <c:pt idx="242">
                  <c:v>17.059999999999999</c:v>
                </c:pt>
                <c:pt idx="243">
                  <c:v>1.87</c:v>
                </c:pt>
                <c:pt idx="244">
                  <c:v>1.87</c:v>
                </c:pt>
                <c:pt idx="245">
                  <c:v>6.61</c:v>
                </c:pt>
                <c:pt idx="246">
                  <c:v>32.04</c:v>
                </c:pt>
                <c:pt idx="247">
                  <c:v>46.69</c:v>
                </c:pt>
                <c:pt idx="248">
                  <c:v>117.61</c:v>
                </c:pt>
                <c:pt idx="249">
                  <c:v>269.66000000000003</c:v>
                </c:pt>
                <c:pt idx="250">
                  <c:v>307.17</c:v>
                </c:pt>
                <c:pt idx="251">
                  <c:v>253.76</c:v>
                </c:pt>
                <c:pt idx="252">
                  <c:v>241.43</c:v>
                </c:pt>
                <c:pt idx="253">
                  <c:v>186.71</c:v>
                </c:pt>
                <c:pt idx="254">
                  <c:v>65.61</c:v>
                </c:pt>
                <c:pt idx="255">
                  <c:v>38.51</c:v>
                </c:pt>
                <c:pt idx="256">
                  <c:v>19.989999999999998</c:v>
                </c:pt>
                <c:pt idx="257">
                  <c:v>4.79</c:v>
                </c:pt>
                <c:pt idx="258">
                  <c:v>0.43</c:v>
                </c:pt>
                <c:pt idx="259">
                  <c:v>5.94</c:v>
                </c:pt>
                <c:pt idx="260">
                  <c:v>6.51</c:v>
                </c:pt>
                <c:pt idx="261">
                  <c:v>0.17</c:v>
                </c:pt>
                <c:pt idx="262">
                  <c:v>0.15</c:v>
                </c:pt>
                <c:pt idx="263">
                  <c:v>1.59</c:v>
                </c:pt>
                <c:pt idx="264">
                  <c:v>3.05</c:v>
                </c:pt>
                <c:pt idx="265">
                  <c:v>0.6</c:v>
                </c:pt>
                <c:pt idx="266">
                  <c:v>1.62</c:v>
                </c:pt>
                <c:pt idx="267">
                  <c:v>0.28999999999999998</c:v>
                </c:pt>
                <c:pt idx="268">
                  <c:v>0.19</c:v>
                </c:pt>
                <c:pt idx="269">
                  <c:v>0.42</c:v>
                </c:pt>
                <c:pt idx="270">
                  <c:v>0.71</c:v>
                </c:pt>
                <c:pt idx="271">
                  <c:v>0.53</c:v>
                </c:pt>
                <c:pt idx="272">
                  <c:v>0.45</c:v>
                </c:pt>
                <c:pt idx="273">
                  <c:v>0.62</c:v>
                </c:pt>
                <c:pt idx="274">
                  <c:v>0.39</c:v>
                </c:pt>
                <c:pt idx="275">
                  <c:v>6.89</c:v>
                </c:pt>
                <c:pt idx="276">
                  <c:v>40.200000000000003</c:v>
                </c:pt>
                <c:pt idx="277">
                  <c:v>114.13</c:v>
                </c:pt>
                <c:pt idx="278">
                  <c:v>41.37</c:v>
                </c:pt>
                <c:pt idx="279">
                  <c:v>130</c:v>
                </c:pt>
                <c:pt idx="280">
                  <c:v>68.739999999999995</c:v>
                </c:pt>
                <c:pt idx="281">
                  <c:v>240</c:v>
                </c:pt>
                <c:pt idx="282">
                  <c:v>278.85000000000002</c:v>
                </c:pt>
                <c:pt idx="283">
                  <c:v>37.770000000000003</c:v>
                </c:pt>
                <c:pt idx="284">
                  <c:v>2.42</c:v>
                </c:pt>
                <c:pt idx="285">
                  <c:v>0.64</c:v>
                </c:pt>
                <c:pt idx="286">
                  <c:v>36.93</c:v>
                </c:pt>
                <c:pt idx="287">
                  <c:v>9.25</c:v>
                </c:pt>
                <c:pt idx="288">
                  <c:v>0.38</c:v>
                </c:pt>
                <c:pt idx="289">
                  <c:v>0.51</c:v>
                </c:pt>
                <c:pt idx="290">
                  <c:v>4.05</c:v>
                </c:pt>
                <c:pt idx="291">
                  <c:v>2.91</c:v>
                </c:pt>
                <c:pt idx="292">
                  <c:v>19.100000000000001</c:v>
                </c:pt>
                <c:pt idx="293">
                  <c:v>5.82</c:v>
                </c:pt>
                <c:pt idx="294">
                  <c:v>6.11</c:v>
                </c:pt>
                <c:pt idx="295">
                  <c:v>6.49</c:v>
                </c:pt>
                <c:pt idx="296">
                  <c:v>0.78</c:v>
                </c:pt>
                <c:pt idx="297">
                  <c:v>48.3</c:v>
                </c:pt>
                <c:pt idx="298">
                  <c:v>148.81</c:v>
                </c:pt>
                <c:pt idx="299">
                  <c:v>225.61</c:v>
                </c:pt>
                <c:pt idx="300">
                  <c:v>194.77</c:v>
                </c:pt>
                <c:pt idx="301">
                  <c:v>175.64</c:v>
                </c:pt>
                <c:pt idx="302">
                  <c:v>50.57</c:v>
                </c:pt>
                <c:pt idx="303">
                  <c:v>59.39</c:v>
                </c:pt>
                <c:pt idx="304">
                  <c:v>21.79</c:v>
                </c:pt>
                <c:pt idx="305">
                  <c:v>44.87</c:v>
                </c:pt>
                <c:pt idx="306">
                  <c:v>18.8</c:v>
                </c:pt>
                <c:pt idx="307">
                  <c:v>5.35</c:v>
                </c:pt>
                <c:pt idx="308">
                  <c:v>3.78</c:v>
                </c:pt>
                <c:pt idx="309">
                  <c:v>0.21</c:v>
                </c:pt>
                <c:pt idx="310">
                  <c:v>0.72</c:v>
                </c:pt>
                <c:pt idx="311">
                  <c:v>0.13</c:v>
                </c:pt>
                <c:pt idx="312">
                  <c:v>0.28999999999999998</c:v>
                </c:pt>
                <c:pt idx="313">
                  <c:v>0.1</c:v>
                </c:pt>
                <c:pt idx="314">
                  <c:v>0.06</c:v>
                </c:pt>
                <c:pt idx="315">
                  <c:v>0.16</c:v>
                </c:pt>
                <c:pt idx="316">
                  <c:v>0.13</c:v>
                </c:pt>
                <c:pt idx="317">
                  <c:v>0.42</c:v>
                </c:pt>
                <c:pt idx="318">
                  <c:v>0.75</c:v>
                </c:pt>
                <c:pt idx="319">
                  <c:v>0.44</c:v>
                </c:pt>
                <c:pt idx="320">
                  <c:v>0.42</c:v>
                </c:pt>
                <c:pt idx="321">
                  <c:v>3</c:v>
                </c:pt>
                <c:pt idx="322">
                  <c:v>0.28999999999999998</c:v>
                </c:pt>
                <c:pt idx="323">
                  <c:v>6.73</c:v>
                </c:pt>
                <c:pt idx="324">
                  <c:v>0.49</c:v>
                </c:pt>
                <c:pt idx="325">
                  <c:v>125</c:v>
                </c:pt>
                <c:pt idx="326">
                  <c:v>159.91</c:v>
                </c:pt>
                <c:pt idx="327">
                  <c:v>118.35</c:v>
                </c:pt>
                <c:pt idx="328">
                  <c:v>89.09</c:v>
                </c:pt>
                <c:pt idx="329">
                  <c:v>41.4</c:v>
                </c:pt>
                <c:pt idx="330">
                  <c:v>0.19</c:v>
                </c:pt>
                <c:pt idx="331">
                  <c:v>2.9</c:v>
                </c:pt>
                <c:pt idx="332">
                  <c:v>1.58</c:v>
                </c:pt>
                <c:pt idx="333">
                  <c:v>30.87</c:v>
                </c:pt>
                <c:pt idx="334">
                  <c:v>0.2</c:v>
                </c:pt>
                <c:pt idx="335">
                  <c:v>65.849999999999994</c:v>
                </c:pt>
                <c:pt idx="336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0-2849-AFF1-9B79C8CECCCA}"/>
            </c:ext>
          </c:extLst>
        </c:ser>
        <c:ser>
          <c:idx val="1"/>
          <c:order val="1"/>
          <c:tx>
            <c:strRef>
              <c:f>'Dispatchable Renewable'!$E$1</c:f>
              <c:strCache>
                <c:ptCount val="1"/>
                <c:pt idx="0">
                  <c:v>Hydro -  MW</c:v>
                </c:pt>
              </c:strCache>
            </c:strRef>
          </c:tx>
          <c:spPr>
            <a:solidFill>
              <a:srgbClr val="AEC7E8"/>
            </a:solidFill>
            <a:ln w="25400">
              <a:noFill/>
            </a:ln>
            <a:effectLst/>
          </c:spPr>
          <c:cat>
            <c:strRef>
              <c:f>'Dispatchable Renewable'!$H$2:$H$338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'Dispatchable Renewable'!$E$2:$E$338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11.96</c:v>
                </c:pt>
                <c:pt idx="8">
                  <c:v>76.8</c:v>
                </c:pt>
                <c:pt idx="9">
                  <c:v>506.54</c:v>
                </c:pt>
                <c:pt idx="10">
                  <c:v>692.02</c:v>
                </c:pt>
                <c:pt idx="11">
                  <c:v>993.21</c:v>
                </c:pt>
                <c:pt idx="12">
                  <c:v>941.37</c:v>
                </c:pt>
                <c:pt idx="13">
                  <c:v>961.9</c:v>
                </c:pt>
                <c:pt idx="14">
                  <c:v>967.99</c:v>
                </c:pt>
                <c:pt idx="15">
                  <c:v>963.75</c:v>
                </c:pt>
                <c:pt idx="16">
                  <c:v>940.19</c:v>
                </c:pt>
                <c:pt idx="17">
                  <c:v>890.52</c:v>
                </c:pt>
                <c:pt idx="18">
                  <c:v>579.07000000000005</c:v>
                </c:pt>
                <c:pt idx="19">
                  <c:v>453.65</c:v>
                </c:pt>
                <c:pt idx="20">
                  <c:v>419</c:v>
                </c:pt>
                <c:pt idx="21">
                  <c:v>426.01</c:v>
                </c:pt>
                <c:pt idx="22">
                  <c:v>266.63</c:v>
                </c:pt>
                <c:pt idx="23">
                  <c:v>368.5</c:v>
                </c:pt>
                <c:pt idx="24">
                  <c:v>550.14</c:v>
                </c:pt>
                <c:pt idx="25">
                  <c:v>554.45000000000005</c:v>
                </c:pt>
                <c:pt idx="26">
                  <c:v>345.43</c:v>
                </c:pt>
                <c:pt idx="27">
                  <c:v>245.01</c:v>
                </c:pt>
                <c:pt idx="28">
                  <c:v>268.77</c:v>
                </c:pt>
                <c:pt idx="29">
                  <c:v>154.43</c:v>
                </c:pt>
                <c:pt idx="30">
                  <c:v>146.91999999999999</c:v>
                </c:pt>
                <c:pt idx="31">
                  <c:v>151.85</c:v>
                </c:pt>
                <c:pt idx="32">
                  <c:v>161.01</c:v>
                </c:pt>
                <c:pt idx="33">
                  <c:v>165.47</c:v>
                </c:pt>
                <c:pt idx="34">
                  <c:v>246.49</c:v>
                </c:pt>
                <c:pt idx="35">
                  <c:v>455.65</c:v>
                </c:pt>
                <c:pt idx="36">
                  <c:v>576.05999999999995</c:v>
                </c:pt>
                <c:pt idx="37">
                  <c:v>649.33000000000004</c:v>
                </c:pt>
                <c:pt idx="38">
                  <c:v>674.62</c:v>
                </c:pt>
                <c:pt idx="39">
                  <c:v>649.25</c:v>
                </c:pt>
                <c:pt idx="40">
                  <c:v>506.13</c:v>
                </c:pt>
                <c:pt idx="41">
                  <c:v>251.97</c:v>
                </c:pt>
                <c:pt idx="42">
                  <c:v>162.88</c:v>
                </c:pt>
                <c:pt idx="43">
                  <c:v>22.68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148.13</c:v>
                </c:pt>
                <c:pt idx="57">
                  <c:v>671.58</c:v>
                </c:pt>
                <c:pt idx="58">
                  <c:v>900.46</c:v>
                </c:pt>
                <c:pt idx="59">
                  <c:v>921.21</c:v>
                </c:pt>
                <c:pt idx="60">
                  <c:v>877.88</c:v>
                </c:pt>
                <c:pt idx="61">
                  <c:v>845.9</c:v>
                </c:pt>
                <c:pt idx="62">
                  <c:v>759.83</c:v>
                </c:pt>
                <c:pt idx="63">
                  <c:v>763.22</c:v>
                </c:pt>
                <c:pt idx="64">
                  <c:v>598.26</c:v>
                </c:pt>
                <c:pt idx="65">
                  <c:v>397.99</c:v>
                </c:pt>
                <c:pt idx="66">
                  <c:v>272.16000000000003</c:v>
                </c:pt>
                <c:pt idx="67">
                  <c:v>231.98</c:v>
                </c:pt>
                <c:pt idx="68">
                  <c:v>277.70999999999998</c:v>
                </c:pt>
                <c:pt idx="69">
                  <c:v>264.23</c:v>
                </c:pt>
                <c:pt idx="70">
                  <c:v>127.67</c:v>
                </c:pt>
                <c:pt idx="71">
                  <c:v>84.64</c:v>
                </c:pt>
                <c:pt idx="72">
                  <c:v>69.61</c:v>
                </c:pt>
                <c:pt idx="73">
                  <c:v>42.89</c:v>
                </c:pt>
                <c:pt idx="74">
                  <c:v>30.59</c:v>
                </c:pt>
                <c:pt idx="75">
                  <c:v>30.71</c:v>
                </c:pt>
                <c:pt idx="76">
                  <c:v>30.6</c:v>
                </c:pt>
                <c:pt idx="77">
                  <c:v>30.61</c:v>
                </c:pt>
                <c:pt idx="78">
                  <c:v>30.61</c:v>
                </c:pt>
                <c:pt idx="79">
                  <c:v>25.51</c:v>
                </c:pt>
                <c:pt idx="80">
                  <c:v>-0.32</c:v>
                </c:pt>
                <c:pt idx="81">
                  <c:v>-0.28000000000000003</c:v>
                </c:pt>
                <c:pt idx="82">
                  <c:v>-0.34</c:v>
                </c:pt>
                <c:pt idx="83">
                  <c:v>-0.32</c:v>
                </c:pt>
                <c:pt idx="84">
                  <c:v>6.56</c:v>
                </c:pt>
                <c:pt idx="85">
                  <c:v>44.21</c:v>
                </c:pt>
                <c:pt idx="86">
                  <c:v>23.47</c:v>
                </c:pt>
                <c:pt idx="87">
                  <c:v>-0.22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-0.06</c:v>
                </c:pt>
                <c:pt idx="104">
                  <c:v>48.43</c:v>
                </c:pt>
                <c:pt idx="105">
                  <c:v>248.33</c:v>
                </c:pt>
                <c:pt idx="106">
                  <c:v>604.82000000000005</c:v>
                </c:pt>
                <c:pt idx="107">
                  <c:v>654.4</c:v>
                </c:pt>
                <c:pt idx="108">
                  <c:v>667.13</c:v>
                </c:pt>
                <c:pt idx="109">
                  <c:v>512.80999999999995</c:v>
                </c:pt>
                <c:pt idx="110">
                  <c:v>516.33000000000004</c:v>
                </c:pt>
                <c:pt idx="111">
                  <c:v>485.39</c:v>
                </c:pt>
                <c:pt idx="112">
                  <c:v>418.43</c:v>
                </c:pt>
                <c:pt idx="113">
                  <c:v>210.94</c:v>
                </c:pt>
                <c:pt idx="114">
                  <c:v>48.35</c:v>
                </c:pt>
                <c:pt idx="115">
                  <c:v>30.8</c:v>
                </c:pt>
                <c:pt idx="116">
                  <c:v>31.03</c:v>
                </c:pt>
                <c:pt idx="117">
                  <c:v>30.94</c:v>
                </c:pt>
                <c:pt idx="118">
                  <c:v>30.87</c:v>
                </c:pt>
                <c:pt idx="119">
                  <c:v>30.93</c:v>
                </c:pt>
                <c:pt idx="120">
                  <c:v>25.74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-0.05</c:v>
                </c:pt>
                <c:pt idx="128">
                  <c:v>0</c:v>
                </c:pt>
                <c:pt idx="129">
                  <c:v>0</c:v>
                </c:pt>
                <c:pt idx="130">
                  <c:v>57.01</c:v>
                </c:pt>
                <c:pt idx="131">
                  <c:v>233.36</c:v>
                </c:pt>
                <c:pt idx="132">
                  <c:v>190.83</c:v>
                </c:pt>
                <c:pt idx="133">
                  <c:v>358.43</c:v>
                </c:pt>
                <c:pt idx="134">
                  <c:v>577.28</c:v>
                </c:pt>
                <c:pt idx="135">
                  <c:v>298.17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340.54</c:v>
                </c:pt>
                <c:pt idx="154">
                  <c:v>532.32000000000005</c:v>
                </c:pt>
                <c:pt idx="155">
                  <c:v>581.86</c:v>
                </c:pt>
                <c:pt idx="156">
                  <c:v>607.35</c:v>
                </c:pt>
                <c:pt idx="157">
                  <c:v>606.84</c:v>
                </c:pt>
                <c:pt idx="158">
                  <c:v>607.63</c:v>
                </c:pt>
                <c:pt idx="159">
                  <c:v>566.23</c:v>
                </c:pt>
                <c:pt idx="160">
                  <c:v>360.47</c:v>
                </c:pt>
                <c:pt idx="161">
                  <c:v>385.38</c:v>
                </c:pt>
                <c:pt idx="162">
                  <c:v>505.2</c:v>
                </c:pt>
                <c:pt idx="163">
                  <c:v>317.8</c:v>
                </c:pt>
                <c:pt idx="164">
                  <c:v>486.3</c:v>
                </c:pt>
                <c:pt idx="165">
                  <c:v>255.87</c:v>
                </c:pt>
                <c:pt idx="166">
                  <c:v>158.85</c:v>
                </c:pt>
                <c:pt idx="167">
                  <c:v>122.72</c:v>
                </c:pt>
                <c:pt idx="168">
                  <c:v>119.14</c:v>
                </c:pt>
                <c:pt idx="169">
                  <c:v>110.71</c:v>
                </c:pt>
                <c:pt idx="170">
                  <c:v>103.52</c:v>
                </c:pt>
                <c:pt idx="171">
                  <c:v>43.12</c:v>
                </c:pt>
                <c:pt idx="172">
                  <c:v>14.02</c:v>
                </c:pt>
                <c:pt idx="173">
                  <c:v>14.05</c:v>
                </c:pt>
                <c:pt idx="174">
                  <c:v>17.57</c:v>
                </c:pt>
                <c:pt idx="175">
                  <c:v>0</c:v>
                </c:pt>
                <c:pt idx="176">
                  <c:v>0</c:v>
                </c:pt>
                <c:pt idx="177">
                  <c:v>28.8</c:v>
                </c:pt>
                <c:pt idx="178">
                  <c:v>135.81</c:v>
                </c:pt>
                <c:pt idx="179">
                  <c:v>261.24</c:v>
                </c:pt>
                <c:pt idx="180">
                  <c:v>705.19</c:v>
                </c:pt>
                <c:pt idx="181">
                  <c:v>771.76</c:v>
                </c:pt>
                <c:pt idx="182">
                  <c:v>780.94</c:v>
                </c:pt>
                <c:pt idx="183">
                  <c:v>741.74</c:v>
                </c:pt>
                <c:pt idx="184">
                  <c:v>193.41</c:v>
                </c:pt>
                <c:pt idx="185">
                  <c:v>72.650000000000006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48.93</c:v>
                </c:pt>
                <c:pt idx="199">
                  <c:v>369.14</c:v>
                </c:pt>
                <c:pt idx="200">
                  <c:v>658.29</c:v>
                </c:pt>
                <c:pt idx="201">
                  <c:v>975.56</c:v>
                </c:pt>
                <c:pt idx="202">
                  <c:v>1210.01</c:v>
                </c:pt>
                <c:pt idx="203">
                  <c:v>1262.2</c:v>
                </c:pt>
                <c:pt idx="204">
                  <c:v>1389.42</c:v>
                </c:pt>
                <c:pt idx="205">
                  <c:v>1339.39</c:v>
                </c:pt>
                <c:pt idx="206">
                  <c:v>1225.48</c:v>
                </c:pt>
                <c:pt idx="207">
                  <c:v>1143.6500000000001</c:v>
                </c:pt>
                <c:pt idx="208">
                  <c:v>1059.47</c:v>
                </c:pt>
                <c:pt idx="209">
                  <c:v>927.6</c:v>
                </c:pt>
                <c:pt idx="210">
                  <c:v>870.78</c:v>
                </c:pt>
                <c:pt idx="211">
                  <c:v>623.46</c:v>
                </c:pt>
                <c:pt idx="212">
                  <c:v>600.72</c:v>
                </c:pt>
                <c:pt idx="213">
                  <c:v>538.44000000000005</c:v>
                </c:pt>
                <c:pt idx="214">
                  <c:v>372.84</c:v>
                </c:pt>
                <c:pt idx="215">
                  <c:v>302.93</c:v>
                </c:pt>
                <c:pt idx="216">
                  <c:v>226.89</c:v>
                </c:pt>
                <c:pt idx="217">
                  <c:v>74.290000000000006</c:v>
                </c:pt>
                <c:pt idx="218">
                  <c:v>76.22</c:v>
                </c:pt>
                <c:pt idx="219">
                  <c:v>59.41</c:v>
                </c:pt>
                <c:pt idx="220">
                  <c:v>27.58</c:v>
                </c:pt>
                <c:pt idx="221">
                  <c:v>4.97</c:v>
                </c:pt>
                <c:pt idx="222">
                  <c:v>0.28000000000000003</c:v>
                </c:pt>
                <c:pt idx="223">
                  <c:v>39.700000000000003</c:v>
                </c:pt>
                <c:pt idx="224">
                  <c:v>50.75</c:v>
                </c:pt>
                <c:pt idx="225">
                  <c:v>74.22</c:v>
                </c:pt>
                <c:pt idx="226">
                  <c:v>221.8</c:v>
                </c:pt>
                <c:pt idx="227">
                  <c:v>478.8</c:v>
                </c:pt>
                <c:pt idx="228">
                  <c:v>789.86</c:v>
                </c:pt>
                <c:pt idx="229">
                  <c:v>983.02</c:v>
                </c:pt>
                <c:pt idx="230">
                  <c:v>1089.02</c:v>
                </c:pt>
                <c:pt idx="231">
                  <c:v>843.08</c:v>
                </c:pt>
                <c:pt idx="232">
                  <c:v>243.18</c:v>
                </c:pt>
                <c:pt idx="233">
                  <c:v>80</c:v>
                </c:pt>
                <c:pt idx="234">
                  <c:v>32.31</c:v>
                </c:pt>
                <c:pt idx="235">
                  <c:v>34.25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360.59</c:v>
                </c:pt>
                <c:pt idx="249">
                  <c:v>873.38</c:v>
                </c:pt>
                <c:pt idx="250">
                  <c:v>1086.53</c:v>
                </c:pt>
                <c:pt idx="251">
                  <c:v>1265.21</c:v>
                </c:pt>
                <c:pt idx="252">
                  <c:v>1389.06</c:v>
                </c:pt>
                <c:pt idx="253">
                  <c:v>1433.19</c:v>
                </c:pt>
                <c:pt idx="254">
                  <c:v>1398.95</c:v>
                </c:pt>
                <c:pt idx="255">
                  <c:v>1178.3399999999999</c:v>
                </c:pt>
                <c:pt idx="256">
                  <c:v>1096.73</c:v>
                </c:pt>
                <c:pt idx="257">
                  <c:v>1021.54</c:v>
                </c:pt>
                <c:pt idx="258">
                  <c:v>819.09</c:v>
                </c:pt>
                <c:pt idx="259">
                  <c:v>540.91</c:v>
                </c:pt>
                <c:pt idx="260">
                  <c:v>506.52</c:v>
                </c:pt>
                <c:pt idx="261">
                  <c:v>346.11</c:v>
                </c:pt>
                <c:pt idx="262">
                  <c:v>280.95999999999998</c:v>
                </c:pt>
                <c:pt idx="263">
                  <c:v>258.74</c:v>
                </c:pt>
                <c:pt idx="264">
                  <c:v>255.46</c:v>
                </c:pt>
                <c:pt idx="265">
                  <c:v>244.72</c:v>
                </c:pt>
                <c:pt idx="266">
                  <c:v>179.58</c:v>
                </c:pt>
                <c:pt idx="267">
                  <c:v>106.65</c:v>
                </c:pt>
                <c:pt idx="268">
                  <c:v>99.53</c:v>
                </c:pt>
                <c:pt idx="269">
                  <c:v>113.11</c:v>
                </c:pt>
                <c:pt idx="270">
                  <c:v>85.95</c:v>
                </c:pt>
                <c:pt idx="271">
                  <c:v>67.39</c:v>
                </c:pt>
                <c:pt idx="272">
                  <c:v>181.98</c:v>
                </c:pt>
                <c:pt idx="273">
                  <c:v>175.05</c:v>
                </c:pt>
                <c:pt idx="274">
                  <c:v>195.19</c:v>
                </c:pt>
                <c:pt idx="275">
                  <c:v>246.57</c:v>
                </c:pt>
                <c:pt idx="276">
                  <c:v>397.02</c:v>
                </c:pt>
                <c:pt idx="277">
                  <c:v>557.1</c:v>
                </c:pt>
                <c:pt idx="278">
                  <c:v>679.26</c:v>
                </c:pt>
                <c:pt idx="279">
                  <c:v>395.6</c:v>
                </c:pt>
                <c:pt idx="280">
                  <c:v>218.88</c:v>
                </c:pt>
                <c:pt idx="281">
                  <c:v>101.15</c:v>
                </c:pt>
                <c:pt idx="282">
                  <c:v>11.25</c:v>
                </c:pt>
                <c:pt idx="283">
                  <c:v>29.64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20.54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62.31</c:v>
                </c:pt>
                <c:pt idx="297">
                  <c:v>528.14</c:v>
                </c:pt>
                <c:pt idx="298">
                  <c:v>781.62</c:v>
                </c:pt>
                <c:pt idx="299">
                  <c:v>839.56</c:v>
                </c:pt>
                <c:pt idx="300">
                  <c:v>863.3</c:v>
                </c:pt>
                <c:pt idx="301">
                  <c:v>876.02</c:v>
                </c:pt>
                <c:pt idx="302">
                  <c:v>876.66</c:v>
                </c:pt>
                <c:pt idx="303">
                  <c:v>866.48</c:v>
                </c:pt>
                <c:pt idx="304">
                  <c:v>837.13</c:v>
                </c:pt>
                <c:pt idx="305">
                  <c:v>621.15</c:v>
                </c:pt>
                <c:pt idx="306">
                  <c:v>560</c:v>
                </c:pt>
                <c:pt idx="307">
                  <c:v>238.7</c:v>
                </c:pt>
                <c:pt idx="308">
                  <c:v>25.97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43.07</c:v>
                </c:pt>
                <c:pt idx="323">
                  <c:v>250.05</c:v>
                </c:pt>
                <c:pt idx="324">
                  <c:v>288.27999999999997</c:v>
                </c:pt>
                <c:pt idx="325">
                  <c:v>328.44</c:v>
                </c:pt>
                <c:pt idx="326">
                  <c:v>402.95</c:v>
                </c:pt>
                <c:pt idx="327">
                  <c:v>590.59</c:v>
                </c:pt>
                <c:pt idx="328">
                  <c:v>483.07</c:v>
                </c:pt>
                <c:pt idx="329">
                  <c:v>335.99</c:v>
                </c:pt>
                <c:pt idx="330">
                  <c:v>0.08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10-2849-AFF1-9B79C8CEC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5"/>
          <c:order val="2"/>
          <c:tx>
            <c:strRef>
              <c:f>'Dispatchable Renewable'!$F$1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'Dispatchable Renewable'!$F$2:$F$338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10-2849-AFF1-9B79C8CEC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858816"/>
        <c:axId val="1669224640"/>
      </c:lineChart>
      <c:dateAx>
        <c:axId val="133680616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yy\&#10;h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  <c:minorUnit val="24"/>
      </c:dateAx>
      <c:valAx>
        <c:axId val="164812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Electricity Generated - MW</a:t>
                </a:r>
                <a:endParaRPr lang="en-A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7.3494008979550765E-3"/>
              <c:y val="0.33465643944668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669224640"/>
        <c:scaling>
          <c:orientation val="minMax"/>
          <c:max val="3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Spot Price AUD/Mh</a:t>
                </a:r>
                <a:endParaRPr lang="en-A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7337472797277491"/>
              <c:y val="0.330719182550070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58816"/>
        <c:crosses val="max"/>
        <c:crossBetween val="between"/>
        <c:majorUnit val="40"/>
      </c:valAx>
      <c:catAx>
        <c:axId val="1668858816"/>
        <c:scaling>
          <c:orientation val="minMax"/>
        </c:scaling>
        <c:delete val="1"/>
        <c:axPos val="b"/>
        <c:majorTickMark val="out"/>
        <c:minorTickMark val="none"/>
        <c:tickLblPos val="nextTo"/>
        <c:crossAx val="1669224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64863015309408"/>
          <c:y val="0.93777474635845959"/>
          <c:w val="0.53715770833701804"/>
          <c:h val="5.9500621632822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7-DE42-89BF-BAF4BA491847}"/>
            </c:ext>
          </c:extLst>
        </c:ser>
        <c:ser>
          <c:idx val="1"/>
          <c:order val="1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7-DE42-89BF-BAF4BA49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scatterChart>
        <c:scatterStyle val="smoothMarker"/>
        <c:varyColors val="0"/>
        <c:ser>
          <c:idx val="2"/>
          <c:order val="2"/>
          <c:tx>
            <c:strRef>
              <c:f>Wind!$G$1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Wind!$G$2:$G$338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97-DE42-89BF-BAF4BA49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90864"/>
        <c:axId val="1064601840"/>
      </c:scatterChart>
      <c:dateAx>
        <c:axId val="13368061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0646018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90864"/>
        <c:crosses val="max"/>
        <c:crossBetween val="midCat"/>
      </c:valAx>
      <c:valAx>
        <c:axId val="106459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64601840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5-7E46-B9B0-429C7796AF35}"/>
            </c:ext>
          </c:extLst>
        </c:ser>
        <c:ser>
          <c:idx val="0"/>
          <c:order val="1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5-7E46-B9B0-429C7796A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Wind!$G$1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Wind!$G$2:$G$338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B5-7E46-B9B0-429C7796A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1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Mix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6-CD4F-B180-A1CF4FFC54FA}"/>
            </c:ext>
          </c:extLst>
        </c:ser>
        <c:ser>
          <c:idx val="0"/>
          <c:order val="1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6-CD4F-B180-A1CF4FFC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2"/>
          <c:tx>
            <c:strRef>
              <c:f>Wind!$G$1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Wind!$G$2:$G$338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B6-CD4F-B180-A1CF4FFC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67664"/>
        <c:axId val="1597014368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597014368"/>
        <c:scaling>
          <c:orientation val="minMax"/>
          <c:max val="350"/>
          <c:min val="-5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67664"/>
        <c:crosses val="max"/>
        <c:crossBetween val="between"/>
      </c:valAx>
      <c:catAx>
        <c:axId val="138866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01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Renewable</a:t>
            </a:r>
            <a:r>
              <a:rPr lang="en-US" baseline="0"/>
              <a:t> Firming Against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B-F744-9323-5A7EAC6E5D72}"/>
            </c:ext>
          </c:extLst>
        </c:ser>
        <c:ser>
          <c:idx val="2"/>
          <c:order val="1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B-F744-9323-5A7EAC6E5D72}"/>
            </c:ext>
          </c:extLst>
        </c:ser>
        <c:ser>
          <c:idx val="0"/>
          <c:order val="2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B-F744-9323-5A7EAC6E5D72}"/>
            </c:ext>
          </c:extLst>
        </c:ser>
        <c:ser>
          <c:idx val="3"/>
          <c:order val="3"/>
          <c:tx>
            <c:strRef>
              <c:f>Wind!#REF!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Wind!#REF!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7B-F744-9323-5A7EAC6E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1"/>
          <c:order val="4"/>
          <c:tx>
            <c:strRef>
              <c:f>Wind!$G$1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Wind!$G$2:$G$338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7B-F744-9323-5A7EAC6E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06160"/>
        <c:axId val="1648128016"/>
      </c:lineChart>
      <c:dateAx>
        <c:axId val="1336806160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</c:dateAx>
      <c:valAx>
        <c:axId val="1648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Influence</a:t>
            </a:r>
            <a:r>
              <a:rPr lang="en-US" sz="1200" baseline="0"/>
              <a:t> of Wind on Spot Price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9183191664612022E-2"/>
          <c:y val="0.13507544587391568"/>
          <c:w val="0.82736088045920331"/>
          <c:h val="0.68470830510162706"/>
        </c:manualLayout>
      </c:layout>
      <c:areaChart>
        <c:grouping val="stacked"/>
        <c:varyColors val="0"/>
        <c:ser>
          <c:idx val="3"/>
          <c:order val="0"/>
          <c:tx>
            <c:strRef>
              <c:f>Wind!$B$1</c:f>
              <c:strCache>
                <c:ptCount val="1"/>
                <c:pt idx="0">
                  <c:v>Coal (Black) -  MW</c:v>
                </c:pt>
              </c:strCache>
            </c:strRef>
          </c:tx>
          <c:spPr>
            <a:solidFill>
              <a:srgbClr val="494949"/>
            </a:solidFill>
            <a:ln w="25400"/>
          </c:spPr>
          <c:cat>
            <c:strRef>
              <c:f>Wind!$I$2:$I$338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Wind!$B$2:$B$338</c:f>
              <c:numCache>
                <c:formatCode>#,##0</c:formatCode>
                <c:ptCount val="337"/>
                <c:pt idx="0">
                  <c:v>3381.98</c:v>
                </c:pt>
                <c:pt idx="1">
                  <c:v>3430.37</c:v>
                </c:pt>
                <c:pt idx="2">
                  <c:v>3463.22</c:v>
                </c:pt>
                <c:pt idx="3">
                  <c:v>3444.6</c:v>
                </c:pt>
                <c:pt idx="4">
                  <c:v>3513.54</c:v>
                </c:pt>
                <c:pt idx="5">
                  <c:v>3972.11</c:v>
                </c:pt>
                <c:pt idx="6">
                  <c:v>4521.03</c:v>
                </c:pt>
                <c:pt idx="7">
                  <c:v>5370.25</c:v>
                </c:pt>
                <c:pt idx="8">
                  <c:v>6233.9</c:v>
                </c:pt>
                <c:pt idx="9">
                  <c:v>6792.19</c:v>
                </c:pt>
                <c:pt idx="10">
                  <c:v>7173.65</c:v>
                </c:pt>
                <c:pt idx="11">
                  <c:v>7371.04</c:v>
                </c:pt>
                <c:pt idx="12">
                  <c:v>7404.26</c:v>
                </c:pt>
                <c:pt idx="13">
                  <c:v>7406.87</c:v>
                </c:pt>
                <c:pt idx="14">
                  <c:v>7405.12</c:v>
                </c:pt>
                <c:pt idx="15">
                  <c:v>7406.79</c:v>
                </c:pt>
                <c:pt idx="16">
                  <c:v>7394.76</c:v>
                </c:pt>
                <c:pt idx="17">
                  <c:v>7400.16</c:v>
                </c:pt>
                <c:pt idx="18">
                  <c:v>7394.61</c:v>
                </c:pt>
                <c:pt idx="19">
                  <c:v>7344.47</c:v>
                </c:pt>
                <c:pt idx="20">
                  <c:v>7331.12</c:v>
                </c:pt>
                <c:pt idx="21">
                  <c:v>7136.3</c:v>
                </c:pt>
                <c:pt idx="22">
                  <c:v>6924.32</c:v>
                </c:pt>
                <c:pt idx="23">
                  <c:v>6706.91</c:v>
                </c:pt>
                <c:pt idx="24">
                  <c:v>6653.65</c:v>
                </c:pt>
                <c:pt idx="25">
                  <c:v>6514.32</c:v>
                </c:pt>
                <c:pt idx="26">
                  <c:v>6333.29</c:v>
                </c:pt>
                <c:pt idx="27">
                  <c:v>6183.43</c:v>
                </c:pt>
                <c:pt idx="28">
                  <c:v>6012.58</c:v>
                </c:pt>
                <c:pt idx="29">
                  <c:v>5886.86</c:v>
                </c:pt>
                <c:pt idx="30">
                  <c:v>5576.23</c:v>
                </c:pt>
                <c:pt idx="31">
                  <c:v>5208.9399999999996</c:v>
                </c:pt>
                <c:pt idx="32">
                  <c:v>4885.05</c:v>
                </c:pt>
                <c:pt idx="33">
                  <c:v>4551.1000000000004</c:v>
                </c:pt>
                <c:pt idx="34">
                  <c:v>4439.37</c:v>
                </c:pt>
                <c:pt idx="35">
                  <c:v>4467.91</c:v>
                </c:pt>
                <c:pt idx="36">
                  <c:v>4683.13</c:v>
                </c:pt>
                <c:pt idx="37">
                  <c:v>4935.49</c:v>
                </c:pt>
                <c:pt idx="38">
                  <c:v>5117.78</c:v>
                </c:pt>
                <c:pt idx="39">
                  <c:v>5303.66</c:v>
                </c:pt>
                <c:pt idx="40">
                  <c:v>5316.74</c:v>
                </c:pt>
                <c:pt idx="41">
                  <c:v>4978.33</c:v>
                </c:pt>
                <c:pt idx="42">
                  <c:v>4610.5200000000004</c:v>
                </c:pt>
                <c:pt idx="43">
                  <c:v>4159.3</c:v>
                </c:pt>
                <c:pt idx="44">
                  <c:v>3605.46</c:v>
                </c:pt>
                <c:pt idx="45">
                  <c:v>3174.08</c:v>
                </c:pt>
                <c:pt idx="46">
                  <c:v>3001.72</c:v>
                </c:pt>
                <c:pt idx="47">
                  <c:v>2956.86</c:v>
                </c:pt>
                <c:pt idx="48">
                  <c:v>2976.78</c:v>
                </c:pt>
                <c:pt idx="49">
                  <c:v>2954.66</c:v>
                </c:pt>
                <c:pt idx="50">
                  <c:v>2922.89</c:v>
                </c:pt>
                <c:pt idx="51">
                  <c:v>2930.97</c:v>
                </c:pt>
                <c:pt idx="52">
                  <c:v>2953.08</c:v>
                </c:pt>
                <c:pt idx="53">
                  <c:v>3081.65</c:v>
                </c:pt>
                <c:pt idx="54">
                  <c:v>3254.49</c:v>
                </c:pt>
                <c:pt idx="55">
                  <c:v>3737.21</c:v>
                </c:pt>
                <c:pt idx="56">
                  <c:v>4544.6099999999997</c:v>
                </c:pt>
                <c:pt idx="57">
                  <c:v>5435.55</c:v>
                </c:pt>
                <c:pt idx="58">
                  <c:v>6348.36</c:v>
                </c:pt>
                <c:pt idx="59">
                  <c:v>6998.02</c:v>
                </c:pt>
                <c:pt idx="60">
                  <c:v>7255.17</c:v>
                </c:pt>
                <c:pt idx="61">
                  <c:v>7304.28</c:v>
                </c:pt>
                <c:pt idx="62">
                  <c:v>7304.57</c:v>
                </c:pt>
                <c:pt idx="63">
                  <c:v>7305.94</c:v>
                </c:pt>
                <c:pt idx="64">
                  <c:v>7345.75</c:v>
                </c:pt>
                <c:pt idx="65">
                  <c:v>7322.64</c:v>
                </c:pt>
                <c:pt idx="66">
                  <c:v>7337.44</c:v>
                </c:pt>
                <c:pt idx="67">
                  <c:v>7279.91</c:v>
                </c:pt>
                <c:pt idx="68">
                  <c:v>7283.77</c:v>
                </c:pt>
                <c:pt idx="69">
                  <c:v>7263.7</c:v>
                </c:pt>
                <c:pt idx="70">
                  <c:v>7253.23</c:v>
                </c:pt>
                <c:pt idx="71">
                  <c:v>7003.96</c:v>
                </c:pt>
                <c:pt idx="72">
                  <c:v>6735.58</c:v>
                </c:pt>
                <c:pt idx="73">
                  <c:v>6466.19</c:v>
                </c:pt>
                <c:pt idx="74">
                  <c:v>6103.18</c:v>
                </c:pt>
                <c:pt idx="75">
                  <c:v>5914.4</c:v>
                </c:pt>
                <c:pt idx="76">
                  <c:v>5907.53</c:v>
                </c:pt>
                <c:pt idx="77">
                  <c:v>5740.51</c:v>
                </c:pt>
                <c:pt idx="78">
                  <c:v>5590.23</c:v>
                </c:pt>
                <c:pt idx="79">
                  <c:v>5569.67</c:v>
                </c:pt>
                <c:pt idx="80">
                  <c:v>5769.39</c:v>
                </c:pt>
                <c:pt idx="81">
                  <c:v>5952.8</c:v>
                </c:pt>
                <c:pt idx="82">
                  <c:v>6074.21</c:v>
                </c:pt>
                <c:pt idx="83">
                  <c:v>6290</c:v>
                </c:pt>
                <c:pt idx="84">
                  <c:v>6564.67</c:v>
                </c:pt>
                <c:pt idx="85">
                  <c:v>6830.02</c:v>
                </c:pt>
                <c:pt idx="86">
                  <c:v>6744.1</c:v>
                </c:pt>
                <c:pt idx="87">
                  <c:v>5955.03</c:v>
                </c:pt>
                <c:pt idx="88">
                  <c:v>4894.42</c:v>
                </c:pt>
                <c:pt idx="89">
                  <c:v>4349.53</c:v>
                </c:pt>
                <c:pt idx="90">
                  <c:v>4108.16</c:v>
                </c:pt>
                <c:pt idx="91">
                  <c:v>3656.04</c:v>
                </c:pt>
                <c:pt idx="92">
                  <c:v>2964.61</c:v>
                </c:pt>
                <c:pt idx="93">
                  <c:v>2519.48</c:v>
                </c:pt>
                <c:pt idx="94">
                  <c:v>2448.65</c:v>
                </c:pt>
                <c:pt idx="95">
                  <c:v>2458.89</c:v>
                </c:pt>
                <c:pt idx="96">
                  <c:v>2389.2800000000002</c:v>
                </c:pt>
                <c:pt idx="97">
                  <c:v>2388.5500000000002</c:v>
                </c:pt>
                <c:pt idx="98">
                  <c:v>2374.46</c:v>
                </c:pt>
                <c:pt idx="99">
                  <c:v>2492.27</c:v>
                </c:pt>
                <c:pt idx="100">
                  <c:v>2708.77</c:v>
                </c:pt>
                <c:pt idx="101">
                  <c:v>3432.06</c:v>
                </c:pt>
                <c:pt idx="102">
                  <c:v>4114.53</c:v>
                </c:pt>
                <c:pt idx="103">
                  <c:v>4724.3100000000004</c:v>
                </c:pt>
                <c:pt idx="104">
                  <c:v>5543.33</c:v>
                </c:pt>
                <c:pt idx="105">
                  <c:v>6377.1</c:v>
                </c:pt>
                <c:pt idx="106">
                  <c:v>6798.69</c:v>
                </c:pt>
                <c:pt idx="107">
                  <c:v>6926.95</c:v>
                </c:pt>
                <c:pt idx="108">
                  <c:v>6945.25</c:v>
                </c:pt>
                <c:pt idx="109">
                  <c:v>6942.21</c:v>
                </c:pt>
                <c:pt idx="110">
                  <c:v>6938.83</c:v>
                </c:pt>
                <c:pt idx="111">
                  <c:v>6935.89</c:v>
                </c:pt>
                <c:pt idx="112">
                  <c:v>6948.12</c:v>
                </c:pt>
                <c:pt idx="113">
                  <c:v>6973.47</c:v>
                </c:pt>
                <c:pt idx="114">
                  <c:v>6949.76</c:v>
                </c:pt>
                <c:pt idx="115">
                  <c:v>6692.86</c:v>
                </c:pt>
                <c:pt idx="116">
                  <c:v>6625.97</c:v>
                </c:pt>
                <c:pt idx="117">
                  <c:v>6276.39</c:v>
                </c:pt>
                <c:pt idx="118">
                  <c:v>5983.07</c:v>
                </c:pt>
                <c:pt idx="119">
                  <c:v>5820.55</c:v>
                </c:pt>
                <c:pt idx="120">
                  <c:v>5517.03</c:v>
                </c:pt>
                <c:pt idx="121">
                  <c:v>5349.02</c:v>
                </c:pt>
                <c:pt idx="122">
                  <c:v>5143.7</c:v>
                </c:pt>
                <c:pt idx="123">
                  <c:v>4920.88</c:v>
                </c:pt>
                <c:pt idx="124">
                  <c:v>4781.75</c:v>
                </c:pt>
                <c:pt idx="125">
                  <c:v>4703</c:v>
                </c:pt>
                <c:pt idx="126">
                  <c:v>4627.54</c:v>
                </c:pt>
                <c:pt idx="127">
                  <c:v>4765.43</c:v>
                </c:pt>
                <c:pt idx="128">
                  <c:v>5265.24</c:v>
                </c:pt>
                <c:pt idx="129">
                  <c:v>5618.82</c:v>
                </c:pt>
                <c:pt idx="130">
                  <c:v>6309.23</c:v>
                </c:pt>
                <c:pt idx="131">
                  <c:v>6751.5</c:v>
                </c:pt>
                <c:pt idx="132">
                  <c:v>7123.99</c:v>
                </c:pt>
                <c:pt idx="133">
                  <c:v>7297.42</c:v>
                </c:pt>
                <c:pt idx="134">
                  <c:v>7328.85</c:v>
                </c:pt>
                <c:pt idx="135">
                  <c:v>6969.81</c:v>
                </c:pt>
                <c:pt idx="136">
                  <c:v>5979.68</c:v>
                </c:pt>
                <c:pt idx="137">
                  <c:v>5028.6499999999996</c:v>
                </c:pt>
                <c:pt idx="138">
                  <c:v>4242.24</c:v>
                </c:pt>
                <c:pt idx="139">
                  <c:v>3632.09</c:v>
                </c:pt>
                <c:pt idx="140">
                  <c:v>3455.68</c:v>
                </c:pt>
                <c:pt idx="141">
                  <c:v>3370.09</c:v>
                </c:pt>
                <c:pt idx="142">
                  <c:v>3416</c:v>
                </c:pt>
                <c:pt idx="143">
                  <c:v>3325.91</c:v>
                </c:pt>
                <c:pt idx="144">
                  <c:v>3347.89</c:v>
                </c:pt>
                <c:pt idx="145">
                  <c:v>3353.05</c:v>
                </c:pt>
                <c:pt idx="146">
                  <c:v>3321.31</c:v>
                </c:pt>
                <c:pt idx="147">
                  <c:v>3353.2</c:v>
                </c:pt>
                <c:pt idx="148">
                  <c:v>3396.13</c:v>
                </c:pt>
                <c:pt idx="149">
                  <c:v>3611.65</c:v>
                </c:pt>
                <c:pt idx="150">
                  <c:v>4298.8100000000004</c:v>
                </c:pt>
                <c:pt idx="151">
                  <c:v>5171.8599999999997</c:v>
                </c:pt>
                <c:pt idx="152">
                  <c:v>6325.23</c:v>
                </c:pt>
                <c:pt idx="153">
                  <c:v>7169.81</c:v>
                </c:pt>
                <c:pt idx="154">
                  <c:v>7371.24</c:v>
                </c:pt>
                <c:pt idx="155">
                  <c:v>7437.64</c:v>
                </c:pt>
                <c:pt idx="156">
                  <c:v>7437.2</c:v>
                </c:pt>
                <c:pt idx="157">
                  <c:v>7414.18</c:v>
                </c:pt>
                <c:pt idx="158">
                  <c:v>7423.35</c:v>
                </c:pt>
                <c:pt idx="159">
                  <c:v>7430.95</c:v>
                </c:pt>
                <c:pt idx="160">
                  <c:v>7436</c:v>
                </c:pt>
                <c:pt idx="161">
                  <c:v>7435.9</c:v>
                </c:pt>
                <c:pt idx="162">
                  <c:v>7432.86</c:v>
                </c:pt>
                <c:pt idx="163">
                  <c:v>7398.19</c:v>
                </c:pt>
                <c:pt idx="164">
                  <c:v>7405.01</c:v>
                </c:pt>
                <c:pt idx="165">
                  <c:v>7391.56</c:v>
                </c:pt>
                <c:pt idx="166">
                  <c:v>7296.79</c:v>
                </c:pt>
                <c:pt idx="167">
                  <c:v>7146.93</c:v>
                </c:pt>
                <c:pt idx="168">
                  <c:v>7147.07</c:v>
                </c:pt>
                <c:pt idx="169">
                  <c:v>7127.96</c:v>
                </c:pt>
                <c:pt idx="170">
                  <c:v>7094.64</c:v>
                </c:pt>
                <c:pt idx="171">
                  <c:v>6718.34</c:v>
                </c:pt>
                <c:pt idx="172">
                  <c:v>6540.19</c:v>
                </c:pt>
                <c:pt idx="173">
                  <c:v>6419.66</c:v>
                </c:pt>
                <c:pt idx="174">
                  <c:v>6256.13</c:v>
                </c:pt>
                <c:pt idx="175">
                  <c:v>6318.02</c:v>
                </c:pt>
                <c:pt idx="176">
                  <c:v>6334.44</c:v>
                </c:pt>
                <c:pt idx="177">
                  <c:v>6376.07</c:v>
                </c:pt>
                <c:pt idx="178">
                  <c:v>6874.18</c:v>
                </c:pt>
                <c:pt idx="179">
                  <c:v>7283</c:v>
                </c:pt>
                <c:pt idx="180">
                  <c:v>7400.33</c:v>
                </c:pt>
                <c:pt idx="181">
                  <c:v>7453.31</c:v>
                </c:pt>
                <c:pt idx="182">
                  <c:v>7456.8</c:v>
                </c:pt>
                <c:pt idx="183">
                  <c:v>7457.68</c:v>
                </c:pt>
                <c:pt idx="184">
                  <c:v>7406.16</c:v>
                </c:pt>
                <c:pt idx="185">
                  <c:v>7310.86</c:v>
                </c:pt>
                <c:pt idx="186">
                  <c:v>7183.54</c:v>
                </c:pt>
                <c:pt idx="187">
                  <c:v>7298.68</c:v>
                </c:pt>
                <c:pt idx="188">
                  <c:v>7071.56</c:v>
                </c:pt>
                <c:pt idx="189">
                  <c:v>6796.41</c:v>
                </c:pt>
                <c:pt idx="190">
                  <c:v>6706.88</c:v>
                </c:pt>
                <c:pt idx="191">
                  <c:v>6683.2</c:v>
                </c:pt>
                <c:pt idx="192">
                  <c:v>6809.4</c:v>
                </c:pt>
                <c:pt idx="193">
                  <c:v>6867.09</c:v>
                </c:pt>
                <c:pt idx="194">
                  <c:v>6861.4</c:v>
                </c:pt>
                <c:pt idx="195">
                  <c:v>6880.14</c:v>
                </c:pt>
                <c:pt idx="196">
                  <c:v>6908.09</c:v>
                </c:pt>
                <c:pt idx="197">
                  <c:v>6977.79</c:v>
                </c:pt>
                <c:pt idx="198">
                  <c:v>7024.53</c:v>
                </c:pt>
                <c:pt idx="199">
                  <c:v>7192.34</c:v>
                </c:pt>
                <c:pt idx="200">
                  <c:v>7361.76</c:v>
                </c:pt>
                <c:pt idx="201">
                  <c:v>7430.85</c:v>
                </c:pt>
                <c:pt idx="202">
                  <c:v>7425.79</c:v>
                </c:pt>
                <c:pt idx="203">
                  <c:v>7285.92</c:v>
                </c:pt>
                <c:pt idx="204">
                  <c:v>7043.9</c:v>
                </c:pt>
                <c:pt idx="205">
                  <c:v>7031.93</c:v>
                </c:pt>
                <c:pt idx="206">
                  <c:v>7010.03</c:v>
                </c:pt>
                <c:pt idx="207">
                  <c:v>6974.25</c:v>
                </c:pt>
                <c:pt idx="208">
                  <c:v>7001.03</c:v>
                </c:pt>
                <c:pt idx="209">
                  <c:v>6981.95</c:v>
                </c:pt>
                <c:pt idx="210">
                  <c:v>6969.56</c:v>
                </c:pt>
                <c:pt idx="211">
                  <c:v>6924.38</c:v>
                </c:pt>
                <c:pt idx="212">
                  <c:v>6895.02</c:v>
                </c:pt>
                <c:pt idx="213">
                  <c:v>6891.76</c:v>
                </c:pt>
                <c:pt idx="214">
                  <c:v>6848.61</c:v>
                </c:pt>
                <c:pt idx="215">
                  <c:v>6764.92</c:v>
                </c:pt>
                <c:pt idx="216">
                  <c:v>6589.13</c:v>
                </c:pt>
                <c:pt idx="217">
                  <c:v>6365.28</c:v>
                </c:pt>
                <c:pt idx="218">
                  <c:v>6234.07</c:v>
                </c:pt>
                <c:pt idx="219">
                  <c:v>6096.22</c:v>
                </c:pt>
                <c:pt idx="220">
                  <c:v>6098.62</c:v>
                </c:pt>
                <c:pt idx="221">
                  <c:v>5986.73</c:v>
                </c:pt>
                <c:pt idx="222">
                  <c:v>5813.57</c:v>
                </c:pt>
                <c:pt idx="223">
                  <c:v>5836.79</c:v>
                </c:pt>
                <c:pt idx="224">
                  <c:v>5783.17</c:v>
                </c:pt>
                <c:pt idx="225">
                  <c:v>5928.17</c:v>
                </c:pt>
                <c:pt idx="226">
                  <c:v>6183.11</c:v>
                </c:pt>
                <c:pt idx="227">
                  <c:v>6584.98</c:v>
                </c:pt>
                <c:pt idx="228">
                  <c:v>6800.91</c:v>
                </c:pt>
                <c:pt idx="229">
                  <c:v>6816.89</c:v>
                </c:pt>
                <c:pt idx="230">
                  <c:v>6875.66</c:v>
                </c:pt>
                <c:pt idx="231">
                  <c:v>6884.99</c:v>
                </c:pt>
                <c:pt idx="232">
                  <c:v>6740.14</c:v>
                </c:pt>
                <c:pt idx="233">
                  <c:v>6353.45</c:v>
                </c:pt>
                <c:pt idx="234">
                  <c:v>6027.26</c:v>
                </c:pt>
                <c:pt idx="235">
                  <c:v>5381.56</c:v>
                </c:pt>
                <c:pt idx="236">
                  <c:v>4791.59</c:v>
                </c:pt>
                <c:pt idx="237">
                  <c:v>4094.45</c:v>
                </c:pt>
                <c:pt idx="238">
                  <c:v>3594.12</c:v>
                </c:pt>
                <c:pt idx="239">
                  <c:v>3480.66</c:v>
                </c:pt>
                <c:pt idx="240">
                  <c:v>3401.49</c:v>
                </c:pt>
                <c:pt idx="241">
                  <c:v>3382.89</c:v>
                </c:pt>
                <c:pt idx="242">
                  <c:v>3391.47</c:v>
                </c:pt>
                <c:pt idx="243">
                  <c:v>3393.65</c:v>
                </c:pt>
                <c:pt idx="244">
                  <c:v>3576.46</c:v>
                </c:pt>
                <c:pt idx="245">
                  <c:v>3890.8</c:v>
                </c:pt>
                <c:pt idx="246">
                  <c:v>4338.79</c:v>
                </c:pt>
                <c:pt idx="247">
                  <c:v>5004.04</c:v>
                </c:pt>
                <c:pt idx="248">
                  <c:v>6023.8</c:v>
                </c:pt>
                <c:pt idx="249">
                  <c:v>6450.83</c:v>
                </c:pt>
                <c:pt idx="250">
                  <c:v>6796.95</c:v>
                </c:pt>
                <c:pt idx="251">
                  <c:v>6879</c:v>
                </c:pt>
                <c:pt idx="252">
                  <c:v>6902.17</c:v>
                </c:pt>
                <c:pt idx="253">
                  <c:v>6929.51</c:v>
                </c:pt>
                <c:pt idx="254">
                  <c:v>6949.18</c:v>
                </c:pt>
                <c:pt idx="255">
                  <c:v>6958.2</c:v>
                </c:pt>
                <c:pt idx="256">
                  <c:v>6928.49</c:v>
                </c:pt>
                <c:pt idx="257">
                  <c:v>6979.48</c:v>
                </c:pt>
                <c:pt idx="258">
                  <c:v>7052.77</c:v>
                </c:pt>
                <c:pt idx="259">
                  <c:v>7089.3</c:v>
                </c:pt>
                <c:pt idx="260">
                  <c:v>7103.07</c:v>
                </c:pt>
                <c:pt idx="261">
                  <c:v>7103.03</c:v>
                </c:pt>
                <c:pt idx="262">
                  <c:v>7075.44</c:v>
                </c:pt>
                <c:pt idx="263">
                  <c:v>6928.5</c:v>
                </c:pt>
                <c:pt idx="264">
                  <c:v>6704.77</c:v>
                </c:pt>
                <c:pt idx="265">
                  <c:v>6563.28</c:v>
                </c:pt>
                <c:pt idx="266">
                  <c:v>6593.27</c:v>
                </c:pt>
                <c:pt idx="267">
                  <c:v>6335.81</c:v>
                </c:pt>
                <c:pt idx="268">
                  <c:v>6186.98</c:v>
                </c:pt>
                <c:pt idx="269">
                  <c:v>6094.46</c:v>
                </c:pt>
                <c:pt idx="270">
                  <c:v>6042.81</c:v>
                </c:pt>
                <c:pt idx="271">
                  <c:v>6084.84</c:v>
                </c:pt>
                <c:pt idx="272">
                  <c:v>6235.52</c:v>
                </c:pt>
                <c:pt idx="273">
                  <c:v>6404.62</c:v>
                </c:pt>
                <c:pt idx="274">
                  <c:v>6728.24</c:v>
                </c:pt>
                <c:pt idx="275">
                  <c:v>7186.1</c:v>
                </c:pt>
                <c:pt idx="276">
                  <c:v>7720.06</c:v>
                </c:pt>
                <c:pt idx="277">
                  <c:v>7916.34</c:v>
                </c:pt>
                <c:pt idx="278">
                  <c:v>7991.77</c:v>
                </c:pt>
                <c:pt idx="279">
                  <c:v>7934.04</c:v>
                </c:pt>
                <c:pt idx="280">
                  <c:v>7701.28</c:v>
                </c:pt>
                <c:pt idx="281">
                  <c:v>7238.66</c:v>
                </c:pt>
                <c:pt idx="282">
                  <c:v>6365.08</c:v>
                </c:pt>
                <c:pt idx="283">
                  <c:v>5709.09</c:v>
                </c:pt>
                <c:pt idx="284">
                  <c:v>5334.09</c:v>
                </c:pt>
                <c:pt idx="285">
                  <c:v>4956.08</c:v>
                </c:pt>
                <c:pt idx="286">
                  <c:v>4581.97</c:v>
                </c:pt>
                <c:pt idx="287">
                  <c:v>4220.4799999999996</c:v>
                </c:pt>
                <c:pt idx="288">
                  <c:v>3998.16</c:v>
                </c:pt>
                <c:pt idx="289">
                  <c:v>4020.32</c:v>
                </c:pt>
                <c:pt idx="290">
                  <c:v>4073.91</c:v>
                </c:pt>
                <c:pt idx="291">
                  <c:v>4130.7700000000004</c:v>
                </c:pt>
                <c:pt idx="292">
                  <c:v>4290.54</c:v>
                </c:pt>
                <c:pt idx="293">
                  <c:v>4915.79</c:v>
                </c:pt>
                <c:pt idx="294">
                  <c:v>5674.82</c:v>
                </c:pt>
                <c:pt idx="295">
                  <c:v>6816.53</c:v>
                </c:pt>
                <c:pt idx="296">
                  <c:v>7710.41</c:v>
                </c:pt>
                <c:pt idx="297">
                  <c:v>7965.6</c:v>
                </c:pt>
                <c:pt idx="298">
                  <c:v>7969.07</c:v>
                </c:pt>
                <c:pt idx="299">
                  <c:v>7997.94</c:v>
                </c:pt>
                <c:pt idx="300">
                  <c:v>8078.78</c:v>
                </c:pt>
                <c:pt idx="301">
                  <c:v>8130.66</c:v>
                </c:pt>
                <c:pt idx="302">
                  <c:v>8129.35</c:v>
                </c:pt>
                <c:pt idx="303">
                  <c:v>8134.41</c:v>
                </c:pt>
                <c:pt idx="304">
                  <c:v>8147.78</c:v>
                </c:pt>
                <c:pt idx="305">
                  <c:v>8145.84</c:v>
                </c:pt>
                <c:pt idx="306">
                  <c:v>8129.83</c:v>
                </c:pt>
                <c:pt idx="307">
                  <c:v>8061.09</c:v>
                </c:pt>
                <c:pt idx="308">
                  <c:v>8073.74</c:v>
                </c:pt>
                <c:pt idx="309">
                  <c:v>8119.62</c:v>
                </c:pt>
                <c:pt idx="310">
                  <c:v>8122.02</c:v>
                </c:pt>
                <c:pt idx="311">
                  <c:v>8067.67</c:v>
                </c:pt>
                <c:pt idx="312">
                  <c:v>7973.44</c:v>
                </c:pt>
                <c:pt idx="313">
                  <c:v>7814.07</c:v>
                </c:pt>
                <c:pt idx="314">
                  <c:v>7627.58</c:v>
                </c:pt>
                <c:pt idx="315">
                  <c:v>7425.33</c:v>
                </c:pt>
                <c:pt idx="316">
                  <c:v>7290</c:v>
                </c:pt>
                <c:pt idx="317">
                  <c:v>7203.53</c:v>
                </c:pt>
                <c:pt idx="318">
                  <c:v>7227.16</c:v>
                </c:pt>
                <c:pt idx="319">
                  <c:v>7270.43</c:v>
                </c:pt>
                <c:pt idx="320">
                  <c:v>7289.57</c:v>
                </c:pt>
                <c:pt idx="321">
                  <c:v>7449.21</c:v>
                </c:pt>
                <c:pt idx="322">
                  <c:v>7844.03</c:v>
                </c:pt>
                <c:pt idx="323">
                  <c:v>8092.69</c:v>
                </c:pt>
                <c:pt idx="324">
                  <c:v>8143.84</c:v>
                </c:pt>
                <c:pt idx="325">
                  <c:v>8100.52</c:v>
                </c:pt>
                <c:pt idx="326">
                  <c:v>8064.88</c:v>
                </c:pt>
                <c:pt idx="327">
                  <c:v>8133.81</c:v>
                </c:pt>
                <c:pt idx="328">
                  <c:v>8086.29</c:v>
                </c:pt>
                <c:pt idx="329">
                  <c:v>7942.53</c:v>
                </c:pt>
                <c:pt idx="330">
                  <c:v>7744.28</c:v>
                </c:pt>
                <c:pt idx="331">
                  <c:v>7298.85</c:v>
                </c:pt>
                <c:pt idx="332">
                  <c:v>6846.27</c:v>
                </c:pt>
                <c:pt idx="333">
                  <c:v>6486.45</c:v>
                </c:pt>
                <c:pt idx="334">
                  <c:v>5928.26</c:v>
                </c:pt>
                <c:pt idx="335">
                  <c:v>5705.43</c:v>
                </c:pt>
                <c:pt idx="336">
                  <c:v>5653.77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6-FA47-A0C7-1A4030977CFB}"/>
            </c:ext>
          </c:extLst>
        </c:ser>
        <c:ser>
          <c:idx val="5"/>
          <c:order val="1"/>
          <c:tx>
            <c:strRef>
              <c:f>Wind!$D$1</c:f>
              <c:strCache>
                <c:ptCount val="1"/>
                <c:pt idx="0">
                  <c:v>Gas (CCGT) -  MW</c:v>
                </c:pt>
              </c:strCache>
            </c:strRef>
          </c:tx>
          <c:spPr>
            <a:solidFill>
              <a:srgbClr val="C34335"/>
            </a:solidFill>
            <a:ln w="25400"/>
          </c:spPr>
          <c:cat>
            <c:strRef>
              <c:f>Wind!$I$2:$I$338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Wind!$D$2:$D$338</c:f>
              <c:numCache>
                <c:formatCode>#,##0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1.17</c:v>
                </c:pt>
                <c:pt idx="4">
                  <c:v>52.33</c:v>
                </c:pt>
                <c:pt idx="5">
                  <c:v>179.83</c:v>
                </c:pt>
                <c:pt idx="6">
                  <c:v>190</c:v>
                </c:pt>
                <c:pt idx="7">
                  <c:v>199.67</c:v>
                </c:pt>
                <c:pt idx="8">
                  <c:v>345.83</c:v>
                </c:pt>
                <c:pt idx="9">
                  <c:v>447.33</c:v>
                </c:pt>
                <c:pt idx="10">
                  <c:v>445.5</c:v>
                </c:pt>
                <c:pt idx="11">
                  <c:v>445.5</c:v>
                </c:pt>
                <c:pt idx="12">
                  <c:v>445.33</c:v>
                </c:pt>
                <c:pt idx="13">
                  <c:v>446</c:v>
                </c:pt>
                <c:pt idx="14">
                  <c:v>445.83</c:v>
                </c:pt>
                <c:pt idx="15">
                  <c:v>446</c:v>
                </c:pt>
                <c:pt idx="16">
                  <c:v>448.33</c:v>
                </c:pt>
                <c:pt idx="17">
                  <c:v>446.83</c:v>
                </c:pt>
                <c:pt idx="18">
                  <c:v>445.67</c:v>
                </c:pt>
                <c:pt idx="19">
                  <c:v>437.5</c:v>
                </c:pt>
                <c:pt idx="20">
                  <c:v>448.67</c:v>
                </c:pt>
                <c:pt idx="21">
                  <c:v>440.5</c:v>
                </c:pt>
                <c:pt idx="22">
                  <c:v>443</c:v>
                </c:pt>
                <c:pt idx="23">
                  <c:v>357.83</c:v>
                </c:pt>
                <c:pt idx="24">
                  <c:v>300.5</c:v>
                </c:pt>
                <c:pt idx="25">
                  <c:v>291.83</c:v>
                </c:pt>
                <c:pt idx="26">
                  <c:v>194.17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199</c:v>
                </c:pt>
                <c:pt idx="32">
                  <c:v>208.33</c:v>
                </c:pt>
                <c:pt idx="33">
                  <c:v>258.33</c:v>
                </c:pt>
                <c:pt idx="34">
                  <c:v>308</c:v>
                </c:pt>
                <c:pt idx="35">
                  <c:v>442.17</c:v>
                </c:pt>
                <c:pt idx="36">
                  <c:v>444.67</c:v>
                </c:pt>
                <c:pt idx="37">
                  <c:v>445.83</c:v>
                </c:pt>
                <c:pt idx="38">
                  <c:v>444.83</c:v>
                </c:pt>
                <c:pt idx="39">
                  <c:v>443.83</c:v>
                </c:pt>
                <c:pt idx="40">
                  <c:v>429.67</c:v>
                </c:pt>
                <c:pt idx="41">
                  <c:v>240</c:v>
                </c:pt>
                <c:pt idx="42">
                  <c:v>6.33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131</c:v>
                </c:pt>
                <c:pt idx="55">
                  <c:v>264.5</c:v>
                </c:pt>
                <c:pt idx="56">
                  <c:v>399.67</c:v>
                </c:pt>
                <c:pt idx="57">
                  <c:v>270.83</c:v>
                </c:pt>
                <c:pt idx="58">
                  <c:v>4</c:v>
                </c:pt>
                <c:pt idx="59">
                  <c:v>26.63</c:v>
                </c:pt>
                <c:pt idx="60">
                  <c:v>26.56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1.33</c:v>
                </c:pt>
                <c:pt idx="148">
                  <c:v>14.5</c:v>
                </c:pt>
                <c:pt idx="149">
                  <c:v>17.329999999999998</c:v>
                </c:pt>
                <c:pt idx="150">
                  <c:v>37</c:v>
                </c:pt>
                <c:pt idx="151">
                  <c:v>181.67</c:v>
                </c:pt>
                <c:pt idx="152">
                  <c:v>199.5</c:v>
                </c:pt>
                <c:pt idx="153">
                  <c:v>400</c:v>
                </c:pt>
                <c:pt idx="154">
                  <c:v>443.83</c:v>
                </c:pt>
                <c:pt idx="155">
                  <c:v>442.83</c:v>
                </c:pt>
                <c:pt idx="156">
                  <c:v>441.83</c:v>
                </c:pt>
                <c:pt idx="157">
                  <c:v>442.33</c:v>
                </c:pt>
                <c:pt idx="158">
                  <c:v>443.83</c:v>
                </c:pt>
                <c:pt idx="159">
                  <c:v>451.17</c:v>
                </c:pt>
                <c:pt idx="160">
                  <c:v>451.83</c:v>
                </c:pt>
                <c:pt idx="161">
                  <c:v>451.83</c:v>
                </c:pt>
                <c:pt idx="162">
                  <c:v>448.17</c:v>
                </c:pt>
                <c:pt idx="163">
                  <c:v>449.5</c:v>
                </c:pt>
                <c:pt idx="164">
                  <c:v>450.83</c:v>
                </c:pt>
                <c:pt idx="165">
                  <c:v>446.17</c:v>
                </c:pt>
                <c:pt idx="166">
                  <c:v>440</c:v>
                </c:pt>
                <c:pt idx="167">
                  <c:v>308.5</c:v>
                </c:pt>
                <c:pt idx="168">
                  <c:v>195.33</c:v>
                </c:pt>
                <c:pt idx="169">
                  <c:v>190</c:v>
                </c:pt>
                <c:pt idx="170">
                  <c:v>190.17</c:v>
                </c:pt>
                <c:pt idx="171">
                  <c:v>190.5</c:v>
                </c:pt>
                <c:pt idx="172">
                  <c:v>190.17</c:v>
                </c:pt>
                <c:pt idx="173">
                  <c:v>190.17</c:v>
                </c:pt>
                <c:pt idx="174">
                  <c:v>190.17</c:v>
                </c:pt>
                <c:pt idx="175">
                  <c:v>190.17</c:v>
                </c:pt>
                <c:pt idx="176">
                  <c:v>190.17</c:v>
                </c:pt>
                <c:pt idx="177">
                  <c:v>198.17</c:v>
                </c:pt>
                <c:pt idx="178">
                  <c:v>297.67</c:v>
                </c:pt>
                <c:pt idx="179">
                  <c:v>306.83</c:v>
                </c:pt>
                <c:pt idx="180">
                  <c:v>443.83</c:v>
                </c:pt>
                <c:pt idx="181">
                  <c:v>450</c:v>
                </c:pt>
                <c:pt idx="182">
                  <c:v>450</c:v>
                </c:pt>
                <c:pt idx="183">
                  <c:v>449.67</c:v>
                </c:pt>
                <c:pt idx="184">
                  <c:v>449.83</c:v>
                </c:pt>
                <c:pt idx="185">
                  <c:v>442.5</c:v>
                </c:pt>
                <c:pt idx="186">
                  <c:v>448.83</c:v>
                </c:pt>
                <c:pt idx="187">
                  <c:v>449.67</c:v>
                </c:pt>
                <c:pt idx="188">
                  <c:v>448.5</c:v>
                </c:pt>
                <c:pt idx="189">
                  <c:v>442.17</c:v>
                </c:pt>
                <c:pt idx="190">
                  <c:v>271.83</c:v>
                </c:pt>
                <c:pt idx="191">
                  <c:v>151.83000000000001</c:v>
                </c:pt>
                <c:pt idx="192">
                  <c:v>199.17</c:v>
                </c:pt>
                <c:pt idx="193">
                  <c:v>190.17</c:v>
                </c:pt>
                <c:pt idx="194">
                  <c:v>190</c:v>
                </c:pt>
                <c:pt idx="195">
                  <c:v>190.17</c:v>
                </c:pt>
                <c:pt idx="196">
                  <c:v>190.17</c:v>
                </c:pt>
                <c:pt idx="197">
                  <c:v>198.17</c:v>
                </c:pt>
                <c:pt idx="198">
                  <c:v>317.17</c:v>
                </c:pt>
                <c:pt idx="199">
                  <c:v>447.5</c:v>
                </c:pt>
                <c:pt idx="200">
                  <c:v>450</c:v>
                </c:pt>
                <c:pt idx="201">
                  <c:v>449.33</c:v>
                </c:pt>
                <c:pt idx="202">
                  <c:v>451.67</c:v>
                </c:pt>
                <c:pt idx="203">
                  <c:v>450.33</c:v>
                </c:pt>
                <c:pt idx="204">
                  <c:v>451.83</c:v>
                </c:pt>
                <c:pt idx="205">
                  <c:v>450.83</c:v>
                </c:pt>
                <c:pt idx="206">
                  <c:v>450.83</c:v>
                </c:pt>
                <c:pt idx="207">
                  <c:v>453</c:v>
                </c:pt>
                <c:pt idx="208">
                  <c:v>454.33</c:v>
                </c:pt>
                <c:pt idx="209">
                  <c:v>454.33</c:v>
                </c:pt>
                <c:pt idx="210">
                  <c:v>453</c:v>
                </c:pt>
                <c:pt idx="211">
                  <c:v>430.83</c:v>
                </c:pt>
                <c:pt idx="212">
                  <c:v>455</c:v>
                </c:pt>
                <c:pt idx="213">
                  <c:v>422.83</c:v>
                </c:pt>
                <c:pt idx="214">
                  <c:v>302.17</c:v>
                </c:pt>
                <c:pt idx="215">
                  <c:v>291</c:v>
                </c:pt>
                <c:pt idx="216">
                  <c:v>194</c:v>
                </c:pt>
                <c:pt idx="217">
                  <c:v>190</c:v>
                </c:pt>
                <c:pt idx="218">
                  <c:v>189.83</c:v>
                </c:pt>
                <c:pt idx="219">
                  <c:v>190</c:v>
                </c:pt>
                <c:pt idx="220">
                  <c:v>190.33</c:v>
                </c:pt>
                <c:pt idx="221">
                  <c:v>190</c:v>
                </c:pt>
                <c:pt idx="222">
                  <c:v>190</c:v>
                </c:pt>
                <c:pt idx="223">
                  <c:v>190.33</c:v>
                </c:pt>
                <c:pt idx="224">
                  <c:v>189.83</c:v>
                </c:pt>
                <c:pt idx="225">
                  <c:v>190.33</c:v>
                </c:pt>
                <c:pt idx="226">
                  <c:v>198.33</c:v>
                </c:pt>
                <c:pt idx="227">
                  <c:v>400.33</c:v>
                </c:pt>
                <c:pt idx="228">
                  <c:v>450.5</c:v>
                </c:pt>
                <c:pt idx="229">
                  <c:v>451</c:v>
                </c:pt>
                <c:pt idx="230">
                  <c:v>451.5</c:v>
                </c:pt>
                <c:pt idx="231">
                  <c:v>451.33</c:v>
                </c:pt>
                <c:pt idx="232">
                  <c:v>380.33</c:v>
                </c:pt>
                <c:pt idx="233">
                  <c:v>120.67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3.83</c:v>
                </c:pt>
                <c:pt idx="246">
                  <c:v>101.33</c:v>
                </c:pt>
                <c:pt idx="247">
                  <c:v>233.17</c:v>
                </c:pt>
                <c:pt idx="248">
                  <c:v>401.83</c:v>
                </c:pt>
                <c:pt idx="249">
                  <c:v>441.5</c:v>
                </c:pt>
                <c:pt idx="250">
                  <c:v>449</c:v>
                </c:pt>
                <c:pt idx="251">
                  <c:v>476.23</c:v>
                </c:pt>
                <c:pt idx="252">
                  <c:v>529.34</c:v>
                </c:pt>
                <c:pt idx="253">
                  <c:v>530.91999999999996</c:v>
                </c:pt>
                <c:pt idx="254">
                  <c:v>530.16999999999996</c:v>
                </c:pt>
                <c:pt idx="255">
                  <c:v>531.04999999999995</c:v>
                </c:pt>
                <c:pt idx="256">
                  <c:v>517.71</c:v>
                </c:pt>
                <c:pt idx="257">
                  <c:v>450</c:v>
                </c:pt>
                <c:pt idx="258">
                  <c:v>451.33</c:v>
                </c:pt>
                <c:pt idx="259">
                  <c:v>449.17</c:v>
                </c:pt>
                <c:pt idx="260">
                  <c:v>451.83</c:v>
                </c:pt>
                <c:pt idx="261">
                  <c:v>451.5</c:v>
                </c:pt>
                <c:pt idx="262">
                  <c:v>409.5</c:v>
                </c:pt>
                <c:pt idx="263">
                  <c:v>253.83</c:v>
                </c:pt>
                <c:pt idx="264">
                  <c:v>50.17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52.17</c:v>
                </c:pt>
                <c:pt idx="296">
                  <c:v>189.67</c:v>
                </c:pt>
                <c:pt idx="297">
                  <c:v>308.83</c:v>
                </c:pt>
                <c:pt idx="298">
                  <c:v>443.33</c:v>
                </c:pt>
                <c:pt idx="299">
                  <c:v>441.67</c:v>
                </c:pt>
                <c:pt idx="300">
                  <c:v>443.5</c:v>
                </c:pt>
                <c:pt idx="301">
                  <c:v>450.33</c:v>
                </c:pt>
                <c:pt idx="302">
                  <c:v>450.83</c:v>
                </c:pt>
                <c:pt idx="303">
                  <c:v>451.5</c:v>
                </c:pt>
                <c:pt idx="304">
                  <c:v>451.5</c:v>
                </c:pt>
                <c:pt idx="305">
                  <c:v>450.17</c:v>
                </c:pt>
                <c:pt idx="306">
                  <c:v>450.67</c:v>
                </c:pt>
                <c:pt idx="307">
                  <c:v>449.83</c:v>
                </c:pt>
                <c:pt idx="308">
                  <c:v>453.17</c:v>
                </c:pt>
                <c:pt idx="309">
                  <c:v>444.17</c:v>
                </c:pt>
                <c:pt idx="310">
                  <c:v>305.17</c:v>
                </c:pt>
                <c:pt idx="311">
                  <c:v>194.33</c:v>
                </c:pt>
                <c:pt idx="312">
                  <c:v>190</c:v>
                </c:pt>
                <c:pt idx="313">
                  <c:v>189.83</c:v>
                </c:pt>
                <c:pt idx="314">
                  <c:v>189.67</c:v>
                </c:pt>
                <c:pt idx="315">
                  <c:v>190</c:v>
                </c:pt>
                <c:pt idx="316">
                  <c:v>190.17</c:v>
                </c:pt>
                <c:pt idx="317">
                  <c:v>189.83</c:v>
                </c:pt>
                <c:pt idx="318">
                  <c:v>189.67</c:v>
                </c:pt>
                <c:pt idx="319">
                  <c:v>190</c:v>
                </c:pt>
                <c:pt idx="320">
                  <c:v>189.83</c:v>
                </c:pt>
                <c:pt idx="321">
                  <c:v>190.17</c:v>
                </c:pt>
                <c:pt idx="322">
                  <c:v>208.17</c:v>
                </c:pt>
                <c:pt idx="323">
                  <c:v>376.17</c:v>
                </c:pt>
                <c:pt idx="324">
                  <c:v>457.92</c:v>
                </c:pt>
                <c:pt idx="325">
                  <c:v>534.85</c:v>
                </c:pt>
                <c:pt idx="326">
                  <c:v>576.74</c:v>
                </c:pt>
                <c:pt idx="327">
                  <c:v>568.51</c:v>
                </c:pt>
                <c:pt idx="328">
                  <c:v>373.48</c:v>
                </c:pt>
                <c:pt idx="329">
                  <c:v>9.67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6-FA47-A0C7-1A4030977CFB}"/>
            </c:ext>
          </c:extLst>
        </c:ser>
        <c:ser>
          <c:idx val="6"/>
          <c:order val="2"/>
          <c:tx>
            <c:strRef>
              <c:f>Wind!$E$1</c:f>
              <c:strCache>
                <c:ptCount val="1"/>
                <c:pt idx="0">
                  <c:v>Gas (OCGT) -  MW</c:v>
                </c:pt>
              </c:strCache>
            </c:strRef>
          </c:tx>
          <c:spPr>
            <a:solidFill>
              <a:srgbClr val="EA8973"/>
            </a:solidFill>
            <a:ln w="25400"/>
          </c:spPr>
          <c:cat>
            <c:strRef>
              <c:f>Wind!$I$2:$I$338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Wind!$E$2:$E$338</c:f>
              <c:numCache>
                <c:formatCode>#,##0</c:formatCode>
                <c:ptCount val="337"/>
                <c:pt idx="0">
                  <c:v>37.35</c:v>
                </c:pt>
                <c:pt idx="1">
                  <c:v>37.369999999999997</c:v>
                </c:pt>
                <c:pt idx="2">
                  <c:v>37.19</c:v>
                </c:pt>
                <c:pt idx="3">
                  <c:v>38.090000000000003</c:v>
                </c:pt>
                <c:pt idx="4">
                  <c:v>38.33</c:v>
                </c:pt>
                <c:pt idx="5">
                  <c:v>37.979999999999997</c:v>
                </c:pt>
                <c:pt idx="6">
                  <c:v>38.64</c:v>
                </c:pt>
                <c:pt idx="7">
                  <c:v>40.81</c:v>
                </c:pt>
                <c:pt idx="8">
                  <c:v>41.5</c:v>
                </c:pt>
                <c:pt idx="9">
                  <c:v>159.38</c:v>
                </c:pt>
                <c:pt idx="10">
                  <c:v>207.84</c:v>
                </c:pt>
                <c:pt idx="11">
                  <c:v>208.9</c:v>
                </c:pt>
                <c:pt idx="12">
                  <c:v>208.73</c:v>
                </c:pt>
                <c:pt idx="13">
                  <c:v>207.75</c:v>
                </c:pt>
                <c:pt idx="14">
                  <c:v>208.19</c:v>
                </c:pt>
                <c:pt idx="15">
                  <c:v>202.7</c:v>
                </c:pt>
                <c:pt idx="16">
                  <c:v>134.81</c:v>
                </c:pt>
                <c:pt idx="17">
                  <c:v>43.05</c:v>
                </c:pt>
                <c:pt idx="18">
                  <c:v>42.96</c:v>
                </c:pt>
                <c:pt idx="19">
                  <c:v>43.81</c:v>
                </c:pt>
                <c:pt idx="20">
                  <c:v>44.19</c:v>
                </c:pt>
                <c:pt idx="21">
                  <c:v>44.26</c:v>
                </c:pt>
                <c:pt idx="22">
                  <c:v>43.43</c:v>
                </c:pt>
                <c:pt idx="23">
                  <c:v>43.2</c:v>
                </c:pt>
                <c:pt idx="24">
                  <c:v>43.07</c:v>
                </c:pt>
                <c:pt idx="25">
                  <c:v>43.06</c:v>
                </c:pt>
                <c:pt idx="26">
                  <c:v>43.13</c:v>
                </c:pt>
                <c:pt idx="27">
                  <c:v>43.12</c:v>
                </c:pt>
                <c:pt idx="28">
                  <c:v>43.23</c:v>
                </c:pt>
                <c:pt idx="29">
                  <c:v>43.27</c:v>
                </c:pt>
                <c:pt idx="30">
                  <c:v>43.26</c:v>
                </c:pt>
                <c:pt idx="31">
                  <c:v>43.36</c:v>
                </c:pt>
                <c:pt idx="32">
                  <c:v>43.29</c:v>
                </c:pt>
                <c:pt idx="33">
                  <c:v>43.34</c:v>
                </c:pt>
                <c:pt idx="34">
                  <c:v>188.84</c:v>
                </c:pt>
                <c:pt idx="35">
                  <c:v>276.87</c:v>
                </c:pt>
                <c:pt idx="36">
                  <c:v>366.33</c:v>
                </c:pt>
                <c:pt idx="37">
                  <c:v>398.12</c:v>
                </c:pt>
                <c:pt idx="38">
                  <c:v>470.75</c:v>
                </c:pt>
                <c:pt idx="39">
                  <c:v>526.64</c:v>
                </c:pt>
                <c:pt idx="40">
                  <c:v>443.49</c:v>
                </c:pt>
                <c:pt idx="41">
                  <c:v>272.06</c:v>
                </c:pt>
                <c:pt idx="42">
                  <c:v>138.19999999999999</c:v>
                </c:pt>
                <c:pt idx="43">
                  <c:v>44.13</c:v>
                </c:pt>
                <c:pt idx="44">
                  <c:v>41.45</c:v>
                </c:pt>
                <c:pt idx="45">
                  <c:v>45.3</c:v>
                </c:pt>
                <c:pt idx="46">
                  <c:v>44.94</c:v>
                </c:pt>
                <c:pt idx="47">
                  <c:v>44.95</c:v>
                </c:pt>
                <c:pt idx="48">
                  <c:v>44.78</c:v>
                </c:pt>
                <c:pt idx="49">
                  <c:v>44.91</c:v>
                </c:pt>
                <c:pt idx="50">
                  <c:v>38.96</c:v>
                </c:pt>
                <c:pt idx="51">
                  <c:v>37.880000000000003</c:v>
                </c:pt>
                <c:pt idx="52">
                  <c:v>37.840000000000003</c:v>
                </c:pt>
                <c:pt idx="53">
                  <c:v>37.83</c:v>
                </c:pt>
                <c:pt idx="54">
                  <c:v>37.880000000000003</c:v>
                </c:pt>
                <c:pt idx="55">
                  <c:v>42.68</c:v>
                </c:pt>
                <c:pt idx="56">
                  <c:v>45.07</c:v>
                </c:pt>
                <c:pt idx="57">
                  <c:v>121.89</c:v>
                </c:pt>
                <c:pt idx="58">
                  <c:v>512.5</c:v>
                </c:pt>
                <c:pt idx="59">
                  <c:v>570.39</c:v>
                </c:pt>
                <c:pt idx="60">
                  <c:v>581.52</c:v>
                </c:pt>
                <c:pt idx="61">
                  <c:v>659.66</c:v>
                </c:pt>
                <c:pt idx="62">
                  <c:v>579.75</c:v>
                </c:pt>
                <c:pt idx="63">
                  <c:v>496.44</c:v>
                </c:pt>
                <c:pt idx="64">
                  <c:v>273.85000000000002</c:v>
                </c:pt>
                <c:pt idx="65">
                  <c:v>43.6</c:v>
                </c:pt>
                <c:pt idx="66">
                  <c:v>43.97</c:v>
                </c:pt>
                <c:pt idx="67">
                  <c:v>43.78</c:v>
                </c:pt>
                <c:pt idx="68">
                  <c:v>43.82</c:v>
                </c:pt>
                <c:pt idx="69">
                  <c:v>43.54</c:v>
                </c:pt>
                <c:pt idx="70">
                  <c:v>43.46</c:v>
                </c:pt>
                <c:pt idx="71">
                  <c:v>43.51</c:v>
                </c:pt>
                <c:pt idx="72">
                  <c:v>43.54</c:v>
                </c:pt>
                <c:pt idx="73">
                  <c:v>43.1</c:v>
                </c:pt>
                <c:pt idx="74">
                  <c:v>43.18</c:v>
                </c:pt>
                <c:pt idx="75">
                  <c:v>42.7</c:v>
                </c:pt>
                <c:pt idx="76">
                  <c:v>42.92</c:v>
                </c:pt>
                <c:pt idx="77">
                  <c:v>42.79</c:v>
                </c:pt>
                <c:pt idx="78">
                  <c:v>42.66</c:v>
                </c:pt>
                <c:pt idx="79">
                  <c:v>42.41</c:v>
                </c:pt>
                <c:pt idx="80">
                  <c:v>43.34</c:v>
                </c:pt>
                <c:pt idx="81">
                  <c:v>44.17</c:v>
                </c:pt>
                <c:pt idx="82">
                  <c:v>44.79</c:v>
                </c:pt>
                <c:pt idx="83">
                  <c:v>44.89</c:v>
                </c:pt>
                <c:pt idx="84">
                  <c:v>44.66</c:v>
                </c:pt>
                <c:pt idx="85">
                  <c:v>44.76</c:v>
                </c:pt>
                <c:pt idx="86">
                  <c:v>44.81</c:v>
                </c:pt>
                <c:pt idx="87">
                  <c:v>42.18</c:v>
                </c:pt>
                <c:pt idx="88">
                  <c:v>37.869999999999997</c:v>
                </c:pt>
                <c:pt idx="89">
                  <c:v>37.840000000000003</c:v>
                </c:pt>
                <c:pt idx="90">
                  <c:v>37.83</c:v>
                </c:pt>
                <c:pt idx="91">
                  <c:v>37.89</c:v>
                </c:pt>
                <c:pt idx="92">
                  <c:v>37.880000000000003</c:v>
                </c:pt>
                <c:pt idx="93">
                  <c:v>37.83</c:v>
                </c:pt>
                <c:pt idx="94">
                  <c:v>37.840000000000003</c:v>
                </c:pt>
                <c:pt idx="95">
                  <c:v>37.89</c:v>
                </c:pt>
                <c:pt idx="96">
                  <c:v>37.840000000000003</c:v>
                </c:pt>
                <c:pt idx="97">
                  <c:v>37.81</c:v>
                </c:pt>
                <c:pt idx="98">
                  <c:v>37.82</c:v>
                </c:pt>
                <c:pt idx="99">
                  <c:v>37.880000000000003</c:v>
                </c:pt>
                <c:pt idx="100">
                  <c:v>37.82</c:v>
                </c:pt>
                <c:pt idx="101">
                  <c:v>37.83</c:v>
                </c:pt>
                <c:pt idx="102">
                  <c:v>37.869999999999997</c:v>
                </c:pt>
                <c:pt idx="103">
                  <c:v>39.4</c:v>
                </c:pt>
                <c:pt idx="104">
                  <c:v>42.78</c:v>
                </c:pt>
                <c:pt idx="105">
                  <c:v>42.55</c:v>
                </c:pt>
                <c:pt idx="106">
                  <c:v>71.83</c:v>
                </c:pt>
                <c:pt idx="107">
                  <c:v>341.22</c:v>
                </c:pt>
                <c:pt idx="108">
                  <c:v>354.04</c:v>
                </c:pt>
                <c:pt idx="109">
                  <c:v>353.65</c:v>
                </c:pt>
                <c:pt idx="110">
                  <c:v>330.67</c:v>
                </c:pt>
                <c:pt idx="111">
                  <c:v>305.45</c:v>
                </c:pt>
                <c:pt idx="112">
                  <c:v>187.96</c:v>
                </c:pt>
                <c:pt idx="113">
                  <c:v>42.95</c:v>
                </c:pt>
                <c:pt idx="114">
                  <c:v>43.15</c:v>
                </c:pt>
                <c:pt idx="115">
                  <c:v>43.14</c:v>
                </c:pt>
                <c:pt idx="116">
                  <c:v>42.51</c:v>
                </c:pt>
                <c:pt idx="117">
                  <c:v>42.52</c:v>
                </c:pt>
                <c:pt idx="118">
                  <c:v>43.16</c:v>
                </c:pt>
                <c:pt idx="119">
                  <c:v>43.36</c:v>
                </c:pt>
                <c:pt idx="120">
                  <c:v>43.19</c:v>
                </c:pt>
                <c:pt idx="121">
                  <c:v>42.53</c:v>
                </c:pt>
                <c:pt idx="122">
                  <c:v>42.41</c:v>
                </c:pt>
                <c:pt idx="123">
                  <c:v>42.87</c:v>
                </c:pt>
                <c:pt idx="124">
                  <c:v>43.16</c:v>
                </c:pt>
                <c:pt idx="125">
                  <c:v>43.29</c:v>
                </c:pt>
                <c:pt idx="126">
                  <c:v>43.32</c:v>
                </c:pt>
                <c:pt idx="127">
                  <c:v>43.3</c:v>
                </c:pt>
                <c:pt idx="128">
                  <c:v>43.4</c:v>
                </c:pt>
                <c:pt idx="129">
                  <c:v>42.88</c:v>
                </c:pt>
                <c:pt idx="130">
                  <c:v>42.53</c:v>
                </c:pt>
                <c:pt idx="131">
                  <c:v>43</c:v>
                </c:pt>
                <c:pt idx="132">
                  <c:v>43.75</c:v>
                </c:pt>
                <c:pt idx="133">
                  <c:v>43.23</c:v>
                </c:pt>
                <c:pt idx="134">
                  <c:v>43.32</c:v>
                </c:pt>
                <c:pt idx="135">
                  <c:v>43.3</c:v>
                </c:pt>
                <c:pt idx="136">
                  <c:v>43.44</c:v>
                </c:pt>
                <c:pt idx="137">
                  <c:v>42.44</c:v>
                </c:pt>
                <c:pt idx="138">
                  <c:v>40.770000000000003</c:v>
                </c:pt>
                <c:pt idx="139">
                  <c:v>38.119999999999997</c:v>
                </c:pt>
                <c:pt idx="140">
                  <c:v>40.619999999999997</c:v>
                </c:pt>
                <c:pt idx="141">
                  <c:v>38.700000000000003</c:v>
                </c:pt>
                <c:pt idx="142">
                  <c:v>38.369999999999997</c:v>
                </c:pt>
                <c:pt idx="143">
                  <c:v>38.18</c:v>
                </c:pt>
                <c:pt idx="144">
                  <c:v>37.9</c:v>
                </c:pt>
                <c:pt idx="145">
                  <c:v>37.869999999999997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37.86</c:v>
                </c:pt>
                <c:pt idx="149">
                  <c:v>37.880000000000003</c:v>
                </c:pt>
                <c:pt idx="150">
                  <c:v>37.799999999999997</c:v>
                </c:pt>
                <c:pt idx="151">
                  <c:v>39.65</c:v>
                </c:pt>
                <c:pt idx="152">
                  <c:v>47.35</c:v>
                </c:pt>
                <c:pt idx="153">
                  <c:v>475.02</c:v>
                </c:pt>
                <c:pt idx="154">
                  <c:v>980.74</c:v>
                </c:pt>
                <c:pt idx="155">
                  <c:v>1022.08</c:v>
                </c:pt>
                <c:pt idx="156">
                  <c:v>1039.98</c:v>
                </c:pt>
                <c:pt idx="157">
                  <c:v>1035.82</c:v>
                </c:pt>
                <c:pt idx="158">
                  <c:v>1023.49</c:v>
                </c:pt>
                <c:pt idx="159">
                  <c:v>963.58</c:v>
                </c:pt>
                <c:pt idx="160">
                  <c:v>822.62</c:v>
                </c:pt>
                <c:pt idx="161">
                  <c:v>641.17999999999995</c:v>
                </c:pt>
                <c:pt idx="162">
                  <c:v>359.13</c:v>
                </c:pt>
                <c:pt idx="163">
                  <c:v>340.06</c:v>
                </c:pt>
                <c:pt idx="164">
                  <c:v>56.61</c:v>
                </c:pt>
                <c:pt idx="165">
                  <c:v>44.47</c:v>
                </c:pt>
                <c:pt idx="166">
                  <c:v>44.39</c:v>
                </c:pt>
                <c:pt idx="167">
                  <c:v>44.6</c:v>
                </c:pt>
                <c:pt idx="168">
                  <c:v>44.65</c:v>
                </c:pt>
                <c:pt idx="169">
                  <c:v>44.75</c:v>
                </c:pt>
                <c:pt idx="170">
                  <c:v>44.91</c:v>
                </c:pt>
                <c:pt idx="171">
                  <c:v>44.97</c:v>
                </c:pt>
                <c:pt idx="172">
                  <c:v>45.02</c:v>
                </c:pt>
                <c:pt idx="173">
                  <c:v>44.9</c:v>
                </c:pt>
                <c:pt idx="174">
                  <c:v>44.78</c:v>
                </c:pt>
                <c:pt idx="175">
                  <c:v>43.49</c:v>
                </c:pt>
                <c:pt idx="176">
                  <c:v>43.71</c:v>
                </c:pt>
                <c:pt idx="177">
                  <c:v>44.22</c:v>
                </c:pt>
                <c:pt idx="178">
                  <c:v>44.19</c:v>
                </c:pt>
                <c:pt idx="179">
                  <c:v>42.77</c:v>
                </c:pt>
                <c:pt idx="180">
                  <c:v>173.25</c:v>
                </c:pt>
                <c:pt idx="181">
                  <c:v>389.81</c:v>
                </c:pt>
                <c:pt idx="182">
                  <c:v>526.04999999999995</c:v>
                </c:pt>
                <c:pt idx="183">
                  <c:v>525.49</c:v>
                </c:pt>
                <c:pt idx="184">
                  <c:v>430.01</c:v>
                </c:pt>
                <c:pt idx="185">
                  <c:v>322.52999999999997</c:v>
                </c:pt>
                <c:pt idx="186">
                  <c:v>202.9</c:v>
                </c:pt>
                <c:pt idx="187">
                  <c:v>57.49</c:v>
                </c:pt>
                <c:pt idx="188">
                  <c:v>41.71</c:v>
                </c:pt>
                <c:pt idx="189">
                  <c:v>41.62</c:v>
                </c:pt>
                <c:pt idx="190">
                  <c:v>41.34</c:v>
                </c:pt>
                <c:pt idx="191">
                  <c:v>42.69</c:v>
                </c:pt>
                <c:pt idx="192">
                  <c:v>43.52</c:v>
                </c:pt>
                <c:pt idx="193">
                  <c:v>43.74</c:v>
                </c:pt>
                <c:pt idx="194">
                  <c:v>44.38</c:v>
                </c:pt>
                <c:pt idx="195">
                  <c:v>43.81</c:v>
                </c:pt>
                <c:pt idx="196">
                  <c:v>44.02</c:v>
                </c:pt>
                <c:pt idx="197">
                  <c:v>43.92</c:v>
                </c:pt>
                <c:pt idx="198">
                  <c:v>43.44</c:v>
                </c:pt>
                <c:pt idx="199">
                  <c:v>87.34</c:v>
                </c:pt>
                <c:pt idx="200">
                  <c:v>435.09</c:v>
                </c:pt>
                <c:pt idx="201">
                  <c:v>861.28</c:v>
                </c:pt>
                <c:pt idx="202">
                  <c:v>1037.73</c:v>
                </c:pt>
                <c:pt idx="203">
                  <c:v>1035.6199999999999</c:v>
                </c:pt>
                <c:pt idx="204">
                  <c:v>1038.24</c:v>
                </c:pt>
                <c:pt idx="205">
                  <c:v>1037.17</c:v>
                </c:pt>
                <c:pt idx="206">
                  <c:v>1036</c:v>
                </c:pt>
                <c:pt idx="207">
                  <c:v>1028.56</c:v>
                </c:pt>
                <c:pt idx="208">
                  <c:v>1028.19</c:v>
                </c:pt>
                <c:pt idx="209">
                  <c:v>998.64</c:v>
                </c:pt>
                <c:pt idx="210">
                  <c:v>656.22</c:v>
                </c:pt>
                <c:pt idx="211">
                  <c:v>551.91999999999996</c:v>
                </c:pt>
                <c:pt idx="212">
                  <c:v>334.57</c:v>
                </c:pt>
                <c:pt idx="213">
                  <c:v>67.81</c:v>
                </c:pt>
                <c:pt idx="214">
                  <c:v>45.33</c:v>
                </c:pt>
                <c:pt idx="215">
                  <c:v>45.1</c:v>
                </c:pt>
                <c:pt idx="216">
                  <c:v>44.54</c:v>
                </c:pt>
                <c:pt idx="217">
                  <c:v>44.21</c:v>
                </c:pt>
                <c:pt idx="218">
                  <c:v>42.96</c:v>
                </c:pt>
                <c:pt idx="219">
                  <c:v>43</c:v>
                </c:pt>
                <c:pt idx="220">
                  <c:v>43.36</c:v>
                </c:pt>
                <c:pt idx="221">
                  <c:v>43.2</c:v>
                </c:pt>
                <c:pt idx="222">
                  <c:v>43.31</c:v>
                </c:pt>
                <c:pt idx="223">
                  <c:v>42.78</c:v>
                </c:pt>
                <c:pt idx="224">
                  <c:v>42.48</c:v>
                </c:pt>
                <c:pt idx="225">
                  <c:v>41.28</c:v>
                </c:pt>
                <c:pt idx="226">
                  <c:v>40.58</c:v>
                </c:pt>
                <c:pt idx="227">
                  <c:v>62.36</c:v>
                </c:pt>
                <c:pt idx="228">
                  <c:v>353.98</c:v>
                </c:pt>
                <c:pt idx="229">
                  <c:v>795.02</c:v>
                </c:pt>
                <c:pt idx="230">
                  <c:v>871.8</c:v>
                </c:pt>
                <c:pt idx="231">
                  <c:v>852.25</c:v>
                </c:pt>
                <c:pt idx="232">
                  <c:v>609.87</c:v>
                </c:pt>
                <c:pt idx="233">
                  <c:v>370.52</c:v>
                </c:pt>
                <c:pt idx="234">
                  <c:v>71.680000000000007</c:v>
                </c:pt>
                <c:pt idx="235">
                  <c:v>36.799999999999997</c:v>
                </c:pt>
                <c:pt idx="236">
                  <c:v>36.56</c:v>
                </c:pt>
                <c:pt idx="237">
                  <c:v>36.17</c:v>
                </c:pt>
                <c:pt idx="238">
                  <c:v>35.770000000000003</c:v>
                </c:pt>
                <c:pt idx="239">
                  <c:v>35.65</c:v>
                </c:pt>
                <c:pt idx="240">
                  <c:v>36.44</c:v>
                </c:pt>
                <c:pt idx="241">
                  <c:v>37.31</c:v>
                </c:pt>
                <c:pt idx="242">
                  <c:v>36.93</c:v>
                </c:pt>
                <c:pt idx="243">
                  <c:v>36.880000000000003</c:v>
                </c:pt>
                <c:pt idx="244">
                  <c:v>37.08</c:v>
                </c:pt>
                <c:pt idx="245">
                  <c:v>37.17</c:v>
                </c:pt>
                <c:pt idx="246">
                  <c:v>37.840000000000003</c:v>
                </c:pt>
                <c:pt idx="247">
                  <c:v>103.98</c:v>
                </c:pt>
                <c:pt idx="248">
                  <c:v>544.23</c:v>
                </c:pt>
                <c:pt idx="249">
                  <c:v>727.54</c:v>
                </c:pt>
                <c:pt idx="250">
                  <c:v>1026.98</c:v>
                </c:pt>
                <c:pt idx="251">
                  <c:v>1039.6400000000001</c:v>
                </c:pt>
                <c:pt idx="252">
                  <c:v>1032.6600000000001</c:v>
                </c:pt>
                <c:pt idx="253">
                  <c:v>1023.79</c:v>
                </c:pt>
                <c:pt idx="254">
                  <c:v>1042.5</c:v>
                </c:pt>
                <c:pt idx="255">
                  <c:v>1036.0999999999999</c:v>
                </c:pt>
                <c:pt idx="256">
                  <c:v>1030.04</c:v>
                </c:pt>
                <c:pt idx="257">
                  <c:v>855.34</c:v>
                </c:pt>
                <c:pt idx="258">
                  <c:v>687.79</c:v>
                </c:pt>
                <c:pt idx="259">
                  <c:v>359.53</c:v>
                </c:pt>
                <c:pt idx="260">
                  <c:v>155.96</c:v>
                </c:pt>
                <c:pt idx="261">
                  <c:v>46.71</c:v>
                </c:pt>
                <c:pt idx="262">
                  <c:v>41.68</c:v>
                </c:pt>
                <c:pt idx="263">
                  <c:v>41.52</c:v>
                </c:pt>
                <c:pt idx="264">
                  <c:v>41.75</c:v>
                </c:pt>
                <c:pt idx="265">
                  <c:v>41.97</c:v>
                </c:pt>
                <c:pt idx="266">
                  <c:v>42.18</c:v>
                </c:pt>
                <c:pt idx="267">
                  <c:v>41.86</c:v>
                </c:pt>
                <c:pt idx="268">
                  <c:v>41.82</c:v>
                </c:pt>
                <c:pt idx="269">
                  <c:v>41.55</c:v>
                </c:pt>
                <c:pt idx="270">
                  <c:v>41.79</c:v>
                </c:pt>
                <c:pt idx="271">
                  <c:v>41.67</c:v>
                </c:pt>
                <c:pt idx="272">
                  <c:v>41.39</c:v>
                </c:pt>
                <c:pt idx="273">
                  <c:v>41.15</c:v>
                </c:pt>
                <c:pt idx="274">
                  <c:v>41.32</c:v>
                </c:pt>
                <c:pt idx="275">
                  <c:v>40.590000000000003</c:v>
                </c:pt>
                <c:pt idx="276">
                  <c:v>136.79</c:v>
                </c:pt>
                <c:pt idx="277">
                  <c:v>388.59</c:v>
                </c:pt>
                <c:pt idx="278">
                  <c:v>374.39</c:v>
                </c:pt>
                <c:pt idx="279">
                  <c:v>374.46</c:v>
                </c:pt>
                <c:pt idx="280">
                  <c:v>256.95</c:v>
                </c:pt>
                <c:pt idx="281">
                  <c:v>41.48</c:v>
                </c:pt>
                <c:pt idx="282">
                  <c:v>41.56</c:v>
                </c:pt>
                <c:pt idx="283">
                  <c:v>41.74</c:v>
                </c:pt>
                <c:pt idx="284">
                  <c:v>40.880000000000003</c:v>
                </c:pt>
                <c:pt idx="285">
                  <c:v>40.71</c:v>
                </c:pt>
                <c:pt idx="286">
                  <c:v>39.68</c:v>
                </c:pt>
                <c:pt idx="287">
                  <c:v>37.090000000000003</c:v>
                </c:pt>
                <c:pt idx="288">
                  <c:v>34.85</c:v>
                </c:pt>
                <c:pt idx="289">
                  <c:v>34.19</c:v>
                </c:pt>
                <c:pt idx="290">
                  <c:v>32.159999999999997</c:v>
                </c:pt>
                <c:pt idx="291">
                  <c:v>30.94</c:v>
                </c:pt>
                <c:pt idx="292">
                  <c:v>32.28</c:v>
                </c:pt>
                <c:pt idx="293">
                  <c:v>33.39</c:v>
                </c:pt>
                <c:pt idx="294">
                  <c:v>34.92</c:v>
                </c:pt>
                <c:pt idx="295">
                  <c:v>36.58</c:v>
                </c:pt>
                <c:pt idx="296">
                  <c:v>36.67</c:v>
                </c:pt>
                <c:pt idx="297">
                  <c:v>163.5</c:v>
                </c:pt>
                <c:pt idx="298">
                  <c:v>500.54</c:v>
                </c:pt>
                <c:pt idx="299">
                  <c:v>699.88</c:v>
                </c:pt>
                <c:pt idx="300">
                  <c:v>701.87</c:v>
                </c:pt>
                <c:pt idx="301">
                  <c:v>704.97</c:v>
                </c:pt>
                <c:pt idx="302">
                  <c:v>703.35</c:v>
                </c:pt>
                <c:pt idx="303">
                  <c:v>703.88</c:v>
                </c:pt>
                <c:pt idx="304">
                  <c:v>704.96</c:v>
                </c:pt>
                <c:pt idx="305">
                  <c:v>621.1</c:v>
                </c:pt>
                <c:pt idx="306">
                  <c:v>350.09</c:v>
                </c:pt>
                <c:pt idx="307">
                  <c:v>195.03</c:v>
                </c:pt>
                <c:pt idx="308">
                  <c:v>52.8</c:v>
                </c:pt>
                <c:pt idx="309">
                  <c:v>42.55</c:v>
                </c:pt>
                <c:pt idx="310">
                  <c:v>42.53</c:v>
                </c:pt>
                <c:pt idx="311">
                  <c:v>42.68</c:v>
                </c:pt>
                <c:pt idx="312">
                  <c:v>42.71</c:v>
                </c:pt>
                <c:pt idx="313">
                  <c:v>42.84</c:v>
                </c:pt>
                <c:pt idx="314">
                  <c:v>42.78</c:v>
                </c:pt>
                <c:pt idx="315">
                  <c:v>42.9</c:v>
                </c:pt>
                <c:pt idx="316">
                  <c:v>43.32</c:v>
                </c:pt>
                <c:pt idx="317">
                  <c:v>43</c:v>
                </c:pt>
                <c:pt idx="318">
                  <c:v>42.73</c:v>
                </c:pt>
                <c:pt idx="319">
                  <c:v>43.12</c:v>
                </c:pt>
                <c:pt idx="320">
                  <c:v>43.54</c:v>
                </c:pt>
                <c:pt idx="321">
                  <c:v>43.19</c:v>
                </c:pt>
                <c:pt idx="322">
                  <c:v>43.6</c:v>
                </c:pt>
                <c:pt idx="323">
                  <c:v>43.57</c:v>
                </c:pt>
                <c:pt idx="324">
                  <c:v>43.84</c:v>
                </c:pt>
                <c:pt idx="325">
                  <c:v>43.74</c:v>
                </c:pt>
                <c:pt idx="326">
                  <c:v>43.56</c:v>
                </c:pt>
                <c:pt idx="327">
                  <c:v>43.51</c:v>
                </c:pt>
                <c:pt idx="328">
                  <c:v>43.92</c:v>
                </c:pt>
                <c:pt idx="329">
                  <c:v>43.94</c:v>
                </c:pt>
                <c:pt idx="330">
                  <c:v>43.91</c:v>
                </c:pt>
                <c:pt idx="331">
                  <c:v>43.76</c:v>
                </c:pt>
                <c:pt idx="332">
                  <c:v>42.91</c:v>
                </c:pt>
                <c:pt idx="333">
                  <c:v>42.78</c:v>
                </c:pt>
                <c:pt idx="334">
                  <c:v>43.28</c:v>
                </c:pt>
                <c:pt idx="335">
                  <c:v>43.43</c:v>
                </c:pt>
                <c:pt idx="336">
                  <c:v>43.58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76-FA47-A0C7-1A4030977CFB}"/>
            </c:ext>
          </c:extLst>
        </c:ser>
        <c:ser>
          <c:idx val="7"/>
          <c:order val="3"/>
          <c:tx>
            <c:strRef>
              <c:f>Wind!$F$1</c:f>
              <c:strCache>
                <c:ptCount val="1"/>
                <c:pt idx="0">
                  <c:v>Wind -  MW</c:v>
                </c:pt>
              </c:strCache>
            </c:strRef>
          </c:tx>
          <c:spPr>
            <a:solidFill>
              <a:srgbClr val="269FAC"/>
            </a:solidFill>
          </c:spPr>
          <c:val>
            <c:numRef>
              <c:f>Wind!$F$2:$F$338</c:f>
              <c:numCache>
                <c:formatCode>#,##0</c:formatCode>
                <c:ptCount val="337"/>
                <c:pt idx="0">
                  <c:v>1569.25</c:v>
                </c:pt>
                <c:pt idx="1">
                  <c:v>1626.93</c:v>
                </c:pt>
                <c:pt idx="2">
                  <c:v>1717.61</c:v>
                </c:pt>
                <c:pt idx="3">
                  <c:v>1735.37</c:v>
                </c:pt>
                <c:pt idx="4">
                  <c:v>1759.84</c:v>
                </c:pt>
                <c:pt idx="5">
                  <c:v>1832.99</c:v>
                </c:pt>
                <c:pt idx="6">
                  <c:v>1820.41</c:v>
                </c:pt>
                <c:pt idx="7">
                  <c:v>1870.99</c:v>
                </c:pt>
                <c:pt idx="8">
                  <c:v>1904.08</c:v>
                </c:pt>
                <c:pt idx="9">
                  <c:v>1924.31</c:v>
                </c:pt>
                <c:pt idx="10">
                  <c:v>1944.45</c:v>
                </c:pt>
                <c:pt idx="11">
                  <c:v>1999.15</c:v>
                </c:pt>
                <c:pt idx="12">
                  <c:v>2028.92</c:v>
                </c:pt>
                <c:pt idx="13">
                  <c:v>1986.17</c:v>
                </c:pt>
                <c:pt idx="14">
                  <c:v>1944.55</c:v>
                </c:pt>
                <c:pt idx="15">
                  <c:v>1893.48</c:v>
                </c:pt>
                <c:pt idx="16">
                  <c:v>1840.63</c:v>
                </c:pt>
                <c:pt idx="17">
                  <c:v>1711.43</c:v>
                </c:pt>
                <c:pt idx="18">
                  <c:v>1597.28</c:v>
                </c:pt>
                <c:pt idx="19">
                  <c:v>1542.07</c:v>
                </c:pt>
                <c:pt idx="20">
                  <c:v>1524.18</c:v>
                </c:pt>
                <c:pt idx="21">
                  <c:v>1476.49</c:v>
                </c:pt>
                <c:pt idx="22">
                  <c:v>1382.8</c:v>
                </c:pt>
                <c:pt idx="23">
                  <c:v>1309.52</c:v>
                </c:pt>
                <c:pt idx="24">
                  <c:v>1326.11</c:v>
                </c:pt>
                <c:pt idx="25">
                  <c:v>1360.1</c:v>
                </c:pt>
                <c:pt idx="26">
                  <c:v>1420.98</c:v>
                </c:pt>
                <c:pt idx="27">
                  <c:v>1340.77</c:v>
                </c:pt>
                <c:pt idx="28">
                  <c:v>1443.86</c:v>
                </c:pt>
                <c:pt idx="29">
                  <c:v>1499.18</c:v>
                </c:pt>
                <c:pt idx="30">
                  <c:v>1488.17</c:v>
                </c:pt>
                <c:pt idx="31">
                  <c:v>1509.53</c:v>
                </c:pt>
                <c:pt idx="32">
                  <c:v>1425.83</c:v>
                </c:pt>
                <c:pt idx="33">
                  <c:v>1482.43</c:v>
                </c:pt>
                <c:pt idx="34">
                  <c:v>1371.53</c:v>
                </c:pt>
                <c:pt idx="35">
                  <c:v>1262.98</c:v>
                </c:pt>
                <c:pt idx="36">
                  <c:v>1211.46</c:v>
                </c:pt>
                <c:pt idx="37">
                  <c:v>1196.57</c:v>
                </c:pt>
                <c:pt idx="38">
                  <c:v>1088.75</c:v>
                </c:pt>
                <c:pt idx="39">
                  <c:v>1027.05</c:v>
                </c:pt>
                <c:pt idx="40">
                  <c:v>922.26</c:v>
                </c:pt>
                <c:pt idx="41">
                  <c:v>928.76</c:v>
                </c:pt>
                <c:pt idx="42">
                  <c:v>954.13</c:v>
                </c:pt>
                <c:pt idx="43">
                  <c:v>950.09</c:v>
                </c:pt>
                <c:pt idx="44">
                  <c:v>940.09</c:v>
                </c:pt>
                <c:pt idx="45">
                  <c:v>934</c:v>
                </c:pt>
                <c:pt idx="46">
                  <c:v>990.65</c:v>
                </c:pt>
                <c:pt idx="47">
                  <c:v>997.2</c:v>
                </c:pt>
                <c:pt idx="48">
                  <c:v>942.36</c:v>
                </c:pt>
                <c:pt idx="49">
                  <c:v>897.81</c:v>
                </c:pt>
                <c:pt idx="50">
                  <c:v>937.44</c:v>
                </c:pt>
                <c:pt idx="51">
                  <c:v>886.17</c:v>
                </c:pt>
                <c:pt idx="52">
                  <c:v>882.42</c:v>
                </c:pt>
                <c:pt idx="53">
                  <c:v>948.74</c:v>
                </c:pt>
                <c:pt idx="54">
                  <c:v>972.05</c:v>
                </c:pt>
                <c:pt idx="55">
                  <c:v>928.08</c:v>
                </c:pt>
                <c:pt idx="56">
                  <c:v>936.68</c:v>
                </c:pt>
                <c:pt idx="57">
                  <c:v>842.16</c:v>
                </c:pt>
                <c:pt idx="58">
                  <c:v>849.72</c:v>
                </c:pt>
                <c:pt idx="59">
                  <c:v>918.11</c:v>
                </c:pt>
                <c:pt idx="60">
                  <c:v>892.72</c:v>
                </c:pt>
                <c:pt idx="61">
                  <c:v>834.08</c:v>
                </c:pt>
                <c:pt idx="62">
                  <c:v>773.64</c:v>
                </c:pt>
                <c:pt idx="63">
                  <c:v>612.73</c:v>
                </c:pt>
                <c:pt idx="64">
                  <c:v>613.29999999999995</c:v>
                </c:pt>
                <c:pt idx="65">
                  <c:v>679.39</c:v>
                </c:pt>
                <c:pt idx="66">
                  <c:v>731.77</c:v>
                </c:pt>
                <c:pt idx="67">
                  <c:v>696.27</c:v>
                </c:pt>
                <c:pt idx="68">
                  <c:v>658.89</c:v>
                </c:pt>
                <c:pt idx="69">
                  <c:v>637.21</c:v>
                </c:pt>
                <c:pt idx="70">
                  <c:v>532.70000000000005</c:v>
                </c:pt>
                <c:pt idx="71">
                  <c:v>502.98</c:v>
                </c:pt>
                <c:pt idx="72">
                  <c:v>492.94</c:v>
                </c:pt>
                <c:pt idx="73">
                  <c:v>516.82000000000005</c:v>
                </c:pt>
                <c:pt idx="74">
                  <c:v>616.01</c:v>
                </c:pt>
                <c:pt idx="75">
                  <c:v>587.45000000000005</c:v>
                </c:pt>
                <c:pt idx="76">
                  <c:v>458.51</c:v>
                </c:pt>
                <c:pt idx="77">
                  <c:v>495.65</c:v>
                </c:pt>
                <c:pt idx="78">
                  <c:v>560.57000000000005</c:v>
                </c:pt>
                <c:pt idx="79">
                  <c:v>565.66999999999996</c:v>
                </c:pt>
                <c:pt idx="80">
                  <c:v>572.49</c:v>
                </c:pt>
                <c:pt idx="81">
                  <c:v>561.38</c:v>
                </c:pt>
                <c:pt idx="82">
                  <c:v>539.91999999999996</c:v>
                </c:pt>
                <c:pt idx="83">
                  <c:v>529.91</c:v>
                </c:pt>
                <c:pt idx="84">
                  <c:v>542.15</c:v>
                </c:pt>
                <c:pt idx="85">
                  <c:v>548.48</c:v>
                </c:pt>
                <c:pt idx="86">
                  <c:v>650.45000000000005</c:v>
                </c:pt>
                <c:pt idx="87">
                  <c:v>815.1</c:v>
                </c:pt>
                <c:pt idx="88">
                  <c:v>909.3</c:v>
                </c:pt>
                <c:pt idx="89">
                  <c:v>852.04</c:v>
                </c:pt>
                <c:pt idx="90">
                  <c:v>822.65</c:v>
                </c:pt>
                <c:pt idx="91">
                  <c:v>862.94</c:v>
                </c:pt>
                <c:pt idx="92">
                  <c:v>914.75</c:v>
                </c:pt>
                <c:pt idx="93">
                  <c:v>981.91</c:v>
                </c:pt>
                <c:pt idx="94">
                  <c:v>968.43</c:v>
                </c:pt>
                <c:pt idx="95">
                  <c:v>1108.4000000000001</c:v>
                </c:pt>
                <c:pt idx="96">
                  <c:v>1244.3499999999999</c:v>
                </c:pt>
                <c:pt idx="97">
                  <c:v>1347.9</c:v>
                </c:pt>
                <c:pt idx="98">
                  <c:v>1414.94</c:v>
                </c:pt>
                <c:pt idx="99">
                  <c:v>1447.94</c:v>
                </c:pt>
                <c:pt idx="100">
                  <c:v>1471.44</c:v>
                </c:pt>
                <c:pt idx="101">
                  <c:v>1450.15</c:v>
                </c:pt>
                <c:pt idx="102">
                  <c:v>1513.1</c:v>
                </c:pt>
                <c:pt idx="103">
                  <c:v>1592.88</c:v>
                </c:pt>
                <c:pt idx="104">
                  <c:v>1627.76</c:v>
                </c:pt>
                <c:pt idx="105">
                  <c:v>1637.74</c:v>
                </c:pt>
                <c:pt idx="106">
                  <c:v>1641.12</c:v>
                </c:pt>
                <c:pt idx="107">
                  <c:v>1690.78</c:v>
                </c:pt>
                <c:pt idx="108">
                  <c:v>1801.5</c:v>
                </c:pt>
                <c:pt idx="109">
                  <c:v>1949.97</c:v>
                </c:pt>
                <c:pt idx="110">
                  <c:v>2046.18</c:v>
                </c:pt>
                <c:pt idx="111">
                  <c:v>2096.2800000000002</c:v>
                </c:pt>
                <c:pt idx="112">
                  <c:v>2138.23</c:v>
                </c:pt>
                <c:pt idx="113">
                  <c:v>2158.5300000000002</c:v>
                </c:pt>
                <c:pt idx="114">
                  <c:v>2151.7600000000002</c:v>
                </c:pt>
                <c:pt idx="115">
                  <c:v>2106.94</c:v>
                </c:pt>
                <c:pt idx="116">
                  <c:v>2065.66</c:v>
                </c:pt>
                <c:pt idx="117">
                  <c:v>2095.64</c:v>
                </c:pt>
                <c:pt idx="118">
                  <c:v>2144.85</c:v>
                </c:pt>
                <c:pt idx="119">
                  <c:v>2190.79</c:v>
                </c:pt>
                <c:pt idx="120">
                  <c:v>2233.4299999999998</c:v>
                </c:pt>
                <c:pt idx="121">
                  <c:v>2282.92</c:v>
                </c:pt>
                <c:pt idx="122">
                  <c:v>2301.21</c:v>
                </c:pt>
                <c:pt idx="123">
                  <c:v>2267.08</c:v>
                </c:pt>
                <c:pt idx="124">
                  <c:v>2249.91</c:v>
                </c:pt>
                <c:pt idx="125">
                  <c:v>2264.0500000000002</c:v>
                </c:pt>
                <c:pt idx="126">
                  <c:v>2116.71</c:v>
                </c:pt>
                <c:pt idx="127">
                  <c:v>2004.46</c:v>
                </c:pt>
                <c:pt idx="128">
                  <c:v>1914.67</c:v>
                </c:pt>
                <c:pt idx="129">
                  <c:v>1963.07</c:v>
                </c:pt>
                <c:pt idx="130">
                  <c:v>1767.6</c:v>
                </c:pt>
                <c:pt idx="131">
                  <c:v>1750.97</c:v>
                </c:pt>
                <c:pt idx="132">
                  <c:v>1760.49</c:v>
                </c:pt>
                <c:pt idx="133">
                  <c:v>1750.08</c:v>
                </c:pt>
                <c:pt idx="134">
                  <c:v>1818.48</c:v>
                </c:pt>
                <c:pt idx="135">
                  <c:v>1670.48</c:v>
                </c:pt>
                <c:pt idx="136">
                  <c:v>1447.65</c:v>
                </c:pt>
                <c:pt idx="137">
                  <c:v>1171.56</c:v>
                </c:pt>
                <c:pt idx="138">
                  <c:v>1027.68</c:v>
                </c:pt>
                <c:pt idx="139">
                  <c:v>960.08</c:v>
                </c:pt>
                <c:pt idx="140">
                  <c:v>905.81</c:v>
                </c:pt>
                <c:pt idx="141">
                  <c:v>892.28</c:v>
                </c:pt>
                <c:pt idx="142">
                  <c:v>952.99</c:v>
                </c:pt>
                <c:pt idx="143">
                  <c:v>940.11</c:v>
                </c:pt>
                <c:pt idx="144">
                  <c:v>1044</c:v>
                </c:pt>
                <c:pt idx="145">
                  <c:v>1128.8499999999999</c:v>
                </c:pt>
                <c:pt idx="146">
                  <c:v>1011.38</c:v>
                </c:pt>
                <c:pt idx="147">
                  <c:v>910.82</c:v>
                </c:pt>
                <c:pt idx="148">
                  <c:v>911.78</c:v>
                </c:pt>
                <c:pt idx="149">
                  <c:v>948.64</c:v>
                </c:pt>
                <c:pt idx="150">
                  <c:v>981.61</c:v>
                </c:pt>
                <c:pt idx="151">
                  <c:v>954.63</c:v>
                </c:pt>
                <c:pt idx="152">
                  <c:v>873.6</c:v>
                </c:pt>
                <c:pt idx="153">
                  <c:v>806.58</c:v>
                </c:pt>
                <c:pt idx="154">
                  <c:v>735.13</c:v>
                </c:pt>
                <c:pt idx="155">
                  <c:v>698.01</c:v>
                </c:pt>
                <c:pt idx="156">
                  <c:v>757.01</c:v>
                </c:pt>
                <c:pt idx="157">
                  <c:v>899.33</c:v>
                </c:pt>
                <c:pt idx="158">
                  <c:v>982.25</c:v>
                </c:pt>
                <c:pt idx="159">
                  <c:v>906.66</c:v>
                </c:pt>
                <c:pt idx="160">
                  <c:v>958.46</c:v>
                </c:pt>
                <c:pt idx="161">
                  <c:v>938.8</c:v>
                </c:pt>
                <c:pt idx="162">
                  <c:v>1015.38</c:v>
                </c:pt>
                <c:pt idx="163">
                  <c:v>1087.1199999999999</c:v>
                </c:pt>
                <c:pt idx="164">
                  <c:v>1082.3599999999999</c:v>
                </c:pt>
                <c:pt idx="165">
                  <c:v>1114.56</c:v>
                </c:pt>
                <c:pt idx="166">
                  <c:v>1073.1500000000001</c:v>
                </c:pt>
                <c:pt idx="167">
                  <c:v>1072.5999999999999</c:v>
                </c:pt>
                <c:pt idx="168">
                  <c:v>911.54</c:v>
                </c:pt>
                <c:pt idx="169">
                  <c:v>777.82</c:v>
                </c:pt>
                <c:pt idx="170">
                  <c:v>699.34</c:v>
                </c:pt>
                <c:pt idx="171">
                  <c:v>808.09</c:v>
                </c:pt>
                <c:pt idx="172">
                  <c:v>800.59</c:v>
                </c:pt>
                <c:pt idx="173">
                  <c:v>717.32</c:v>
                </c:pt>
                <c:pt idx="174">
                  <c:v>700.78</c:v>
                </c:pt>
                <c:pt idx="175">
                  <c:v>777.11</c:v>
                </c:pt>
                <c:pt idx="176">
                  <c:v>955.64</c:v>
                </c:pt>
                <c:pt idx="177">
                  <c:v>1134.6600000000001</c:v>
                </c:pt>
                <c:pt idx="178">
                  <c:v>1342.23</c:v>
                </c:pt>
                <c:pt idx="179">
                  <c:v>1525.44</c:v>
                </c:pt>
                <c:pt idx="180">
                  <c:v>1567.48</c:v>
                </c:pt>
                <c:pt idx="181">
                  <c:v>1591.65</c:v>
                </c:pt>
                <c:pt idx="182">
                  <c:v>1593.9</c:v>
                </c:pt>
                <c:pt idx="183">
                  <c:v>1578.1</c:v>
                </c:pt>
                <c:pt idx="184">
                  <c:v>1422.89</c:v>
                </c:pt>
                <c:pt idx="185">
                  <c:v>1308.97</c:v>
                </c:pt>
                <c:pt idx="186">
                  <c:v>1227.52</c:v>
                </c:pt>
                <c:pt idx="187">
                  <c:v>1129.9100000000001</c:v>
                </c:pt>
                <c:pt idx="188">
                  <c:v>1128.6500000000001</c:v>
                </c:pt>
                <c:pt idx="189">
                  <c:v>1198.98</c:v>
                </c:pt>
                <c:pt idx="190">
                  <c:v>1211.49</c:v>
                </c:pt>
                <c:pt idx="191">
                  <c:v>1184.02</c:v>
                </c:pt>
                <c:pt idx="192">
                  <c:v>1205.7</c:v>
                </c:pt>
                <c:pt idx="193">
                  <c:v>1253.3800000000001</c:v>
                </c:pt>
                <c:pt idx="194">
                  <c:v>1200.22</c:v>
                </c:pt>
                <c:pt idx="195">
                  <c:v>1089.4000000000001</c:v>
                </c:pt>
                <c:pt idx="196">
                  <c:v>1085.81</c:v>
                </c:pt>
                <c:pt idx="197">
                  <c:v>1100.31</c:v>
                </c:pt>
                <c:pt idx="198">
                  <c:v>1028.5</c:v>
                </c:pt>
                <c:pt idx="199">
                  <c:v>1116.44</c:v>
                </c:pt>
                <c:pt idx="200">
                  <c:v>1114.25</c:v>
                </c:pt>
                <c:pt idx="201">
                  <c:v>1027.3699999999999</c:v>
                </c:pt>
                <c:pt idx="202">
                  <c:v>1008.6</c:v>
                </c:pt>
                <c:pt idx="203">
                  <c:v>1065.6500000000001</c:v>
                </c:pt>
                <c:pt idx="204">
                  <c:v>1164.3399999999999</c:v>
                </c:pt>
                <c:pt idx="205">
                  <c:v>1239.46</c:v>
                </c:pt>
                <c:pt idx="206">
                  <c:v>1337.7</c:v>
                </c:pt>
                <c:pt idx="207">
                  <c:v>1383.15</c:v>
                </c:pt>
                <c:pt idx="208">
                  <c:v>1214.76</c:v>
                </c:pt>
                <c:pt idx="209">
                  <c:v>1100</c:v>
                </c:pt>
                <c:pt idx="210">
                  <c:v>983.93</c:v>
                </c:pt>
                <c:pt idx="211">
                  <c:v>917.71</c:v>
                </c:pt>
                <c:pt idx="212">
                  <c:v>828.47</c:v>
                </c:pt>
                <c:pt idx="213">
                  <c:v>879.75</c:v>
                </c:pt>
                <c:pt idx="214">
                  <c:v>979.2</c:v>
                </c:pt>
                <c:pt idx="215">
                  <c:v>933.73</c:v>
                </c:pt>
                <c:pt idx="216">
                  <c:v>954.46</c:v>
                </c:pt>
                <c:pt idx="217">
                  <c:v>985.39</c:v>
                </c:pt>
                <c:pt idx="218">
                  <c:v>1041.4000000000001</c:v>
                </c:pt>
                <c:pt idx="219">
                  <c:v>1014.4</c:v>
                </c:pt>
                <c:pt idx="220">
                  <c:v>918.22</c:v>
                </c:pt>
                <c:pt idx="221">
                  <c:v>822.27</c:v>
                </c:pt>
                <c:pt idx="222">
                  <c:v>831.72</c:v>
                </c:pt>
                <c:pt idx="223">
                  <c:v>880.97</c:v>
                </c:pt>
                <c:pt idx="224">
                  <c:v>947.86</c:v>
                </c:pt>
                <c:pt idx="225">
                  <c:v>980.55</c:v>
                </c:pt>
                <c:pt idx="226">
                  <c:v>995.76</c:v>
                </c:pt>
                <c:pt idx="227">
                  <c:v>991.43</c:v>
                </c:pt>
                <c:pt idx="228">
                  <c:v>984.67</c:v>
                </c:pt>
                <c:pt idx="229">
                  <c:v>904.96</c:v>
                </c:pt>
                <c:pt idx="230">
                  <c:v>842.58</c:v>
                </c:pt>
                <c:pt idx="231">
                  <c:v>786.68</c:v>
                </c:pt>
                <c:pt idx="232">
                  <c:v>728.07</c:v>
                </c:pt>
                <c:pt idx="233">
                  <c:v>577.47</c:v>
                </c:pt>
                <c:pt idx="234">
                  <c:v>520.59</c:v>
                </c:pt>
                <c:pt idx="235">
                  <c:v>506.81</c:v>
                </c:pt>
                <c:pt idx="236">
                  <c:v>457.49</c:v>
                </c:pt>
                <c:pt idx="237">
                  <c:v>466.01</c:v>
                </c:pt>
                <c:pt idx="238">
                  <c:v>437.97</c:v>
                </c:pt>
                <c:pt idx="239">
                  <c:v>394.03</c:v>
                </c:pt>
                <c:pt idx="240">
                  <c:v>418.58</c:v>
                </c:pt>
                <c:pt idx="241">
                  <c:v>507.13</c:v>
                </c:pt>
                <c:pt idx="242">
                  <c:v>550.49</c:v>
                </c:pt>
                <c:pt idx="243">
                  <c:v>618.38</c:v>
                </c:pt>
                <c:pt idx="244">
                  <c:v>660.47</c:v>
                </c:pt>
                <c:pt idx="245">
                  <c:v>663.22</c:v>
                </c:pt>
                <c:pt idx="246">
                  <c:v>642.19000000000005</c:v>
                </c:pt>
                <c:pt idx="247">
                  <c:v>613.4</c:v>
                </c:pt>
                <c:pt idx="248">
                  <c:v>600.11</c:v>
                </c:pt>
                <c:pt idx="249">
                  <c:v>555.47</c:v>
                </c:pt>
                <c:pt idx="250">
                  <c:v>513.66999999999996</c:v>
                </c:pt>
                <c:pt idx="251">
                  <c:v>530.42999999999995</c:v>
                </c:pt>
                <c:pt idx="252">
                  <c:v>528.08000000000004</c:v>
                </c:pt>
                <c:pt idx="253">
                  <c:v>540.27</c:v>
                </c:pt>
                <c:pt idx="254">
                  <c:v>466.98</c:v>
                </c:pt>
                <c:pt idx="255">
                  <c:v>444.76</c:v>
                </c:pt>
                <c:pt idx="256">
                  <c:v>427.13</c:v>
                </c:pt>
                <c:pt idx="257">
                  <c:v>419.54</c:v>
                </c:pt>
                <c:pt idx="258">
                  <c:v>389.36</c:v>
                </c:pt>
                <c:pt idx="259">
                  <c:v>384.31</c:v>
                </c:pt>
                <c:pt idx="260">
                  <c:v>350.06</c:v>
                </c:pt>
                <c:pt idx="261">
                  <c:v>323.37</c:v>
                </c:pt>
                <c:pt idx="262">
                  <c:v>322.82</c:v>
                </c:pt>
                <c:pt idx="263">
                  <c:v>381.32</c:v>
                </c:pt>
                <c:pt idx="264">
                  <c:v>431.06</c:v>
                </c:pt>
                <c:pt idx="265">
                  <c:v>373.11</c:v>
                </c:pt>
                <c:pt idx="266">
                  <c:v>327.67</c:v>
                </c:pt>
                <c:pt idx="267">
                  <c:v>358.86</c:v>
                </c:pt>
                <c:pt idx="268">
                  <c:v>398.15</c:v>
                </c:pt>
                <c:pt idx="269">
                  <c:v>366.58</c:v>
                </c:pt>
                <c:pt idx="270">
                  <c:v>315.26</c:v>
                </c:pt>
                <c:pt idx="271">
                  <c:v>346.46</c:v>
                </c:pt>
                <c:pt idx="272">
                  <c:v>326.74</c:v>
                </c:pt>
                <c:pt idx="273">
                  <c:v>315.12</c:v>
                </c:pt>
                <c:pt idx="274">
                  <c:v>314.33</c:v>
                </c:pt>
                <c:pt idx="275">
                  <c:v>354.1</c:v>
                </c:pt>
                <c:pt idx="276">
                  <c:v>374.29</c:v>
                </c:pt>
                <c:pt idx="277">
                  <c:v>393.91</c:v>
                </c:pt>
                <c:pt idx="278">
                  <c:v>442.05</c:v>
                </c:pt>
                <c:pt idx="279">
                  <c:v>491.51</c:v>
                </c:pt>
                <c:pt idx="280">
                  <c:v>487.72</c:v>
                </c:pt>
                <c:pt idx="281">
                  <c:v>463.52</c:v>
                </c:pt>
                <c:pt idx="282">
                  <c:v>423.89</c:v>
                </c:pt>
                <c:pt idx="283">
                  <c:v>343.03</c:v>
                </c:pt>
                <c:pt idx="284">
                  <c:v>299.51</c:v>
                </c:pt>
                <c:pt idx="285">
                  <c:v>330.91</c:v>
                </c:pt>
                <c:pt idx="286">
                  <c:v>436.13</c:v>
                </c:pt>
                <c:pt idx="287">
                  <c:v>535.34</c:v>
                </c:pt>
                <c:pt idx="288">
                  <c:v>600.41</c:v>
                </c:pt>
                <c:pt idx="289">
                  <c:v>595.41999999999996</c:v>
                </c:pt>
                <c:pt idx="290">
                  <c:v>541.29999999999995</c:v>
                </c:pt>
                <c:pt idx="291">
                  <c:v>519.39</c:v>
                </c:pt>
                <c:pt idx="292">
                  <c:v>540.59</c:v>
                </c:pt>
                <c:pt idx="293">
                  <c:v>524.08000000000004</c:v>
                </c:pt>
                <c:pt idx="294">
                  <c:v>492.07</c:v>
                </c:pt>
                <c:pt idx="295">
                  <c:v>425.11</c:v>
                </c:pt>
                <c:pt idx="296">
                  <c:v>383.55</c:v>
                </c:pt>
                <c:pt idx="297">
                  <c:v>489.01</c:v>
                </c:pt>
                <c:pt idx="298">
                  <c:v>446.51</c:v>
                </c:pt>
                <c:pt idx="299">
                  <c:v>463.5</c:v>
                </c:pt>
                <c:pt idx="300">
                  <c:v>379.57</c:v>
                </c:pt>
                <c:pt idx="301">
                  <c:v>361.17</c:v>
                </c:pt>
                <c:pt idx="302">
                  <c:v>395.45</c:v>
                </c:pt>
                <c:pt idx="303">
                  <c:v>441.89</c:v>
                </c:pt>
                <c:pt idx="304">
                  <c:v>426.13</c:v>
                </c:pt>
                <c:pt idx="305">
                  <c:v>441.88</c:v>
                </c:pt>
                <c:pt idx="306">
                  <c:v>434.36</c:v>
                </c:pt>
                <c:pt idx="307">
                  <c:v>457.35</c:v>
                </c:pt>
                <c:pt idx="308">
                  <c:v>522.1</c:v>
                </c:pt>
                <c:pt idx="309">
                  <c:v>506.45</c:v>
                </c:pt>
                <c:pt idx="310">
                  <c:v>421.67</c:v>
                </c:pt>
                <c:pt idx="311">
                  <c:v>261.79000000000002</c:v>
                </c:pt>
                <c:pt idx="312">
                  <c:v>298.75</c:v>
                </c:pt>
                <c:pt idx="313">
                  <c:v>353.75</c:v>
                </c:pt>
                <c:pt idx="314">
                  <c:v>376.66</c:v>
                </c:pt>
                <c:pt idx="315">
                  <c:v>465.77</c:v>
                </c:pt>
                <c:pt idx="316">
                  <c:v>453.06</c:v>
                </c:pt>
                <c:pt idx="317">
                  <c:v>404.65</c:v>
                </c:pt>
                <c:pt idx="318">
                  <c:v>332.93</c:v>
                </c:pt>
                <c:pt idx="319">
                  <c:v>337.84</c:v>
                </c:pt>
                <c:pt idx="320">
                  <c:v>327.20999999999998</c:v>
                </c:pt>
                <c:pt idx="321">
                  <c:v>307.83</c:v>
                </c:pt>
                <c:pt idx="322">
                  <c:v>289.05</c:v>
                </c:pt>
                <c:pt idx="323">
                  <c:v>281.88</c:v>
                </c:pt>
                <c:pt idx="324">
                  <c:v>290.02999999999997</c:v>
                </c:pt>
                <c:pt idx="325">
                  <c:v>310.75</c:v>
                </c:pt>
                <c:pt idx="326">
                  <c:v>309.8</c:v>
                </c:pt>
                <c:pt idx="327">
                  <c:v>331.23</c:v>
                </c:pt>
                <c:pt idx="328">
                  <c:v>340.28</c:v>
                </c:pt>
                <c:pt idx="329">
                  <c:v>293.14</c:v>
                </c:pt>
                <c:pt idx="330">
                  <c:v>251.66</c:v>
                </c:pt>
                <c:pt idx="331">
                  <c:v>209.68</c:v>
                </c:pt>
                <c:pt idx="332">
                  <c:v>172.27</c:v>
                </c:pt>
                <c:pt idx="333">
                  <c:v>131.25</c:v>
                </c:pt>
                <c:pt idx="334">
                  <c:v>108.99</c:v>
                </c:pt>
                <c:pt idx="335">
                  <c:v>84.04</c:v>
                </c:pt>
                <c:pt idx="336">
                  <c:v>40.29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76-FA47-A0C7-1A403097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0"/>
          <c:order val="4"/>
          <c:tx>
            <c:strRef>
              <c:f>Wind!$G$1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22225" cap="rnd">
              <a:solidFill>
                <a:sysClr val="window" lastClr="FFFFFF"/>
              </a:solidFill>
              <a:round/>
            </a:ln>
            <a:effectLst/>
          </c:spPr>
          <c:marker>
            <c:symbol val="none"/>
          </c:marker>
          <c:cat>
            <c:strRef>
              <c:f>Wind!$I$2:$I$338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Wind!$G$2:$G$338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76-FA47-A0C7-1A403097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796224"/>
        <c:axId val="1675793744"/>
      </c:lineChart>
      <c:dateAx>
        <c:axId val="133680616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dd/mm/yyyy\&#10;hh: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  <c:minorUnit val="24"/>
      </c:dateAx>
      <c:valAx>
        <c:axId val="164812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Generation - MW</a:t>
                </a:r>
              </a:p>
            </c:rich>
          </c:tx>
          <c:layout>
            <c:manualLayout>
              <c:xMode val="edge"/>
              <c:yMode val="edge"/>
              <c:x val="7.3494008979550765E-3"/>
              <c:y val="0.33465643944668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  <c:majorUnit val="1000"/>
      </c:valAx>
      <c:valAx>
        <c:axId val="1675793744"/>
        <c:scaling>
          <c:orientation val="minMax"/>
          <c:max val="400"/>
          <c:min val="-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Spot Price</a:t>
                </a:r>
                <a:r>
                  <a:rPr lang="en-US" sz="1200" b="1" baseline="0"/>
                  <a:t> - $/MWh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98940110586117047"/>
              <c:y val="0.398052661739847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96224"/>
        <c:crosses val="max"/>
        <c:crossBetween val="between"/>
        <c:majorUnit val="50"/>
      </c:valAx>
      <c:catAx>
        <c:axId val="1675796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5793744"/>
        <c:crosses val="autoZero"/>
        <c:auto val="1"/>
        <c:lblAlgn val="ctr"/>
        <c:lblOffset val="100"/>
        <c:noMultiLvlLbl val="0"/>
      </c:catAx>
      <c:spPr>
        <a:solidFill>
          <a:srgbClr val="FFFBF7"/>
        </a:solidFill>
      </c:spPr>
    </c:plotArea>
    <c:legend>
      <c:legendPos val="b"/>
      <c:layout>
        <c:manualLayout>
          <c:xMode val="edge"/>
          <c:yMode val="edge"/>
          <c:x val="0.1044801907779075"/>
          <c:y val="0.93499137382376296"/>
          <c:w val="0.84225089694533462"/>
          <c:h val="5.9500621632822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FFBF7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Wind Variability and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784716348091669E-2"/>
          <c:y val="5.9467196814343565E-2"/>
          <c:w val="0.91403011659928501"/>
          <c:h val="0.76328577074795467"/>
        </c:manualLayout>
      </c:layout>
      <c:areaChart>
        <c:grouping val="stacked"/>
        <c:varyColors val="0"/>
        <c:ser>
          <c:idx val="5"/>
          <c:order val="0"/>
          <c:tx>
            <c:strRef>
              <c:f>Wind!$F$1</c:f>
              <c:strCache>
                <c:ptCount val="1"/>
                <c:pt idx="0">
                  <c:v>Wind -  MW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strRef>
              <c:f>Wind!$I$2:$I$338</c:f>
              <c:strCache>
                <c:ptCount val="312"/>
                <c:pt idx="23">
                  <c:v>12 Jul</c:v>
                </c:pt>
                <c:pt idx="71">
                  <c:v>13 Jul</c:v>
                </c:pt>
                <c:pt idx="119">
                  <c:v>14 Jul</c:v>
                </c:pt>
                <c:pt idx="167">
                  <c:v>15 Jul</c:v>
                </c:pt>
                <c:pt idx="215">
                  <c:v>16 Jul</c:v>
                </c:pt>
                <c:pt idx="263">
                  <c:v>17 Jul</c:v>
                </c:pt>
                <c:pt idx="311">
                  <c:v>18 Jul</c:v>
                </c:pt>
              </c:strCache>
            </c:strRef>
          </c:cat>
          <c:val>
            <c:numRef>
              <c:f>Wind!$F$2:$F$338</c:f>
              <c:numCache>
                <c:formatCode>#,##0</c:formatCode>
                <c:ptCount val="337"/>
                <c:pt idx="0">
                  <c:v>1569.25</c:v>
                </c:pt>
                <c:pt idx="1">
                  <c:v>1626.93</c:v>
                </c:pt>
                <c:pt idx="2">
                  <c:v>1717.61</c:v>
                </c:pt>
                <c:pt idx="3">
                  <c:v>1735.37</c:v>
                </c:pt>
                <c:pt idx="4">
                  <c:v>1759.84</c:v>
                </c:pt>
                <c:pt idx="5">
                  <c:v>1832.99</c:v>
                </c:pt>
                <c:pt idx="6">
                  <c:v>1820.41</c:v>
                </c:pt>
                <c:pt idx="7">
                  <c:v>1870.99</c:v>
                </c:pt>
                <c:pt idx="8">
                  <c:v>1904.08</c:v>
                </c:pt>
                <c:pt idx="9">
                  <c:v>1924.31</c:v>
                </c:pt>
                <c:pt idx="10">
                  <c:v>1944.45</c:v>
                </c:pt>
                <c:pt idx="11">
                  <c:v>1999.15</c:v>
                </c:pt>
                <c:pt idx="12">
                  <c:v>2028.92</c:v>
                </c:pt>
                <c:pt idx="13">
                  <c:v>1986.17</c:v>
                </c:pt>
                <c:pt idx="14">
                  <c:v>1944.55</c:v>
                </c:pt>
                <c:pt idx="15">
                  <c:v>1893.48</c:v>
                </c:pt>
                <c:pt idx="16">
                  <c:v>1840.63</c:v>
                </c:pt>
                <c:pt idx="17">
                  <c:v>1711.43</c:v>
                </c:pt>
                <c:pt idx="18">
                  <c:v>1597.28</c:v>
                </c:pt>
                <c:pt idx="19">
                  <c:v>1542.07</c:v>
                </c:pt>
                <c:pt idx="20">
                  <c:v>1524.18</c:v>
                </c:pt>
                <c:pt idx="21">
                  <c:v>1476.49</c:v>
                </c:pt>
                <c:pt idx="22">
                  <c:v>1382.8</c:v>
                </c:pt>
                <c:pt idx="23">
                  <c:v>1309.52</c:v>
                </c:pt>
                <c:pt idx="24">
                  <c:v>1326.11</c:v>
                </c:pt>
                <c:pt idx="25">
                  <c:v>1360.1</c:v>
                </c:pt>
                <c:pt idx="26">
                  <c:v>1420.98</c:v>
                </c:pt>
                <c:pt idx="27">
                  <c:v>1340.77</c:v>
                </c:pt>
                <c:pt idx="28">
                  <c:v>1443.86</c:v>
                </c:pt>
                <c:pt idx="29">
                  <c:v>1499.18</c:v>
                </c:pt>
                <c:pt idx="30">
                  <c:v>1488.17</c:v>
                </c:pt>
                <c:pt idx="31">
                  <c:v>1509.53</c:v>
                </c:pt>
                <c:pt idx="32">
                  <c:v>1425.83</c:v>
                </c:pt>
                <c:pt idx="33">
                  <c:v>1482.43</c:v>
                </c:pt>
                <c:pt idx="34">
                  <c:v>1371.53</c:v>
                </c:pt>
                <c:pt idx="35">
                  <c:v>1262.98</c:v>
                </c:pt>
                <c:pt idx="36">
                  <c:v>1211.46</c:v>
                </c:pt>
                <c:pt idx="37">
                  <c:v>1196.57</c:v>
                </c:pt>
                <c:pt idx="38">
                  <c:v>1088.75</c:v>
                </c:pt>
                <c:pt idx="39">
                  <c:v>1027.05</c:v>
                </c:pt>
                <c:pt idx="40">
                  <c:v>922.26</c:v>
                </c:pt>
                <c:pt idx="41">
                  <c:v>928.76</c:v>
                </c:pt>
                <c:pt idx="42">
                  <c:v>954.13</c:v>
                </c:pt>
                <c:pt idx="43">
                  <c:v>950.09</c:v>
                </c:pt>
                <c:pt idx="44">
                  <c:v>940.09</c:v>
                </c:pt>
                <c:pt idx="45">
                  <c:v>934</c:v>
                </c:pt>
                <c:pt idx="46">
                  <c:v>990.65</c:v>
                </c:pt>
                <c:pt idx="47">
                  <c:v>997.2</c:v>
                </c:pt>
                <c:pt idx="48">
                  <c:v>942.36</c:v>
                </c:pt>
                <c:pt idx="49">
                  <c:v>897.81</c:v>
                </c:pt>
                <c:pt idx="50">
                  <c:v>937.44</c:v>
                </c:pt>
                <c:pt idx="51">
                  <c:v>886.17</c:v>
                </c:pt>
                <c:pt idx="52">
                  <c:v>882.42</c:v>
                </c:pt>
                <c:pt idx="53">
                  <c:v>948.74</c:v>
                </c:pt>
                <c:pt idx="54">
                  <c:v>972.05</c:v>
                </c:pt>
                <c:pt idx="55">
                  <c:v>928.08</c:v>
                </c:pt>
                <c:pt idx="56">
                  <c:v>936.68</c:v>
                </c:pt>
                <c:pt idx="57">
                  <c:v>842.16</c:v>
                </c:pt>
                <c:pt idx="58">
                  <c:v>849.72</c:v>
                </c:pt>
                <c:pt idx="59">
                  <c:v>918.11</c:v>
                </c:pt>
                <c:pt idx="60">
                  <c:v>892.72</c:v>
                </c:pt>
                <c:pt idx="61">
                  <c:v>834.08</c:v>
                </c:pt>
                <c:pt idx="62">
                  <c:v>773.64</c:v>
                </c:pt>
                <c:pt idx="63">
                  <c:v>612.73</c:v>
                </c:pt>
                <c:pt idx="64">
                  <c:v>613.29999999999995</c:v>
                </c:pt>
                <c:pt idx="65">
                  <c:v>679.39</c:v>
                </c:pt>
                <c:pt idx="66">
                  <c:v>731.77</c:v>
                </c:pt>
                <c:pt idx="67">
                  <c:v>696.27</c:v>
                </c:pt>
                <c:pt idx="68">
                  <c:v>658.89</c:v>
                </c:pt>
                <c:pt idx="69">
                  <c:v>637.21</c:v>
                </c:pt>
                <c:pt idx="70">
                  <c:v>532.70000000000005</c:v>
                </c:pt>
                <c:pt idx="71">
                  <c:v>502.98</c:v>
                </c:pt>
                <c:pt idx="72">
                  <c:v>492.94</c:v>
                </c:pt>
                <c:pt idx="73">
                  <c:v>516.82000000000005</c:v>
                </c:pt>
                <c:pt idx="74">
                  <c:v>616.01</c:v>
                </c:pt>
                <c:pt idx="75">
                  <c:v>587.45000000000005</c:v>
                </c:pt>
                <c:pt idx="76">
                  <c:v>458.51</c:v>
                </c:pt>
                <c:pt idx="77">
                  <c:v>495.65</c:v>
                </c:pt>
                <c:pt idx="78">
                  <c:v>560.57000000000005</c:v>
                </c:pt>
                <c:pt idx="79">
                  <c:v>565.66999999999996</c:v>
                </c:pt>
                <c:pt idx="80">
                  <c:v>572.49</c:v>
                </c:pt>
                <c:pt idx="81">
                  <c:v>561.38</c:v>
                </c:pt>
                <c:pt idx="82">
                  <c:v>539.91999999999996</c:v>
                </c:pt>
                <c:pt idx="83">
                  <c:v>529.91</c:v>
                </c:pt>
                <c:pt idx="84">
                  <c:v>542.15</c:v>
                </c:pt>
                <c:pt idx="85">
                  <c:v>548.48</c:v>
                </c:pt>
                <c:pt idx="86">
                  <c:v>650.45000000000005</c:v>
                </c:pt>
                <c:pt idx="87">
                  <c:v>815.1</c:v>
                </c:pt>
                <c:pt idx="88">
                  <c:v>909.3</c:v>
                </c:pt>
                <c:pt idx="89">
                  <c:v>852.04</c:v>
                </c:pt>
                <c:pt idx="90">
                  <c:v>822.65</c:v>
                </c:pt>
                <c:pt idx="91">
                  <c:v>862.94</c:v>
                </c:pt>
                <c:pt idx="92">
                  <c:v>914.75</c:v>
                </c:pt>
                <c:pt idx="93">
                  <c:v>981.91</c:v>
                </c:pt>
                <c:pt idx="94">
                  <c:v>968.43</c:v>
                </c:pt>
                <c:pt idx="95">
                  <c:v>1108.4000000000001</c:v>
                </c:pt>
                <c:pt idx="96">
                  <c:v>1244.3499999999999</c:v>
                </c:pt>
                <c:pt idx="97">
                  <c:v>1347.9</c:v>
                </c:pt>
                <c:pt idx="98">
                  <c:v>1414.94</c:v>
                </c:pt>
                <c:pt idx="99">
                  <c:v>1447.94</c:v>
                </c:pt>
                <c:pt idx="100">
                  <c:v>1471.44</c:v>
                </c:pt>
                <c:pt idx="101">
                  <c:v>1450.15</c:v>
                </c:pt>
                <c:pt idx="102">
                  <c:v>1513.1</c:v>
                </c:pt>
                <c:pt idx="103">
                  <c:v>1592.88</c:v>
                </c:pt>
                <c:pt idx="104">
                  <c:v>1627.76</c:v>
                </c:pt>
                <c:pt idx="105">
                  <c:v>1637.74</c:v>
                </c:pt>
                <c:pt idx="106">
                  <c:v>1641.12</c:v>
                </c:pt>
                <c:pt idx="107">
                  <c:v>1690.78</c:v>
                </c:pt>
                <c:pt idx="108">
                  <c:v>1801.5</c:v>
                </c:pt>
                <c:pt idx="109">
                  <c:v>1949.97</c:v>
                </c:pt>
                <c:pt idx="110">
                  <c:v>2046.18</c:v>
                </c:pt>
                <c:pt idx="111">
                  <c:v>2096.2800000000002</c:v>
                </c:pt>
                <c:pt idx="112">
                  <c:v>2138.23</c:v>
                </c:pt>
                <c:pt idx="113">
                  <c:v>2158.5300000000002</c:v>
                </c:pt>
                <c:pt idx="114">
                  <c:v>2151.7600000000002</c:v>
                </c:pt>
                <c:pt idx="115">
                  <c:v>2106.94</c:v>
                </c:pt>
                <c:pt idx="116">
                  <c:v>2065.66</c:v>
                </c:pt>
                <c:pt idx="117">
                  <c:v>2095.64</c:v>
                </c:pt>
                <c:pt idx="118">
                  <c:v>2144.85</c:v>
                </c:pt>
                <c:pt idx="119">
                  <c:v>2190.79</c:v>
                </c:pt>
                <c:pt idx="120">
                  <c:v>2233.4299999999998</c:v>
                </c:pt>
                <c:pt idx="121">
                  <c:v>2282.92</c:v>
                </c:pt>
                <c:pt idx="122">
                  <c:v>2301.21</c:v>
                </c:pt>
                <c:pt idx="123">
                  <c:v>2267.08</c:v>
                </c:pt>
                <c:pt idx="124">
                  <c:v>2249.91</c:v>
                </c:pt>
                <c:pt idx="125">
                  <c:v>2264.0500000000002</c:v>
                </c:pt>
                <c:pt idx="126">
                  <c:v>2116.71</c:v>
                </c:pt>
                <c:pt idx="127">
                  <c:v>2004.46</c:v>
                </c:pt>
                <c:pt idx="128">
                  <c:v>1914.67</c:v>
                </c:pt>
                <c:pt idx="129">
                  <c:v>1963.07</c:v>
                </c:pt>
                <c:pt idx="130">
                  <c:v>1767.6</c:v>
                </c:pt>
                <c:pt idx="131">
                  <c:v>1750.97</c:v>
                </c:pt>
                <c:pt idx="132">
                  <c:v>1760.49</c:v>
                </c:pt>
                <c:pt idx="133">
                  <c:v>1750.08</c:v>
                </c:pt>
                <c:pt idx="134">
                  <c:v>1818.48</c:v>
                </c:pt>
                <c:pt idx="135">
                  <c:v>1670.48</c:v>
                </c:pt>
                <c:pt idx="136">
                  <c:v>1447.65</c:v>
                </c:pt>
                <c:pt idx="137">
                  <c:v>1171.56</c:v>
                </c:pt>
                <c:pt idx="138">
                  <c:v>1027.68</c:v>
                </c:pt>
                <c:pt idx="139">
                  <c:v>960.08</c:v>
                </c:pt>
                <c:pt idx="140">
                  <c:v>905.81</c:v>
                </c:pt>
                <c:pt idx="141">
                  <c:v>892.28</c:v>
                </c:pt>
                <c:pt idx="142">
                  <c:v>952.99</c:v>
                </c:pt>
                <c:pt idx="143">
                  <c:v>940.11</c:v>
                </c:pt>
                <c:pt idx="144">
                  <c:v>1044</c:v>
                </c:pt>
                <c:pt idx="145">
                  <c:v>1128.8499999999999</c:v>
                </c:pt>
                <c:pt idx="146">
                  <c:v>1011.38</c:v>
                </c:pt>
                <c:pt idx="147">
                  <c:v>910.82</c:v>
                </c:pt>
                <c:pt idx="148">
                  <c:v>911.78</c:v>
                </c:pt>
                <c:pt idx="149">
                  <c:v>948.64</c:v>
                </c:pt>
                <c:pt idx="150">
                  <c:v>981.61</c:v>
                </c:pt>
                <c:pt idx="151">
                  <c:v>954.63</c:v>
                </c:pt>
                <c:pt idx="152">
                  <c:v>873.6</c:v>
                </c:pt>
                <c:pt idx="153">
                  <c:v>806.58</c:v>
                </c:pt>
                <c:pt idx="154">
                  <c:v>735.13</c:v>
                </c:pt>
                <c:pt idx="155">
                  <c:v>698.01</c:v>
                </c:pt>
                <c:pt idx="156">
                  <c:v>757.01</c:v>
                </c:pt>
                <c:pt idx="157">
                  <c:v>899.33</c:v>
                </c:pt>
                <c:pt idx="158">
                  <c:v>982.25</c:v>
                </c:pt>
                <c:pt idx="159">
                  <c:v>906.66</c:v>
                </c:pt>
                <c:pt idx="160">
                  <c:v>958.46</c:v>
                </c:pt>
                <c:pt idx="161">
                  <c:v>938.8</c:v>
                </c:pt>
                <c:pt idx="162">
                  <c:v>1015.38</c:v>
                </c:pt>
                <c:pt idx="163">
                  <c:v>1087.1199999999999</c:v>
                </c:pt>
                <c:pt idx="164">
                  <c:v>1082.3599999999999</c:v>
                </c:pt>
                <c:pt idx="165">
                  <c:v>1114.56</c:v>
                </c:pt>
                <c:pt idx="166">
                  <c:v>1073.1500000000001</c:v>
                </c:pt>
                <c:pt idx="167">
                  <c:v>1072.5999999999999</c:v>
                </c:pt>
                <c:pt idx="168">
                  <c:v>911.54</c:v>
                </c:pt>
                <c:pt idx="169">
                  <c:v>777.82</c:v>
                </c:pt>
                <c:pt idx="170">
                  <c:v>699.34</c:v>
                </c:pt>
                <c:pt idx="171">
                  <c:v>808.09</c:v>
                </c:pt>
                <c:pt idx="172">
                  <c:v>800.59</c:v>
                </c:pt>
                <c:pt idx="173">
                  <c:v>717.32</c:v>
                </c:pt>
                <c:pt idx="174">
                  <c:v>700.78</c:v>
                </c:pt>
                <c:pt idx="175">
                  <c:v>777.11</c:v>
                </c:pt>
                <c:pt idx="176">
                  <c:v>955.64</c:v>
                </c:pt>
                <c:pt idx="177">
                  <c:v>1134.6600000000001</c:v>
                </c:pt>
                <c:pt idx="178">
                  <c:v>1342.23</c:v>
                </c:pt>
                <c:pt idx="179">
                  <c:v>1525.44</c:v>
                </c:pt>
                <c:pt idx="180">
                  <c:v>1567.48</c:v>
                </c:pt>
                <c:pt idx="181">
                  <c:v>1591.65</c:v>
                </c:pt>
                <c:pt idx="182">
                  <c:v>1593.9</c:v>
                </c:pt>
                <c:pt idx="183">
                  <c:v>1578.1</c:v>
                </c:pt>
                <c:pt idx="184">
                  <c:v>1422.89</c:v>
                </c:pt>
                <c:pt idx="185">
                  <c:v>1308.97</c:v>
                </c:pt>
                <c:pt idx="186">
                  <c:v>1227.52</c:v>
                </c:pt>
                <c:pt idx="187">
                  <c:v>1129.9100000000001</c:v>
                </c:pt>
                <c:pt idx="188">
                  <c:v>1128.6500000000001</c:v>
                </c:pt>
                <c:pt idx="189">
                  <c:v>1198.98</c:v>
                </c:pt>
                <c:pt idx="190">
                  <c:v>1211.49</c:v>
                </c:pt>
                <c:pt idx="191">
                  <c:v>1184.02</c:v>
                </c:pt>
                <c:pt idx="192">
                  <c:v>1205.7</c:v>
                </c:pt>
                <c:pt idx="193">
                  <c:v>1253.3800000000001</c:v>
                </c:pt>
                <c:pt idx="194">
                  <c:v>1200.22</c:v>
                </c:pt>
                <c:pt idx="195">
                  <c:v>1089.4000000000001</c:v>
                </c:pt>
                <c:pt idx="196">
                  <c:v>1085.81</c:v>
                </c:pt>
                <c:pt idx="197">
                  <c:v>1100.31</c:v>
                </c:pt>
                <c:pt idx="198">
                  <c:v>1028.5</c:v>
                </c:pt>
                <c:pt idx="199">
                  <c:v>1116.44</c:v>
                </c:pt>
                <c:pt idx="200">
                  <c:v>1114.25</c:v>
                </c:pt>
                <c:pt idx="201">
                  <c:v>1027.3699999999999</c:v>
                </c:pt>
                <c:pt idx="202">
                  <c:v>1008.6</c:v>
                </c:pt>
                <c:pt idx="203">
                  <c:v>1065.6500000000001</c:v>
                </c:pt>
                <c:pt idx="204">
                  <c:v>1164.3399999999999</c:v>
                </c:pt>
                <c:pt idx="205">
                  <c:v>1239.46</c:v>
                </c:pt>
                <c:pt idx="206">
                  <c:v>1337.7</c:v>
                </c:pt>
                <c:pt idx="207">
                  <c:v>1383.15</c:v>
                </c:pt>
                <c:pt idx="208">
                  <c:v>1214.76</c:v>
                </c:pt>
                <c:pt idx="209">
                  <c:v>1100</c:v>
                </c:pt>
                <c:pt idx="210">
                  <c:v>983.93</c:v>
                </c:pt>
                <c:pt idx="211">
                  <c:v>917.71</c:v>
                </c:pt>
                <c:pt idx="212">
                  <c:v>828.47</c:v>
                </c:pt>
                <c:pt idx="213">
                  <c:v>879.75</c:v>
                </c:pt>
                <c:pt idx="214">
                  <c:v>979.2</c:v>
                </c:pt>
                <c:pt idx="215">
                  <c:v>933.73</c:v>
                </c:pt>
                <c:pt idx="216">
                  <c:v>954.46</c:v>
                </c:pt>
                <c:pt idx="217">
                  <c:v>985.39</c:v>
                </c:pt>
                <c:pt idx="218">
                  <c:v>1041.4000000000001</c:v>
                </c:pt>
                <c:pt idx="219">
                  <c:v>1014.4</c:v>
                </c:pt>
                <c:pt idx="220">
                  <c:v>918.22</c:v>
                </c:pt>
                <c:pt idx="221">
                  <c:v>822.27</c:v>
                </c:pt>
                <c:pt idx="222">
                  <c:v>831.72</c:v>
                </c:pt>
                <c:pt idx="223">
                  <c:v>880.97</c:v>
                </c:pt>
                <c:pt idx="224">
                  <c:v>947.86</c:v>
                </c:pt>
                <c:pt idx="225">
                  <c:v>980.55</c:v>
                </c:pt>
                <c:pt idx="226">
                  <c:v>995.76</c:v>
                </c:pt>
                <c:pt idx="227">
                  <c:v>991.43</c:v>
                </c:pt>
                <c:pt idx="228">
                  <c:v>984.67</c:v>
                </c:pt>
                <c:pt idx="229">
                  <c:v>904.96</c:v>
                </c:pt>
                <c:pt idx="230">
                  <c:v>842.58</c:v>
                </c:pt>
                <c:pt idx="231">
                  <c:v>786.68</c:v>
                </c:pt>
                <c:pt idx="232">
                  <c:v>728.07</c:v>
                </c:pt>
                <c:pt idx="233">
                  <c:v>577.47</c:v>
                </c:pt>
                <c:pt idx="234">
                  <c:v>520.59</c:v>
                </c:pt>
                <c:pt idx="235">
                  <c:v>506.81</c:v>
                </c:pt>
                <c:pt idx="236">
                  <c:v>457.49</c:v>
                </c:pt>
                <c:pt idx="237">
                  <c:v>466.01</c:v>
                </c:pt>
                <c:pt idx="238">
                  <c:v>437.97</c:v>
                </c:pt>
                <c:pt idx="239">
                  <c:v>394.03</c:v>
                </c:pt>
                <c:pt idx="240">
                  <c:v>418.58</c:v>
                </c:pt>
                <c:pt idx="241">
                  <c:v>507.13</c:v>
                </c:pt>
                <c:pt idx="242">
                  <c:v>550.49</c:v>
                </c:pt>
                <c:pt idx="243">
                  <c:v>618.38</c:v>
                </c:pt>
                <c:pt idx="244">
                  <c:v>660.47</c:v>
                </c:pt>
                <c:pt idx="245">
                  <c:v>663.22</c:v>
                </c:pt>
                <c:pt idx="246">
                  <c:v>642.19000000000005</c:v>
                </c:pt>
                <c:pt idx="247">
                  <c:v>613.4</c:v>
                </c:pt>
                <c:pt idx="248">
                  <c:v>600.11</c:v>
                </c:pt>
                <c:pt idx="249">
                  <c:v>555.47</c:v>
                </c:pt>
                <c:pt idx="250">
                  <c:v>513.66999999999996</c:v>
                </c:pt>
                <c:pt idx="251">
                  <c:v>530.42999999999995</c:v>
                </c:pt>
                <c:pt idx="252">
                  <c:v>528.08000000000004</c:v>
                </c:pt>
                <c:pt idx="253">
                  <c:v>540.27</c:v>
                </c:pt>
                <c:pt idx="254">
                  <c:v>466.98</c:v>
                </c:pt>
                <c:pt idx="255">
                  <c:v>444.76</c:v>
                </c:pt>
                <c:pt idx="256">
                  <c:v>427.13</c:v>
                </c:pt>
                <c:pt idx="257">
                  <c:v>419.54</c:v>
                </c:pt>
                <c:pt idx="258">
                  <c:v>389.36</c:v>
                </c:pt>
                <c:pt idx="259">
                  <c:v>384.31</c:v>
                </c:pt>
                <c:pt idx="260">
                  <c:v>350.06</c:v>
                </c:pt>
                <c:pt idx="261">
                  <c:v>323.37</c:v>
                </c:pt>
                <c:pt idx="262">
                  <c:v>322.82</c:v>
                </c:pt>
                <c:pt idx="263">
                  <c:v>381.32</c:v>
                </c:pt>
                <c:pt idx="264">
                  <c:v>431.06</c:v>
                </c:pt>
                <c:pt idx="265">
                  <c:v>373.11</c:v>
                </c:pt>
                <c:pt idx="266">
                  <c:v>327.67</c:v>
                </c:pt>
                <c:pt idx="267">
                  <c:v>358.86</c:v>
                </c:pt>
                <c:pt idx="268">
                  <c:v>398.15</c:v>
                </c:pt>
                <c:pt idx="269">
                  <c:v>366.58</c:v>
                </c:pt>
                <c:pt idx="270">
                  <c:v>315.26</c:v>
                </c:pt>
                <c:pt idx="271">
                  <c:v>346.46</c:v>
                </c:pt>
                <c:pt idx="272">
                  <c:v>326.74</c:v>
                </c:pt>
                <c:pt idx="273">
                  <c:v>315.12</c:v>
                </c:pt>
                <c:pt idx="274">
                  <c:v>314.33</c:v>
                </c:pt>
                <c:pt idx="275">
                  <c:v>354.1</c:v>
                </c:pt>
                <c:pt idx="276">
                  <c:v>374.29</c:v>
                </c:pt>
                <c:pt idx="277">
                  <c:v>393.91</c:v>
                </c:pt>
                <c:pt idx="278">
                  <c:v>442.05</c:v>
                </c:pt>
                <c:pt idx="279">
                  <c:v>491.51</c:v>
                </c:pt>
                <c:pt idx="280">
                  <c:v>487.72</c:v>
                </c:pt>
                <c:pt idx="281">
                  <c:v>463.52</c:v>
                </c:pt>
                <c:pt idx="282">
                  <c:v>423.89</c:v>
                </c:pt>
                <c:pt idx="283">
                  <c:v>343.03</c:v>
                </c:pt>
                <c:pt idx="284">
                  <c:v>299.51</c:v>
                </c:pt>
                <c:pt idx="285">
                  <c:v>330.91</c:v>
                </c:pt>
                <c:pt idx="286">
                  <c:v>436.13</c:v>
                </c:pt>
                <c:pt idx="287">
                  <c:v>535.34</c:v>
                </c:pt>
                <c:pt idx="288">
                  <c:v>600.41</c:v>
                </c:pt>
                <c:pt idx="289">
                  <c:v>595.41999999999996</c:v>
                </c:pt>
                <c:pt idx="290">
                  <c:v>541.29999999999995</c:v>
                </c:pt>
                <c:pt idx="291">
                  <c:v>519.39</c:v>
                </c:pt>
                <c:pt idx="292">
                  <c:v>540.59</c:v>
                </c:pt>
                <c:pt idx="293">
                  <c:v>524.08000000000004</c:v>
                </c:pt>
                <c:pt idx="294">
                  <c:v>492.07</c:v>
                </c:pt>
                <c:pt idx="295">
                  <c:v>425.11</c:v>
                </c:pt>
                <c:pt idx="296">
                  <c:v>383.55</c:v>
                </c:pt>
                <c:pt idx="297">
                  <c:v>489.01</c:v>
                </c:pt>
                <c:pt idx="298">
                  <c:v>446.51</c:v>
                </c:pt>
                <c:pt idx="299">
                  <c:v>463.5</c:v>
                </c:pt>
                <c:pt idx="300">
                  <c:v>379.57</c:v>
                </c:pt>
                <c:pt idx="301">
                  <c:v>361.17</c:v>
                </c:pt>
                <c:pt idx="302">
                  <c:v>395.45</c:v>
                </c:pt>
                <c:pt idx="303">
                  <c:v>441.89</c:v>
                </c:pt>
                <c:pt idx="304">
                  <c:v>426.13</c:v>
                </c:pt>
                <c:pt idx="305">
                  <c:v>441.88</c:v>
                </c:pt>
                <c:pt idx="306">
                  <c:v>434.36</c:v>
                </c:pt>
                <c:pt idx="307">
                  <c:v>457.35</c:v>
                </c:pt>
                <c:pt idx="308">
                  <c:v>522.1</c:v>
                </c:pt>
                <c:pt idx="309">
                  <c:v>506.45</c:v>
                </c:pt>
                <c:pt idx="310">
                  <c:v>421.67</c:v>
                </c:pt>
                <c:pt idx="311">
                  <c:v>261.79000000000002</c:v>
                </c:pt>
                <c:pt idx="312">
                  <c:v>298.75</c:v>
                </c:pt>
                <c:pt idx="313">
                  <c:v>353.75</c:v>
                </c:pt>
                <c:pt idx="314">
                  <c:v>376.66</c:v>
                </c:pt>
                <c:pt idx="315">
                  <c:v>465.77</c:v>
                </c:pt>
                <c:pt idx="316">
                  <c:v>453.06</c:v>
                </c:pt>
                <c:pt idx="317">
                  <c:v>404.65</c:v>
                </c:pt>
                <c:pt idx="318">
                  <c:v>332.93</c:v>
                </c:pt>
                <c:pt idx="319">
                  <c:v>337.84</c:v>
                </c:pt>
                <c:pt idx="320">
                  <c:v>327.20999999999998</c:v>
                </c:pt>
                <c:pt idx="321">
                  <c:v>307.83</c:v>
                </c:pt>
                <c:pt idx="322">
                  <c:v>289.05</c:v>
                </c:pt>
                <c:pt idx="323">
                  <c:v>281.88</c:v>
                </c:pt>
                <c:pt idx="324">
                  <c:v>290.02999999999997</c:v>
                </c:pt>
                <c:pt idx="325">
                  <c:v>310.75</c:v>
                </c:pt>
                <c:pt idx="326">
                  <c:v>309.8</c:v>
                </c:pt>
                <c:pt idx="327">
                  <c:v>331.23</c:v>
                </c:pt>
                <c:pt idx="328">
                  <c:v>340.28</c:v>
                </c:pt>
                <c:pt idx="329">
                  <c:v>293.14</c:v>
                </c:pt>
                <c:pt idx="330">
                  <c:v>251.66</c:v>
                </c:pt>
                <c:pt idx="331">
                  <c:v>209.68</c:v>
                </c:pt>
                <c:pt idx="332">
                  <c:v>172.27</c:v>
                </c:pt>
                <c:pt idx="333">
                  <c:v>131.25</c:v>
                </c:pt>
                <c:pt idx="334">
                  <c:v>108.99</c:v>
                </c:pt>
                <c:pt idx="335">
                  <c:v>84.04</c:v>
                </c:pt>
                <c:pt idx="336">
                  <c:v>40.29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F-7849-8DFA-9EC2A3FC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06160"/>
        <c:axId val="1648128016"/>
      </c:areaChart>
      <c:lineChart>
        <c:grouping val="standard"/>
        <c:varyColors val="0"/>
        <c:ser>
          <c:idx val="4"/>
          <c:order val="1"/>
          <c:tx>
            <c:strRef>
              <c:f>Wind!$G$1</c:f>
              <c:strCache>
                <c:ptCount val="1"/>
                <c:pt idx="0">
                  <c:v>Price - AUD/MWh</c:v>
                </c:pt>
              </c:strCache>
            </c:strRef>
          </c:tx>
          <c:spPr>
            <a:ln w="38100" cap="rnd">
              <a:solidFill>
                <a:srgbClr val="D7153A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94"/>
            <c:marker>
              <c:symbol val="none"/>
            </c:marker>
            <c:bubble3D val="0"/>
            <c:spPr>
              <a:ln w="28575" cap="rnd">
                <a:solidFill>
                  <a:srgbClr val="D7153A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2F-7849-8DFA-9EC2A3FCE16E}"/>
              </c:ext>
            </c:extLst>
          </c:dPt>
          <c:val>
            <c:numRef>
              <c:f>Wind!$G$2:$G$338</c:f>
              <c:numCache>
                <c:formatCode>#,##0</c:formatCode>
                <c:ptCount val="337"/>
                <c:pt idx="0">
                  <c:v>-22.01</c:v>
                </c:pt>
                <c:pt idx="1">
                  <c:v>-14.01</c:v>
                </c:pt>
                <c:pt idx="2">
                  <c:v>13.96</c:v>
                </c:pt>
                <c:pt idx="3">
                  <c:v>0.04</c:v>
                </c:pt>
                <c:pt idx="4">
                  <c:v>20.3</c:v>
                </c:pt>
                <c:pt idx="5">
                  <c:v>46.74</c:v>
                </c:pt>
                <c:pt idx="6">
                  <c:v>-11.05</c:v>
                </c:pt>
                <c:pt idx="7">
                  <c:v>37.74</c:v>
                </c:pt>
                <c:pt idx="8">
                  <c:v>63.4</c:v>
                </c:pt>
                <c:pt idx="9">
                  <c:v>100.59</c:v>
                </c:pt>
                <c:pt idx="10">
                  <c:v>135.19999999999999</c:v>
                </c:pt>
                <c:pt idx="11">
                  <c:v>163.44999999999999</c:v>
                </c:pt>
                <c:pt idx="12">
                  <c:v>129.05000000000001</c:v>
                </c:pt>
                <c:pt idx="13">
                  <c:v>133.6</c:v>
                </c:pt>
                <c:pt idx="14">
                  <c:v>123.74</c:v>
                </c:pt>
                <c:pt idx="15">
                  <c:v>111.94</c:v>
                </c:pt>
                <c:pt idx="16">
                  <c:v>96.23</c:v>
                </c:pt>
                <c:pt idx="17">
                  <c:v>96.52</c:v>
                </c:pt>
                <c:pt idx="18">
                  <c:v>106.16</c:v>
                </c:pt>
                <c:pt idx="19">
                  <c:v>100.01</c:v>
                </c:pt>
                <c:pt idx="20">
                  <c:v>100.01</c:v>
                </c:pt>
                <c:pt idx="21">
                  <c:v>100.01</c:v>
                </c:pt>
                <c:pt idx="22">
                  <c:v>99.24</c:v>
                </c:pt>
                <c:pt idx="23">
                  <c:v>88.25</c:v>
                </c:pt>
                <c:pt idx="24">
                  <c:v>78.92</c:v>
                </c:pt>
                <c:pt idx="25">
                  <c:v>80.59</c:v>
                </c:pt>
                <c:pt idx="26">
                  <c:v>82.29</c:v>
                </c:pt>
                <c:pt idx="27">
                  <c:v>80.709999999999994</c:v>
                </c:pt>
                <c:pt idx="28">
                  <c:v>84.85</c:v>
                </c:pt>
                <c:pt idx="29">
                  <c:v>79.08</c:v>
                </c:pt>
                <c:pt idx="30">
                  <c:v>84.85</c:v>
                </c:pt>
                <c:pt idx="31">
                  <c:v>84.85</c:v>
                </c:pt>
                <c:pt idx="32">
                  <c:v>85.11</c:v>
                </c:pt>
                <c:pt idx="33">
                  <c:v>84.85</c:v>
                </c:pt>
                <c:pt idx="34">
                  <c:v>91.72</c:v>
                </c:pt>
                <c:pt idx="35">
                  <c:v>96.72</c:v>
                </c:pt>
                <c:pt idx="36">
                  <c:v>108.08</c:v>
                </c:pt>
                <c:pt idx="37">
                  <c:v>138.79</c:v>
                </c:pt>
                <c:pt idx="38">
                  <c:v>144.01</c:v>
                </c:pt>
                <c:pt idx="39">
                  <c:v>178</c:v>
                </c:pt>
                <c:pt idx="40">
                  <c:v>127.56</c:v>
                </c:pt>
                <c:pt idx="41">
                  <c:v>100.01</c:v>
                </c:pt>
                <c:pt idx="42">
                  <c:v>100.01</c:v>
                </c:pt>
                <c:pt idx="43">
                  <c:v>84.85</c:v>
                </c:pt>
                <c:pt idx="44">
                  <c:v>8.01</c:v>
                </c:pt>
                <c:pt idx="45">
                  <c:v>5</c:v>
                </c:pt>
                <c:pt idx="46">
                  <c:v>-8.9499999999999993</c:v>
                </c:pt>
                <c:pt idx="47">
                  <c:v>-14.01</c:v>
                </c:pt>
                <c:pt idx="48">
                  <c:v>-22.01</c:v>
                </c:pt>
                <c:pt idx="49">
                  <c:v>-18</c:v>
                </c:pt>
                <c:pt idx="50">
                  <c:v>-14.01</c:v>
                </c:pt>
                <c:pt idx="51">
                  <c:v>-14.01</c:v>
                </c:pt>
                <c:pt idx="52">
                  <c:v>-8.91</c:v>
                </c:pt>
                <c:pt idx="53">
                  <c:v>9.06</c:v>
                </c:pt>
                <c:pt idx="54">
                  <c:v>35.880000000000003</c:v>
                </c:pt>
                <c:pt idx="55">
                  <c:v>51.95</c:v>
                </c:pt>
                <c:pt idx="56">
                  <c:v>140.01</c:v>
                </c:pt>
                <c:pt idx="57">
                  <c:v>191.18</c:v>
                </c:pt>
                <c:pt idx="58">
                  <c:v>186.38</c:v>
                </c:pt>
                <c:pt idx="59">
                  <c:v>299.99</c:v>
                </c:pt>
                <c:pt idx="60">
                  <c:v>147.96</c:v>
                </c:pt>
                <c:pt idx="61">
                  <c:v>252.64</c:v>
                </c:pt>
                <c:pt idx="62">
                  <c:v>139.18</c:v>
                </c:pt>
                <c:pt idx="63">
                  <c:v>112.18</c:v>
                </c:pt>
                <c:pt idx="64">
                  <c:v>100.02</c:v>
                </c:pt>
                <c:pt idx="65">
                  <c:v>88.68</c:v>
                </c:pt>
                <c:pt idx="66">
                  <c:v>87.25</c:v>
                </c:pt>
                <c:pt idx="67">
                  <c:v>79.02</c:v>
                </c:pt>
                <c:pt idx="68">
                  <c:v>100.02</c:v>
                </c:pt>
                <c:pt idx="69">
                  <c:v>102.76</c:v>
                </c:pt>
                <c:pt idx="70">
                  <c:v>100.02</c:v>
                </c:pt>
                <c:pt idx="71">
                  <c:v>81.67</c:v>
                </c:pt>
                <c:pt idx="72">
                  <c:v>88.84</c:v>
                </c:pt>
                <c:pt idx="73">
                  <c:v>86.23</c:v>
                </c:pt>
                <c:pt idx="74">
                  <c:v>76.58</c:v>
                </c:pt>
                <c:pt idx="75">
                  <c:v>76.58</c:v>
                </c:pt>
                <c:pt idx="76">
                  <c:v>76.8</c:v>
                </c:pt>
                <c:pt idx="77">
                  <c:v>76.42</c:v>
                </c:pt>
                <c:pt idx="78">
                  <c:v>76.58</c:v>
                </c:pt>
                <c:pt idx="79">
                  <c:v>75.84</c:v>
                </c:pt>
                <c:pt idx="80">
                  <c:v>72.2</c:v>
                </c:pt>
                <c:pt idx="81">
                  <c:v>75.760000000000005</c:v>
                </c:pt>
                <c:pt idx="82">
                  <c:v>76.58</c:v>
                </c:pt>
                <c:pt idx="83">
                  <c:v>76.89</c:v>
                </c:pt>
                <c:pt idx="84">
                  <c:v>81.209999999999994</c:v>
                </c:pt>
                <c:pt idx="85">
                  <c:v>93.02</c:v>
                </c:pt>
                <c:pt idx="86">
                  <c:v>81.73</c:v>
                </c:pt>
                <c:pt idx="87">
                  <c:v>57.01</c:v>
                </c:pt>
                <c:pt idx="88">
                  <c:v>-11.86</c:v>
                </c:pt>
                <c:pt idx="89">
                  <c:v>0</c:v>
                </c:pt>
                <c:pt idx="90">
                  <c:v>76.58</c:v>
                </c:pt>
                <c:pt idx="91">
                  <c:v>24</c:v>
                </c:pt>
                <c:pt idx="92">
                  <c:v>-16.54</c:v>
                </c:pt>
                <c:pt idx="93">
                  <c:v>-16.54</c:v>
                </c:pt>
                <c:pt idx="94">
                  <c:v>-16.18</c:v>
                </c:pt>
                <c:pt idx="95">
                  <c:v>-14.71</c:v>
                </c:pt>
                <c:pt idx="96">
                  <c:v>-14.01</c:v>
                </c:pt>
                <c:pt idx="97">
                  <c:v>-14.01</c:v>
                </c:pt>
                <c:pt idx="98">
                  <c:v>-15.17</c:v>
                </c:pt>
                <c:pt idx="99">
                  <c:v>-17.28</c:v>
                </c:pt>
                <c:pt idx="100">
                  <c:v>24</c:v>
                </c:pt>
                <c:pt idx="101">
                  <c:v>4.71</c:v>
                </c:pt>
                <c:pt idx="102">
                  <c:v>-0.02</c:v>
                </c:pt>
                <c:pt idx="103">
                  <c:v>21.26</c:v>
                </c:pt>
                <c:pt idx="104">
                  <c:v>57.01</c:v>
                </c:pt>
                <c:pt idx="105">
                  <c:v>125.69</c:v>
                </c:pt>
                <c:pt idx="106">
                  <c:v>138.72999999999999</c:v>
                </c:pt>
                <c:pt idx="107">
                  <c:v>140.03</c:v>
                </c:pt>
                <c:pt idx="108">
                  <c:v>185.01</c:v>
                </c:pt>
                <c:pt idx="109">
                  <c:v>138.06</c:v>
                </c:pt>
                <c:pt idx="110">
                  <c:v>136.86000000000001</c:v>
                </c:pt>
                <c:pt idx="111">
                  <c:v>110.96</c:v>
                </c:pt>
                <c:pt idx="112">
                  <c:v>140.03</c:v>
                </c:pt>
                <c:pt idx="113">
                  <c:v>100.01</c:v>
                </c:pt>
                <c:pt idx="114">
                  <c:v>76.8</c:v>
                </c:pt>
                <c:pt idx="115">
                  <c:v>49.78</c:v>
                </c:pt>
                <c:pt idx="116">
                  <c:v>65.23</c:v>
                </c:pt>
                <c:pt idx="117">
                  <c:v>58.83</c:v>
                </c:pt>
                <c:pt idx="118">
                  <c:v>53.54</c:v>
                </c:pt>
                <c:pt idx="119">
                  <c:v>65.36</c:v>
                </c:pt>
                <c:pt idx="120">
                  <c:v>57.01</c:v>
                </c:pt>
                <c:pt idx="121">
                  <c:v>64.89</c:v>
                </c:pt>
                <c:pt idx="122">
                  <c:v>68.540000000000006</c:v>
                </c:pt>
                <c:pt idx="123">
                  <c:v>69.52</c:v>
                </c:pt>
                <c:pt idx="124">
                  <c:v>51.17</c:v>
                </c:pt>
                <c:pt idx="125">
                  <c:v>56.71</c:v>
                </c:pt>
                <c:pt idx="126">
                  <c:v>56.98</c:v>
                </c:pt>
                <c:pt idx="127">
                  <c:v>57.01</c:v>
                </c:pt>
                <c:pt idx="128">
                  <c:v>72.489999999999995</c:v>
                </c:pt>
                <c:pt idx="129">
                  <c:v>69.599999999999994</c:v>
                </c:pt>
                <c:pt idx="130">
                  <c:v>77.510000000000005</c:v>
                </c:pt>
                <c:pt idx="131">
                  <c:v>93.14</c:v>
                </c:pt>
                <c:pt idx="132">
                  <c:v>153.1</c:v>
                </c:pt>
                <c:pt idx="133">
                  <c:v>147.21</c:v>
                </c:pt>
                <c:pt idx="134">
                  <c:v>154.78</c:v>
                </c:pt>
                <c:pt idx="135">
                  <c:v>81.06</c:v>
                </c:pt>
                <c:pt idx="136">
                  <c:v>-14.01</c:v>
                </c:pt>
                <c:pt idx="137">
                  <c:v>16.04</c:v>
                </c:pt>
                <c:pt idx="138">
                  <c:v>50.35</c:v>
                </c:pt>
                <c:pt idx="139">
                  <c:v>24</c:v>
                </c:pt>
                <c:pt idx="140">
                  <c:v>45</c:v>
                </c:pt>
                <c:pt idx="141">
                  <c:v>-9.5</c:v>
                </c:pt>
                <c:pt idx="142">
                  <c:v>22.93</c:v>
                </c:pt>
                <c:pt idx="143">
                  <c:v>-18</c:v>
                </c:pt>
                <c:pt idx="144">
                  <c:v>-19.690000000000001</c:v>
                </c:pt>
                <c:pt idx="145">
                  <c:v>-14.01</c:v>
                </c:pt>
                <c:pt idx="146">
                  <c:v>-14.01</c:v>
                </c:pt>
                <c:pt idx="147">
                  <c:v>-18</c:v>
                </c:pt>
                <c:pt idx="148">
                  <c:v>-17.5</c:v>
                </c:pt>
                <c:pt idx="149">
                  <c:v>-14.99</c:v>
                </c:pt>
                <c:pt idx="150">
                  <c:v>-14.05</c:v>
                </c:pt>
                <c:pt idx="151">
                  <c:v>38.6</c:v>
                </c:pt>
                <c:pt idx="152">
                  <c:v>61.64</c:v>
                </c:pt>
                <c:pt idx="153">
                  <c:v>174.6</c:v>
                </c:pt>
                <c:pt idx="154">
                  <c:v>173.02</c:v>
                </c:pt>
                <c:pt idx="155">
                  <c:v>210.1</c:v>
                </c:pt>
                <c:pt idx="156">
                  <c:v>226.15</c:v>
                </c:pt>
                <c:pt idx="157">
                  <c:v>155.22999999999999</c:v>
                </c:pt>
                <c:pt idx="158">
                  <c:v>153.5</c:v>
                </c:pt>
                <c:pt idx="159">
                  <c:v>150.07</c:v>
                </c:pt>
                <c:pt idx="160">
                  <c:v>140.38</c:v>
                </c:pt>
                <c:pt idx="161">
                  <c:v>150.07</c:v>
                </c:pt>
                <c:pt idx="162">
                  <c:v>124.24</c:v>
                </c:pt>
                <c:pt idx="163">
                  <c:v>100.02</c:v>
                </c:pt>
                <c:pt idx="164">
                  <c:v>110.83</c:v>
                </c:pt>
                <c:pt idx="165">
                  <c:v>95.27</c:v>
                </c:pt>
                <c:pt idx="166">
                  <c:v>100.02</c:v>
                </c:pt>
                <c:pt idx="167">
                  <c:v>85.21</c:v>
                </c:pt>
                <c:pt idx="168">
                  <c:v>85.12</c:v>
                </c:pt>
                <c:pt idx="169">
                  <c:v>86.24</c:v>
                </c:pt>
                <c:pt idx="170">
                  <c:v>86.45</c:v>
                </c:pt>
                <c:pt idx="171">
                  <c:v>75.13</c:v>
                </c:pt>
                <c:pt idx="172">
                  <c:v>76.8</c:v>
                </c:pt>
                <c:pt idx="173">
                  <c:v>76.8</c:v>
                </c:pt>
                <c:pt idx="174">
                  <c:v>76.3</c:v>
                </c:pt>
                <c:pt idx="175">
                  <c:v>76.58</c:v>
                </c:pt>
                <c:pt idx="176">
                  <c:v>74.790000000000006</c:v>
                </c:pt>
                <c:pt idx="177">
                  <c:v>73.25</c:v>
                </c:pt>
                <c:pt idx="178">
                  <c:v>83.87</c:v>
                </c:pt>
                <c:pt idx="179">
                  <c:v>90.66</c:v>
                </c:pt>
                <c:pt idx="180">
                  <c:v>113.84</c:v>
                </c:pt>
                <c:pt idx="181">
                  <c:v>144.66</c:v>
                </c:pt>
                <c:pt idx="182">
                  <c:v>130.34</c:v>
                </c:pt>
                <c:pt idx="183">
                  <c:v>136.08000000000001</c:v>
                </c:pt>
                <c:pt idx="184">
                  <c:v>134.16999999999999</c:v>
                </c:pt>
                <c:pt idx="185">
                  <c:v>134.69</c:v>
                </c:pt>
                <c:pt idx="186">
                  <c:v>105.74</c:v>
                </c:pt>
                <c:pt idx="187">
                  <c:v>190.2</c:v>
                </c:pt>
                <c:pt idx="188">
                  <c:v>118.95</c:v>
                </c:pt>
                <c:pt idx="189">
                  <c:v>100.48</c:v>
                </c:pt>
                <c:pt idx="190">
                  <c:v>99.44</c:v>
                </c:pt>
                <c:pt idx="191">
                  <c:v>99.93</c:v>
                </c:pt>
                <c:pt idx="192">
                  <c:v>103.73</c:v>
                </c:pt>
                <c:pt idx="193">
                  <c:v>92.31</c:v>
                </c:pt>
                <c:pt idx="194">
                  <c:v>90.24</c:v>
                </c:pt>
                <c:pt idx="195">
                  <c:v>85.68</c:v>
                </c:pt>
                <c:pt idx="196">
                  <c:v>85.72</c:v>
                </c:pt>
                <c:pt idx="197">
                  <c:v>93.83</c:v>
                </c:pt>
                <c:pt idx="198">
                  <c:v>85.8</c:v>
                </c:pt>
                <c:pt idx="199">
                  <c:v>122.68</c:v>
                </c:pt>
                <c:pt idx="200">
                  <c:v>137.57</c:v>
                </c:pt>
                <c:pt idx="201">
                  <c:v>175.84</c:v>
                </c:pt>
                <c:pt idx="202">
                  <c:v>208.37</c:v>
                </c:pt>
                <c:pt idx="203">
                  <c:v>269.77999999999997</c:v>
                </c:pt>
                <c:pt idx="204">
                  <c:v>203.88</c:v>
                </c:pt>
                <c:pt idx="205">
                  <c:v>153.72</c:v>
                </c:pt>
                <c:pt idx="206">
                  <c:v>193.27</c:v>
                </c:pt>
                <c:pt idx="207">
                  <c:v>146.05000000000001</c:v>
                </c:pt>
                <c:pt idx="208">
                  <c:v>128.78</c:v>
                </c:pt>
                <c:pt idx="209">
                  <c:v>153.12</c:v>
                </c:pt>
                <c:pt idx="210">
                  <c:v>163.04</c:v>
                </c:pt>
                <c:pt idx="211">
                  <c:v>119.99</c:v>
                </c:pt>
                <c:pt idx="212">
                  <c:v>158.80000000000001</c:v>
                </c:pt>
                <c:pt idx="213">
                  <c:v>142</c:v>
                </c:pt>
                <c:pt idx="214">
                  <c:v>87.28</c:v>
                </c:pt>
                <c:pt idx="215">
                  <c:v>80.03</c:v>
                </c:pt>
                <c:pt idx="216">
                  <c:v>83.72</c:v>
                </c:pt>
                <c:pt idx="217">
                  <c:v>75.25</c:v>
                </c:pt>
                <c:pt idx="218">
                  <c:v>76.58</c:v>
                </c:pt>
                <c:pt idx="219">
                  <c:v>60.26</c:v>
                </c:pt>
                <c:pt idx="220">
                  <c:v>76.8</c:v>
                </c:pt>
                <c:pt idx="221">
                  <c:v>76.8</c:v>
                </c:pt>
                <c:pt idx="222">
                  <c:v>64.89</c:v>
                </c:pt>
                <c:pt idx="223">
                  <c:v>77.97</c:v>
                </c:pt>
                <c:pt idx="224">
                  <c:v>76.58</c:v>
                </c:pt>
                <c:pt idx="225">
                  <c:v>76.58</c:v>
                </c:pt>
                <c:pt idx="226">
                  <c:v>80.010000000000005</c:v>
                </c:pt>
                <c:pt idx="227">
                  <c:v>118.95</c:v>
                </c:pt>
                <c:pt idx="228">
                  <c:v>120.01</c:v>
                </c:pt>
                <c:pt idx="229">
                  <c:v>150.07</c:v>
                </c:pt>
                <c:pt idx="230">
                  <c:v>176.21</c:v>
                </c:pt>
                <c:pt idx="231">
                  <c:v>143.37</c:v>
                </c:pt>
                <c:pt idx="232">
                  <c:v>134.05000000000001</c:v>
                </c:pt>
                <c:pt idx="233">
                  <c:v>76.8</c:v>
                </c:pt>
                <c:pt idx="234">
                  <c:v>63.76</c:v>
                </c:pt>
                <c:pt idx="235">
                  <c:v>-0.01</c:v>
                </c:pt>
                <c:pt idx="236">
                  <c:v>56.98</c:v>
                </c:pt>
                <c:pt idx="237">
                  <c:v>-14.01</c:v>
                </c:pt>
                <c:pt idx="238">
                  <c:v>35.880000000000003</c:v>
                </c:pt>
                <c:pt idx="239">
                  <c:v>-9.5</c:v>
                </c:pt>
                <c:pt idx="240">
                  <c:v>56.98</c:v>
                </c:pt>
                <c:pt idx="241">
                  <c:v>-14.99</c:v>
                </c:pt>
                <c:pt idx="242">
                  <c:v>-18</c:v>
                </c:pt>
                <c:pt idx="243">
                  <c:v>-9.5</c:v>
                </c:pt>
                <c:pt idx="244">
                  <c:v>-14.99</c:v>
                </c:pt>
                <c:pt idx="245">
                  <c:v>35.880000000000003</c:v>
                </c:pt>
                <c:pt idx="246">
                  <c:v>0</c:v>
                </c:pt>
                <c:pt idx="247">
                  <c:v>102.78</c:v>
                </c:pt>
                <c:pt idx="248">
                  <c:v>97.87</c:v>
                </c:pt>
                <c:pt idx="249">
                  <c:v>173.64</c:v>
                </c:pt>
                <c:pt idx="250">
                  <c:v>158.97999999999999</c:v>
                </c:pt>
                <c:pt idx="251">
                  <c:v>277.92</c:v>
                </c:pt>
                <c:pt idx="252">
                  <c:v>261.18</c:v>
                </c:pt>
                <c:pt idx="253">
                  <c:v>299.99</c:v>
                </c:pt>
                <c:pt idx="254">
                  <c:v>240.57</c:v>
                </c:pt>
                <c:pt idx="255">
                  <c:v>207.34</c:v>
                </c:pt>
                <c:pt idx="256">
                  <c:v>175.46</c:v>
                </c:pt>
                <c:pt idx="257">
                  <c:v>158.97999999999999</c:v>
                </c:pt>
                <c:pt idx="258">
                  <c:v>158.99</c:v>
                </c:pt>
                <c:pt idx="259">
                  <c:v>149.99</c:v>
                </c:pt>
                <c:pt idx="260">
                  <c:v>158.97999999999999</c:v>
                </c:pt>
                <c:pt idx="261">
                  <c:v>120.01</c:v>
                </c:pt>
                <c:pt idx="262">
                  <c:v>101.36</c:v>
                </c:pt>
                <c:pt idx="263">
                  <c:v>80.760000000000005</c:v>
                </c:pt>
                <c:pt idx="264">
                  <c:v>80.02</c:v>
                </c:pt>
                <c:pt idx="265">
                  <c:v>84.19</c:v>
                </c:pt>
                <c:pt idx="266">
                  <c:v>80.02</c:v>
                </c:pt>
                <c:pt idx="267">
                  <c:v>76.8</c:v>
                </c:pt>
                <c:pt idx="268">
                  <c:v>76.8</c:v>
                </c:pt>
                <c:pt idx="269">
                  <c:v>80.02</c:v>
                </c:pt>
                <c:pt idx="270">
                  <c:v>80.02</c:v>
                </c:pt>
                <c:pt idx="271">
                  <c:v>80.02</c:v>
                </c:pt>
                <c:pt idx="272">
                  <c:v>84.85</c:v>
                </c:pt>
                <c:pt idx="273">
                  <c:v>78.47</c:v>
                </c:pt>
                <c:pt idx="274">
                  <c:v>80.010000000000005</c:v>
                </c:pt>
                <c:pt idx="275">
                  <c:v>80.010000000000005</c:v>
                </c:pt>
                <c:pt idx="276">
                  <c:v>96.96</c:v>
                </c:pt>
                <c:pt idx="277">
                  <c:v>158.97999999999999</c:v>
                </c:pt>
                <c:pt idx="278">
                  <c:v>107.41</c:v>
                </c:pt>
                <c:pt idx="279">
                  <c:v>105.89</c:v>
                </c:pt>
                <c:pt idx="280">
                  <c:v>52.14</c:v>
                </c:pt>
                <c:pt idx="281">
                  <c:v>76.8</c:v>
                </c:pt>
                <c:pt idx="282">
                  <c:v>76.8</c:v>
                </c:pt>
                <c:pt idx="283">
                  <c:v>44.76</c:v>
                </c:pt>
                <c:pt idx="284">
                  <c:v>84.85</c:v>
                </c:pt>
                <c:pt idx="285">
                  <c:v>57.01</c:v>
                </c:pt>
                <c:pt idx="286">
                  <c:v>0</c:v>
                </c:pt>
                <c:pt idx="287">
                  <c:v>48.23</c:v>
                </c:pt>
                <c:pt idx="288">
                  <c:v>40.119999999999997</c:v>
                </c:pt>
                <c:pt idx="289">
                  <c:v>20.43</c:v>
                </c:pt>
                <c:pt idx="290">
                  <c:v>57.01</c:v>
                </c:pt>
                <c:pt idx="291">
                  <c:v>1.65</c:v>
                </c:pt>
                <c:pt idx="292">
                  <c:v>57.01</c:v>
                </c:pt>
                <c:pt idx="293">
                  <c:v>140.36000000000001</c:v>
                </c:pt>
                <c:pt idx="294">
                  <c:v>0</c:v>
                </c:pt>
                <c:pt idx="295">
                  <c:v>106.28</c:v>
                </c:pt>
                <c:pt idx="296">
                  <c:v>84.7</c:v>
                </c:pt>
                <c:pt idx="297">
                  <c:v>165.24</c:v>
                </c:pt>
                <c:pt idx="298">
                  <c:v>202.35</c:v>
                </c:pt>
                <c:pt idx="299">
                  <c:v>254.96</c:v>
                </c:pt>
                <c:pt idx="300">
                  <c:v>186.83</c:v>
                </c:pt>
                <c:pt idx="301">
                  <c:v>185.72</c:v>
                </c:pt>
                <c:pt idx="302">
                  <c:v>239.65</c:v>
                </c:pt>
                <c:pt idx="303">
                  <c:v>154.57</c:v>
                </c:pt>
                <c:pt idx="304">
                  <c:v>163.07</c:v>
                </c:pt>
                <c:pt idx="305">
                  <c:v>234.56</c:v>
                </c:pt>
                <c:pt idx="306">
                  <c:v>134.12</c:v>
                </c:pt>
                <c:pt idx="307">
                  <c:v>134.53</c:v>
                </c:pt>
                <c:pt idx="308">
                  <c:v>171.65</c:v>
                </c:pt>
                <c:pt idx="309">
                  <c:v>140.94</c:v>
                </c:pt>
                <c:pt idx="310">
                  <c:v>109.92</c:v>
                </c:pt>
                <c:pt idx="311">
                  <c:v>127.6</c:v>
                </c:pt>
                <c:pt idx="312">
                  <c:v>98.1</c:v>
                </c:pt>
                <c:pt idx="313">
                  <c:v>96.55</c:v>
                </c:pt>
                <c:pt idx="314">
                  <c:v>90.63</c:v>
                </c:pt>
                <c:pt idx="315">
                  <c:v>84.85</c:v>
                </c:pt>
                <c:pt idx="316">
                  <c:v>90.36</c:v>
                </c:pt>
                <c:pt idx="317">
                  <c:v>81.17</c:v>
                </c:pt>
                <c:pt idx="318">
                  <c:v>102.32</c:v>
                </c:pt>
                <c:pt idx="319">
                  <c:v>85.84</c:v>
                </c:pt>
                <c:pt idx="320">
                  <c:v>100.25</c:v>
                </c:pt>
                <c:pt idx="321">
                  <c:v>112.24</c:v>
                </c:pt>
                <c:pt idx="322">
                  <c:v>122.82</c:v>
                </c:pt>
                <c:pt idx="323">
                  <c:v>120.89</c:v>
                </c:pt>
                <c:pt idx="324">
                  <c:v>162.19</c:v>
                </c:pt>
                <c:pt idx="325">
                  <c:v>202.46</c:v>
                </c:pt>
                <c:pt idx="326">
                  <c:v>299.98</c:v>
                </c:pt>
                <c:pt idx="327">
                  <c:v>291.7</c:v>
                </c:pt>
                <c:pt idx="328">
                  <c:v>263.02</c:v>
                </c:pt>
                <c:pt idx="329">
                  <c:v>168.06</c:v>
                </c:pt>
                <c:pt idx="330">
                  <c:v>122.8</c:v>
                </c:pt>
                <c:pt idx="331">
                  <c:v>128.81</c:v>
                </c:pt>
                <c:pt idx="332">
                  <c:v>123.83</c:v>
                </c:pt>
                <c:pt idx="333">
                  <c:v>94.8</c:v>
                </c:pt>
                <c:pt idx="334">
                  <c:v>91.02</c:v>
                </c:pt>
                <c:pt idx="335">
                  <c:v>88.28</c:v>
                </c:pt>
                <c:pt idx="336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2F-7849-8DFA-9EC2A3FC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995200"/>
        <c:axId val="1675991760"/>
      </c:lineChart>
      <c:dateAx>
        <c:axId val="133680616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/yyyy\&#10;h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16"/>
        <c:crosses val="autoZero"/>
        <c:auto val="0"/>
        <c:lblOffset val="100"/>
        <c:baseTimeUnit val="days"/>
        <c:minorUnit val="24"/>
      </c:dateAx>
      <c:valAx>
        <c:axId val="164812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rgbClr val="D6D6D6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</a:t>
                </a:r>
              </a:p>
            </c:rich>
          </c:tx>
          <c:layout>
            <c:manualLayout>
              <c:xMode val="edge"/>
              <c:yMode val="edge"/>
              <c:x val="7.3494008979550765E-3"/>
              <c:y val="0.33465643944668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06160"/>
        <c:crosses val="autoZero"/>
        <c:crossBetween val="between"/>
      </c:valAx>
      <c:valAx>
        <c:axId val="167599176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95200"/>
        <c:crosses val="max"/>
        <c:crossBetween val="between"/>
      </c:valAx>
      <c:catAx>
        <c:axId val="167599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675991760"/>
        <c:crosses val="autoZero"/>
        <c:auto val="1"/>
        <c:lblAlgn val="ctr"/>
        <c:lblOffset val="100"/>
        <c:noMultiLvlLbl val="0"/>
      </c:catAx>
      <c:spPr>
        <a:solidFill>
          <a:srgbClr val="F9F9F9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80668258481578"/>
          <c:y val="0.93777474635845959"/>
          <c:w val="0.41140190067029059"/>
          <c:h val="2.54283449852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[20251119 New South Wales workbook.xlsx]Aggregated Price!PivotTable4</c:name>
    <c:fmtId val="4"/>
  </c:pivotSource>
  <c:chart>
    <c:autoTitleDeleted val="1"/>
    <c:pivotFmts>
      <c:pivotFmt>
        <c:idx val="0"/>
        <c:spPr>
          <a:solidFill>
            <a:srgbClr val="5864CC"/>
          </a:solidFill>
          <a:ln w="15875">
            <a:solidFill>
              <a:srgbClr val="07070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'Aggregated Price'!$B$1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864CC"/>
            </a:solidFill>
            <a:ln w="15875">
              <a:solidFill>
                <a:srgbClr val="070707"/>
              </a:solidFill>
            </a:ln>
            <a:effectLst/>
          </c:spPr>
          <c:cat>
            <c:multiLvlStrRef>
              <c:f>'Aggregated Price'!$A$2:$A$122</c:f>
              <c:multiLvlStrCache>
                <c:ptCount val="48"/>
                <c:lvl>
                  <c:pt idx="0">
                    <c:v>12 AM</c:v>
                  </c:pt>
                  <c:pt idx="1">
                    <c:v>12 AM</c:v>
                  </c:pt>
                  <c:pt idx="2">
                    <c:v>1 AM</c:v>
                  </c:pt>
                  <c:pt idx="3">
                    <c:v>1 AM</c:v>
                  </c:pt>
                  <c:pt idx="4">
                    <c:v>2 AM</c:v>
                  </c:pt>
                  <c:pt idx="5">
                    <c:v>2 AM</c:v>
                  </c:pt>
                  <c:pt idx="6">
                    <c:v>3 AM</c:v>
                  </c:pt>
                  <c:pt idx="7">
                    <c:v>3 AM</c:v>
                  </c:pt>
                  <c:pt idx="8">
                    <c:v>4 AM</c:v>
                  </c:pt>
                  <c:pt idx="9">
                    <c:v>4 AM</c:v>
                  </c:pt>
                  <c:pt idx="10">
                    <c:v>5 AM</c:v>
                  </c:pt>
                  <c:pt idx="11">
                    <c:v>5 AM</c:v>
                  </c:pt>
                  <c:pt idx="12">
                    <c:v>6 AM</c:v>
                  </c:pt>
                  <c:pt idx="13">
                    <c:v>6 AM</c:v>
                  </c:pt>
                  <c:pt idx="14">
                    <c:v>7 AM</c:v>
                  </c:pt>
                  <c:pt idx="15">
                    <c:v>7 AM</c:v>
                  </c:pt>
                  <c:pt idx="16">
                    <c:v>8 AM</c:v>
                  </c:pt>
                  <c:pt idx="17">
                    <c:v>8 AM</c:v>
                  </c:pt>
                  <c:pt idx="18">
                    <c:v>9 AM</c:v>
                  </c:pt>
                  <c:pt idx="19">
                    <c:v>9 AM</c:v>
                  </c:pt>
                  <c:pt idx="20">
                    <c:v>10 AM</c:v>
                  </c:pt>
                  <c:pt idx="21">
                    <c:v>10 AM</c:v>
                  </c:pt>
                  <c:pt idx="22">
                    <c:v>11 AM</c:v>
                  </c:pt>
                  <c:pt idx="23">
                    <c:v>11 AM</c:v>
                  </c:pt>
                  <c:pt idx="24">
                    <c:v>12 PM</c:v>
                  </c:pt>
                  <c:pt idx="25">
                    <c:v>12 PM</c:v>
                  </c:pt>
                  <c:pt idx="26">
                    <c:v>1 PM</c:v>
                  </c:pt>
                  <c:pt idx="27">
                    <c:v>1 PM</c:v>
                  </c:pt>
                  <c:pt idx="28">
                    <c:v>2 PM</c:v>
                  </c:pt>
                  <c:pt idx="29">
                    <c:v>2 PM</c:v>
                  </c:pt>
                  <c:pt idx="30">
                    <c:v>3 PM</c:v>
                  </c:pt>
                  <c:pt idx="31">
                    <c:v>3 PM</c:v>
                  </c:pt>
                  <c:pt idx="32">
                    <c:v>4 PM</c:v>
                  </c:pt>
                  <c:pt idx="33">
                    <c:v>4 PM</c:v>
                  </c:pt>
                  <c:pt idx="34">
                    <c:v>5 PM</c:v>
                  </c:pt>
                  <c:pt idx="35">
                    <c:v>5 PM</c:v>
                  </c:pt>
                  <c:pt idx="36">
                    <c:v>6 PM</c:v>
                  </c:pt>
                  <c:pt idx="37">
                    <c:v>6 PM</c:v>
                  </c:pt>
                  <c:pt idx="38">
                    <c:v>7 PM</c:v>
                  </c:pt>
                  <c:pt idx="39">
                    <c:v>7 PM</c:v>
                  </c:pt>
                  <c:pt idx="40">
                    <c:v>8 PM</c:v>
                  </c:pt>
                  <c:pt idx="41">
                    <c:v>8 PM</c:v>
                  </c:pt>
                  <c:pt idx="42">
                    <c:v>9 PM</c:v>
                  </c:pt>
                  <c:pt idx="43">
                    <c:v>9 PM</c:v>
                  </c:pt>
                  <c:pt idx="44">
                    <c:v>10 PM</c:v>
                  </c:pt>
                  <c:pt idx="45">
                    <c:v>10 PM</c:v>
                  </c:pt>
                  <c:pt idx="46">
                    <c:v>11 PM</c:v>
                  </c:pt>
                  <c:pt idx="47">
                    <c:v>11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Price'!$B$2:$B$122</c:f>
              <c:numCache>
                <c:formatCode>#,##0</c:formatCode>
                <c:ptCount val="48"/>
                <c:pt idx="0">
                  <c:v>86.982857142857142</c:v>
                </c:pt>
                <c:pt idx="1">
                  <c:v>81.675714285714292</c:v>
                </c:pt>
                <c:pt idx="2">
                  <c:v>81.991428571428557</c:v>
                </c:pt>
                <c:pt idx="3">
                  <c:v>80.155714285714268</c:v>
                </c:pt>
                <c:pt idx="4">
                  <c:v>74.835714285714289</c:v>
                </c:pt>
                <c:pt idx="5">
                  <c:v>76.22571428571429</c:v>
                </c:pt>
                <c:pt idx="6">
                  <c:v>75.285714285714292</c:v>
                </c:pt>
                <c:pt idx="7">
                  <c:v>77.419999999999987</c:v>
                </c:pt>
                <c:pt idx="8">
                  <c:v>76.872857142857143</c:v>
                </c:pt>
                <c:pt idx="9">
                  <c:v>80.895714285714277</c:v>
                </c:pt>
                <c:pt idx="10">
                  <c:v>81.535714285714292</c:v>
                </c:pt>
                <c:pt idx="11">
                  <c:v>87.502857142857138</c:v>
                </c:pt>
                <c:pt idx="12">
                  <c:v>96.751428571428576</c:v>
                </c:pt>
                <c:pt idx="13">
                  <c:v>119.34142857142858</c:v>
                </c:pt>
                <c:pt idx="14">
                  <c:v>147.88428571428571</c:v>
                </c:pt>
                <c:pt idx="15">
                  <c:v>156.35142857142858</c:v>
                </c:pt>
                <c:pt idx="16">
                  <c:v>141.87285714285713</c:v>
                </c:pt>
                <c:pt idx="17">
                  <c:v>97.867142857142852</c:v>
                </c:pt>
                <c:pt idx="18">
                  <c:v>81.771428571428586</c:v>
                </c:pt>
                <c:pt idx="19">
                  <c:v>85.148571428571429</c:v>
                </c:pt>
                <c:pt idx="20">
                  <c:v>70.944285714285712</c:v>
                </c:pt>
                <c:pt idx="21">
                  <c:v>60.154285714285713</c:v>
                </c:pt>
                <c:pt idx="22">
                  <c:v>31.034285714285716</c:v>
                </c:pt>
                <c:pt idx="23">
                  <c:v>32.019999999999996</c:v>
                </c:pt>
                <c:pt idx="24">
                  <c:v>25.745714285714286</c:v>
                </c:pt>
                <c:pt idx="25">
                  <c:v>22.828750000000003</c:v>
                </c:pt>
                <c:pt idx="26">
                  <c:v>5.3885714285714297</c:v>
                </c:pt>
                <c:pt idx="27">
                  <c:v>14.288571428571428</c:v>
                </c:pt>
                <c:pt idx="28">
                  <c:v>4.0828571428571436</c:v>
                </c:pt>
                <c:pt idx="29">
                  <c:v>20.804285714285715</c:v>
                </c:pt>
                <c:pt idx="30">
                  <c:v>45.08428571428572</c:v>
                </c:pt>
                <c:pt idx="31">
                  <c:v>13.794285714285715</c:v>
                </c:pt>
                <c:pt idx="32">
                  <c:v>68.755714285714276</c:v>
                </c:pt>
                <c:pt idx="33">
                  <c:v>91.742857142857147</c:v>
                </c:pt>
                <c:pt idx="34">
                  <c:v>158.11142857142858</c:v>
                </c:pt>
                <c:pt idx="35">
                  <c:v>171.86142857142858</c:v>
                </c:pt>
                <c:pt idx="36">
                  <c:v>230.89000000000001</c:v>
                </c:pt>
                <c:pt idx="37">
                  <c:v>191.43714285714285</c:v>
                </c:pt>
                <c:pt idx="38">
                  <c:v>188.42285714285714</c:v>
                </c:pt>
                <c:pt idx="39">
                  <c:v>175.25285714285715</c:v>
                </c:pt>
                <c:pt idx="40">
                  <c:v>141.87285714285716</c:v>
                </c:pt>
                <c:pt idx="41">
                  <c:v>134.85285714285715</c:v>
                </c:pt>
                <c:pt idx="42">
                  <c:v>140.27714285714288</c:v>
                </c:pt>
                <c:pt idx="43">
                  <c:v>121.51428571428572</c:v>
                </c:pt>
                <c:pt idx="44">
                  <c:v>104.76285714285713</c:v>
                </c:pt>
                <c:pt idx="45">
                  <c:v>123.64571428571428</c:v>
                </c:pt>
                <c:pt idx="46">
                  <c:v>108.54571428571428</c:v>
                </c:pt>
                <c:pt idx="47">
                  <c:v>93.054285714285712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6-D14D-B17F-2CF7A70AD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567936"/>
        <c:axId val="1637072256"/>
      </c:areaChart>
      <c:catAx>
        <c:axId val="1637567936"/>
        <c:scaling>
          <c:orientation val="minMax"/>
        </c:scaling>
        <c:delete val="0"/>
        <c:axPos val="b"/>
        <c:numFmt formatCode="[$-F400]h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72256"/>
        <c:crosses val="autoZero"/>
        <c:auto val="1"/>
        <c:lblAlgn val="ctr"/>
        <c:lblOffset val="100"/>
        <c:tickLblSkip val="6"/>
        <c:noMultiLvlLbl val="0"/>
      </c:catAx>
      <c:valAx>
        <c:axId val="16370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Spot</a:t>
                </a:r>
                <a:r>
                  <a:rPr lang="en-GB" sz="1200" b="1" baseline="0"/>
                  <a:t> Price ($/MWh)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6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B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[20251119 New South Wales workbook.xlsx]Aggregated gen mix!PivotTable5</c:name>
    <c:fmtId val="0"/>
  </c:pivotSource>
  <c:chart>
    <c:autoTitleDeleted val="0"/>
    <c:pivotFmts>
      <c:pivotFmt>
        <c:idx val="0"/>
        <c:spPr>
          <a:solidFill>
            <a:srgbClr val="B4BBC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8CB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6AA2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69FA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5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A89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343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9494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bg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'Aggregated gen mix'!$C$1</c:f>
              <c:strCache>
                <c:ptCount val="1"/>
                <c:pt idx="0">
                  <c:v>Coal (Black)</c:v>
                </c:pt>
              </c:strCache>
            </c:strRef>
          </c:tx>
          <c:spPr>
            <a:solidFill>
              <a:srgbClr val="494949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mix'!$C$2:$C$122</c:f>
              <c:numCache>
                <c:formatCode>#,##0</c:formatCode>
                <c:ptCount val="48"/>
                <c:pt idx="0">
                  <c:v>6919.9199999999992</c:v>
                </c:pt>
                <c:pt idx="1">
                  <c:v>6760.0957142857142</c:v>
                </c:pt>
                <c:pt idx="2">
                  <c:v>6600.0171428571421</c:v>
                </c:pt>
                <c:pt idx="3">
                  <c:v>6447.1042857142866</c:v>
                </c:pt>
                <c:pt idx="4">
                  <c:v>6227.7728571428579</c:v>
                </c:pt>
                <c:pt idx="5">
                  <c:v>6116.807142857142</c:v>
                </c:pt>
                <c:pt idx="6">
                  <c:v>6004.9642857142853</c:v>
                </c:pt>
                <c:pt idx="7">
                  <c:v>5876.238571428571</c:v>
                </c:pt>
                <c:pt idx="8">
                  <c:v>5864.8742857142861</c:v>
                </c:pt>
                <c:pt idx="9">
                  <c:v>5937.482857142857</c:v>
                </c:pt>
                <c:pt idx="10">
                  <c:v>6040.1128571428571</c:v>
                </c:pt>
                <c:pt idx="11">
                  <c:v>6350.3385714285705</c:v>
                </c:pt>
                <c:pt idx="12">
                  <c:v>6665.1685714285713</c:v>
                </c:pt>
                <c:pt idx="13">
                  <c:v>6919.56142857143</c:v>
                </c:pt>
                <c:pt idx="14">
                  <c:v>7049.9985714285722</c:v>
                </c:pt>
                <c:pt idx="15">
                  <c:v>7082.8342857142861</c:v>
                </c:pt>
                <c:pt idx="16">
                  <c:v>6948.4314285714281</c:v>
                </c:pt>
                <c:pt idx="17">
                  <c:v>6589.244285714286</c:v>
                </c:pt>
                <c:pt idx="18">
                  <c:v>6171.7157142857131</c:v>
                </c:pt>
                <c:pt idx="19">
                  <c:v>5754.4400000000005</c:v>
                </c:pt>
                <c:pt idx="20">
                  <c:v>5305.0871428571427</c:v>
                </c:pt>
                <c:pt idx="21">
                  <c:v>4867.0371428571434</c:v>
                </c:pt>
                <c:pt idx="22">
                  <c:v>4485.2914285714278</c:v>
                </c:pt>
                <c:pt idx="23">
                  <c:v>4239.6571428571424</c:v>
                </c:pt>
                <c:pt idx="24">
                  <c:v>4118.7757142857145</c:v>
                </c:pt>
                <c:pt idx="25">
                  <c:v>3994.84375</c:v>
                </c:pt>
                <c:pt idx="26">
                  <c:v>3770.9900000000002</c:v>
                </c:pt>
                <c:pt idx="27">
                  <c:v>3772.6657142857143</c:v>
                </c:pt>
                <c:pt idx="28">
                  <c:v>3803.6571428571433</c:v>
                </c:pt>
                <c:pt idx="29">
                  <c:v>3906.6585714285716</c:v>
                </c:pt>
                <c:pt idx="30">
                  <c:v>4268.8357142857139</c:v>
                </c:pt>
                <c:pt idx="31">
                  <c:v>4746.7142857142853</c:v>
                </c:pt>
                <c:pt idx="32">
                  <c:v>5430.9342857142856</c:v>
                </c:pt>
                <c:pt idx="33">
                  <c:v>6249.0057142857158</c:v>
                </c:pt>
                <c:pt idx="34">
                  <c:v>6803.1328571428576</c:v>
                </c:pt>
                <c:pt idx="35">
                  <c:v>7126.2499999999991</c:v>
                </c:pt>
                <c:pt idx="36">
                  <c:v>7270.93</c:v>
                </c:pt>
                <c:pt idx="37">
                  <c:v>7295.2471428571425</c:v>
                </c:pt>
                <c:pt idx="38">
                  <c:v>7308.5199999999995</c:v>
                </c:pt>
                <c:pt idx="39">
                  <c:v>7308.6328571428558</c:v>
                </c:pt>
                <c:pt idx="40">
                  <c:v>7306.6328571428558</c:v>
                </c:pt>
                <c:pt idx="41">
                  <c:v>7314.5614285714282</c:v>
                </c:pt>
                <c:pt idx="42">
                  <c:v>7319.9199999999983</c:v>
                </c:pt>
                <c:pt idx="43">
                  <c:v>7323.8328571428574</c:v>
                </c:pt>
                <c:pt idx="44">
                  <c:v>7255.7428571428563</c:v>
                </c:pt>
                <c:pt idx="45">
                  <c:v>7245.3857142857141</c:v>
                </c:pt>
                <c:pt idx="46">
                  <c:v>7168.9085714285711</c:v>
                </c:pt>
                <c:pt idx="47">
                  <c:v>7071.9257142857141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1-E64F-BDE4-185204C877AA}"/>
            </c:ext>
          </c:extLst>
        </c:ser>
        <c:ser>
          <c:idx val="2"/>
          <c:order val="2"/>
          <c:tx>
            <c:strRef>
              <c:f>'Aggregated gen mix'!$D$1</c:f>
              <c:strCache>
                <c:ptCount val="1"/>
                <c:pt idx="0">
                  <c:v>Gas (CCGT)</c:v>
                </c:pt>
              </c:strCache>
            </c:strRef>
          </c:tx>
          <c:spPr>
            <a:solidFill>
              <a:srgbClr val="C34335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mix'!$D$2:$D$122</c:f>
              <c:numCache>
                <c:formatCode>#,##0</c:formatCode>
                <c:ptCount val="48"/>
                <c:pt idx="0">
                  <c:v>200.78428571428569</c:v>
                </c:pt>
                <c:pt idx="1">
                  <c:v>132.85714285714286</c:v>
                </c:pt>
                <c:pt idx="2">
                  <c:v>123.0942857142857</c:v>
                </c:pt>
                <c:pt idx="3">
                  <c:v>109.11999999999999</c:v>
                </c:pt>
                <c:pt idx="4">
                  <c:v>108.64285714285714</c:v>
                </c:pt>
                <c:pt idx="5">
                  <c:v>108.66714285714285</c:v>
                </c:pt>
                <c:pt idx="6">
                  <c:v>108.57142857142857</c:v>
                </c:pt>
                <c:pt idx="7">
                  <c:v>108.54857142857142</c:v>
                </c:pt>
                <c:pt idx="8">
                  <c:v>109.92857142857143</c:v>
                </c:pt>
                <c:pt idx="9">
                  <c:v>111.1657142857143</c:v>
                </c:pt>
                <c:pt idx="10">
                  <c:v>119.57142857142857</c:v>
                </c:pt>
                <c:pt idx="11">
                  <c:v>144.59571428571431</c:v>
                </c:pt>
                <c:pt idx="12">
                  <c:v>217.92857142857142</c:v>
                </c:pt>
                <c:pt idx="13">
                  <c:v>256.70285714285717</c:v>
                </c:pt>
                <c:pt idx="14">
                  <c:v>268.81142857142856</c:v>
                </c:pt>
                <c:pt idx="15">
                  <c:v>274.72428571428571</c:v>
                </c:pt>
                <c:pt idx="16">
                  <c:v>273.33428571428573</c:v>
                </c:pt>
                <c:pt idx="17">
                  <c:v>233.32999999999998</c:v>
                </c:pt>
                <c:pt idx="18">
                  <c:v>116.11999999999999</c:v>
                </c:pt>
                <c:pt idx="19">
                  <c:v>65.022857142857134</c:v>
                </c:pt>
                <c:pt idx="20">
                  <c:v>64.238571428571433</c:v>
                </c:pt>
                <c:pt idx="21">
                  <c:v>64.071428571428569</c:v>
                </c:pt>
                <c:pt idx="22">
                  <c:v>63.167142857142856</c:v>
                </c:pt>
                <c:pt idx="23">
                  <c:v>38.832857142857144</c:v>
                </c:pt>
                <c:pt idx="24">
                  <c:v>21.69</c:v>
                </c:pt>
                <c:pt idx="25">
                  <c:v>24.896249999999998</c:v>
                </c:pt>
                <c:pt idx="26">
                  <c:v>27.167142857142856</c:v>
                </c:pt>
                <c:pt idx="27">
                  <c:v>27.142857142857142</c:v>
                </c:pt>
                <c:pt idx="28">
                  <c:v>27.524285714285714</c:v>
                </c:pt>
                <c:pt idx="29">
                  <c:v>36.714285714285715</c:v>
                </c:pt>
                <c:pt idx="30">
                  <c:v>57.308571428571433</c:v>
                </c:pt>
                <c:pt idx="31">
                  <c:v>111.07142857142858</c:v>
                </c:pt>
                <c:pt idx="32">
                  <c:v>196.95428571428573</c:v>
                </c:pt>
                <c:pt idx="33">
                  <c:v>283.78571428571428</c:v>
                </c:pt>
                <c:pt idx="34">
                  <c:v>331.11714285714282</c:v>
                </c:pt>
                <c:pt idx="35">
                  <c:v>319.61857142857144</c:v>
                </c:pt>
                <c:pt idx="36">
                  <c:v>326.17</c:v>
                </c:pt>
                <c:pt idx="37">
                  <c:v>334.05571428571426</c:v>
                </c:pt>
                <c:pt idx="38">
                  <c:v>331.48714285714283</c:v>
                </c:pt>
                <c:pt idx="39">
                  <c:v>331.64142857142855</c:v>
                </c:pt>
                <c:pt idx="40">
                  <c:v>333.24571428571431</c:v>
                </c:pt>
                <c:pt idx="41">
                  <c:v>331.95714285714286</c:v>
                </c:pt>
                <c:pt idx="42">
                  <c:v>321.88</c:v>
                </c:pt>
                <c:pt idx="43">
                  <c:v>321.26285714285717</c:v>
                </c:pt>
                <c:pt idx="44">
                  <c:v>316.69</c:v>
                </c:pt>
                <c:pt idx="45">
                  <c:v>322.78571428571428</c:v>
                </c:pt>
                <c:pt idx="46">
                  <c:v>315.02428571428572</c:v>
                </c:pt>
                <c:pt idx="47">
                  <c:v>271.40571428571428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1-E64F-BDE4-185204C877AA}"/>
            </c:ext>
          </c:extLst>
        </c:ser>
        <c:ser>
          <c:idx val="3"/>
          <c:order val="3"/>
          <c:tx>
            <c:strRef>
              <c:f>'Aggregated gen mix'!$E$1</c:f>
              <c:strCache>
                <c:ptCount val="1"/>
                <c:pt idx="0">
                  <c:v>Gas (OCGT)</c:v>
                </c:pt>
              </c:strCache>
            </c:strRef>
          </c:tx>
          <c:spPr>
            <a:solidFill>
              <a:srgbClr val="EA8973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mix'!$E$2:$E$122</c:f>
              <c:numCache>
                <c:formatCode>#,##0</c:formatCode>
                <c:ptCount val="48"/>
                <c:pt idx="0">
                  <c:v>43.424285714285709</c:v>
                </c:pt>
                <c:pt idx="1">
                  <c:v>43.35</c:v>
                </c:pt>
                <c:pt idx="2">
                  <c:v>43.208571428571432</c:v>
                </c:pt>
                <c:pt idx="3">
                  <c:v>43.078571428571422</c:v>
                </c:pt>
                <c:pt idx="4">
                  <c:v>43.059999999999995</c:v>
                </c:pt>
                <c:pt idx="5">
                  <c:v>43.261428571428567</c:v>
                </c:pt>
                <c:pt idx="6">
                  <c:v>43.142857142857146</c:v>
                </c:pt>
                <c:pt idx="7">
                  <c:v>43.121428571428574</c:v>
                </c:pt>
                <c:pt idx="8">
                  <c:v>42.875714285714288</c:v>
                </c:pt>
                <c:pt idx="9">
                  <c:v>43.021428571428579</c:v>
                </c:pt>
                <c:pt idx="10">
                  <c:v>42.89</c:v>
                </c:pt>
                <c:pt idx="11">
                  <c:v>63.692857142857136</c:v>
                </c:pt>
                <c:pt idx="12">
                  <c:v>79.150000000000006</c:v>
                </c:pt>
                <c:pt idx="13">
                  <c:v>166.08571428571426</c:v>
                </c:pt>
                <c:pt idx="14">
                  <c:v>300.46714285714285</c:v>
                </c:pt>
                <c:pt idx="15">
                  <c:v>339.23999999999995</c:v>
                </c:pt>
                <c:pt idx="16">
                  <c:v>343.97571428571428</c:v>
                </c:pt>
                <c:pt idx="17">
                  <c:v>266.50714285714287</c:v>
                </c:pt>
                <c:pt idx="18">
                  <c:v>161.54428571428571</c:v>
                </c:pt>
                <c:pt idx="19">
                  <c:v>82.407142857142858</c:v>
                </c:pt>
                <c:pt idx="20">
                  <c:v>42.847142857142856</c:v>
                </c:pt>
                <c:pt idx="21">
                  <c:v>40.287142857142854</c:v>
                </c:pt>
                <c:pt idx="22">
                  <c:v>40.444285714285719</c:v>
                </c:pt>
                <c:pt idx="23">
                  <c:v>40.174285714285716</c:v>
                </c:pt>
                <c:pt idx="24">
                  <c:v>39.982857142857142</c:v>
                </c:pt>
                <c:pt idx="25">
                  <c:v>39.532499999999999</c:v>
                </c:pt>
                <c:pt idx="26">
                  <c:v>39.028571428571432</c:v>
                </c:pt>
                <c:pt idx="27">
                  <c:v>37.89142857142857</c:v>
                </c:pt>
                <c:pt idx="28">
                  <c:v>37.625714285714288</c:v>
                </c:pt>
                <c:pt idx="29">
                  <c:v>37.89</c:v>
                </c:pt>
                <c:pt idx="30">
                  <c:v>38</c:v>
                </c:pt>
                <c:pt idx="31">
                  <c:v>38.341428571428573</c:v>
                </c:pt>
                <c:pt idx="32">
                  <c:v>55.777142857142856</c:v>
                </c:pt>
                <c:pt idx="33">
                  <c:v>170.38428571428571</c:v>
                </c:pt>
                <c:pt idx="34">
                  <c:v>364.45142857142855</c:v>
                </c:pt>
                <c:pt idx="35">
                  <c:v>619.737142857143</c:v>
                </c:pt>
                <c:pt idx="36">
                  <c:v>702.53285714285721</c:v>
                </c:pt>
                <c:pt idx="37">
                  <c:v>708.14857142857147</c:v>
                </c:pt>
                <c:pt idx="38">
                  <c:v>717.54428571428582</c:v>
                </c:pt>
                <c:pt idx="39">
                  <c:v>703.42142857142869</c:v>
                </c:pt>
                <c:pt idx="40">
                  <c:v>676.6728571428572</c:v>
                </c:pt>
                <c:pt idx="41">
                  <c:v>597.49</c:v>
                </c:pt>
                <c:pt idx="42">
                  <c:v>463.69428571428574</c:v>
                </c:pt>
                <c:pt idx="43">
                  <c:v>311.90142857142854</c:v>
                </c:pt>
                <c:pt idx="44">
                  <c:v>225.32428571428571</c:v>
                </c:pt>
                <c:pt idx="45">
                  <c:v>104.35142857142857</c:v>
                </c:pt>
                <c:pt idx="46">
                  <c:v>47.408571428571427</c:v>
                </c:pt>
                <c:pt idx="47">
                  <c:v>43.425714285714285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1-E64F-BDE4-185204C877AA}"/>
            </c:ext>
          </c:extLst>
        </c:ser>
        <c:ser>
          <c:idx val="4"/>
          <c:order val="4"/>
          <c:tx>
            <c:strRef>
              <c:f>'Aggregated gen mix'!$F$1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4475A9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mix'!$F$2:$F$122</c:f>
              <c:numCache>
                <c:formatCode>#,##0</c:formatCode>
                <c:ptCount val="48"/>
                <c:pt idx="0">
                  <c:v>166.92285714285714</c:v>
                </c:pt>
                <c:pt idx="1">
                  <c:v>178.14000000000001</c:v>
                </c:pt>
                <c:pt idx="2">
                  <c:v>146.72285714285712</c:v>
                </c:pt>
                <c:pt idx="3">
                  <c:v>105.04857142857144</c:v>
                </c:pt>
                <c:pt idx="4">
                  <c:v>69.271428571428572</c:v>
                </c:pt>
                <c:pt idx="5">
                  <c:v>62.928571428571431</c:v>
                </c:pt>
                <c:pt idx="6">
                  <c:v>45.31</c:v>
                </c:pt>
                <c:pt idx="7">
                  <c:v>40.19</c:v>
                </c:pt>
                <c:pt idx="8">
                  <c:v>40.628571428571426</c:v>
                </c:pt>
                <c:pt idx="9">
                  <c:v>56.202857142857134</c:v>
                </c:pt>
                <c:pt idx="10">
                  <c:v>63.322857142857153</c:v>
                </c:pt>
                <c:pt idx="11">
                  <c:v>128.43285714285716</c:v>
                </c:pt>
                <c:pt idx="12">
                  <c:v>275.05</c:v>
                </c:pt>
                <c:pt idx="13">
                  <c:v>421.97142857142859</c:v>
                </c:pt>
                <c:pt idx="14">
                  <c:v>527.47</c:v>
                </c:pt>
                <c:pt idx="15">
                  <c:v>603.93428571428569</c:v>
                </c:pt>
                <c:pt idx="16">
                  <c:v>502.60142857142858</c:v>
                </c:pt>
                <c:pt idx="17">
                  <c:v>234.95285714285711</c:v>
                </c:pt>
                <c:pt idx="18">
                  <c:v>120.25142857142858</c:v>
                </c:pt>
                <c:pt idx="19">
                  <c:v>29.502857142857145</c:v>
                </c:pt>
                <c:pt idx="20">
                  <c:v>12.367142857142856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2.5674999999999999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6.99</c:v>
                </c:pt>
                <c:pt idx="32">
                  <c:v>54.434285714285707</c:v>
                </c:pt>
                <c:pt idx="33">
                  <c:v>193.50714285714284</c:v>
                </c:pt>
                <c:pt idx="34">
                  <c:v>592.0100000000001</c:v>
                </c:pt>
                <c:pt idx="35">
                  <c:v>829.68285714285707</c:v>
                </c:pt>
                <c:pt idx="36">
                  <c:v>931.09285714285704</c:v>
                </c:pt>
                <c:pt idx="37">
                  <c:v>962.21571428571417</c:v>
                </c:pt>
                <c:pt idx="38">
                  <c:v>939.43571428571443</c:v>
                </c:pt>
                <c:pt idx="39">
                  <c:v>907.55285714285708</c:v>
                </c:pt>
                <c:pt idx="40">
                  <c:v>852.43714285714282</c:v>
                </c:pt>
                <c:pt idx="41">
                  <c:v>758.66857142857157</c:v>
                </c:pt>
                <c:pt idx="42">
                  <c:v>636.4457142857143</c:v>
                </c:pt>
                <c:pt idx="43">
                  <c:v>522.09285714285716</c:v>
                </c:pt>
                <c:pt idx="44">
                  <c:v>348.18571428571425</c:v>
                </c:pt>
                <c:pt idx="45">
                  <c:v>335.3214285714285</c:v>
                </c:pt>
                <c:pt idx="46">
                  <c:v>265.94285714285718</c:v>
                </c:pt>
                <c:pt idx="47">
                  <c:v>176.83142857142857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C1-E64F-BDE4-185204C877AA}"/>
            </c:ext>
          </c:extLst>
        </c:ser>
        <c:ser>
          <c:idx val="5"/>
          <c:order val="5"/>
          <c:tx>
            <c:strRef>
              <c:f>'Aggregated gen mix'!$G$1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9FAC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mix'!$G$2:$G$122</c:f>
              <c:numCache>
                <c:formatCode>#,##0</c:formatCode>
                <c:ptCount val="48"/>
                <c:pt idx="0">
                  <c:v>950.38999999999976</c:v>
                </c:pt>
                <c:pt idx="1">
                  <c:v>949.75571428571425</c:v>
                </c:pt>
                <c:pt idx="2">
                  <c:v>949.98714285714289</c:v>
                </c:pt>
                <c:pt idx="3">
                  <c:v>969.03857142857146</c:v>
                </c:pt>
                <c:pt idx="4">
                  <c:v>977.48857142857139</c:v>
                </c:pt>
                <c:pt idx="5">
                  <c:v>960.32857142857142</c:v>
                </c:pt>
                <c:pt idx="6">
                  <c:v>938.52857142857124</c:v>
                </c:pt>
                <c:pt idx="7">
                  <c:v>906.59142857142876</c:v>
                </c:pt>
                <c:pt idx="8">
                  <c:v>917.43428571428569</c:v>
                </c:pt>
                <c:pt idx="9">
                  <c:v>924.3485714285714</c:v>
                </c:pt>
                <c:pt idx="10">
                  <c:v>963.5771428571428</c:v>
                </c:pt>
                <c:pt idx="11">
                  <c:v>945.77428571428572</c:v>
                </c:pt>
                <c:pt idx="12">
                  <c:v>956.6728571428572</c:v>
                </c:pt>
                <c:pt idx="13">
                  <c:v>961.51</c:v>
                </c:pt>
                <c:pt idx="14">
                  <c:v>956.62857142857149</c:v>
                </c:pt>
                <c:pt idx="15">
                  <c:v>963.71571428571428</c:v>
                </c:pt>
                <c:pt idx="16">
                  <c:v>957.16428571428571</c:v>
                </c:pt>
                <c:pt idx="17">
                  <c:v>894.02428571428572</c:v>
                </c:pt>
                <c:pt idx="18">
                  <c:v>799.35142857142853</c:v>
                </c:pt>
                <c:pt idx="19">
                  <c:v>746.87428571428575</c:v>
                </c:pt>
                <c:pt idx="20">
                  <c:v>708.93428571428581</c:v>
                </c:pt>
                <c:pt idx="21">
                  <c:v>688.36714285714299</c:v>
                </c:pt>
                <c:pt idx="22">
                  <c:v>705.04857142857134</c:v>
                </c:pt>
                <c:pt idx="23">
                  <c:v>729.52142857142849</c:v>
                </c:pt>
                <c:pt idx="24">
                  <c:v>749.0200000000001</c:v>
                </c:pt>
                <c:pt idx="25">
                  <c:v>883.11749999999995</c:v>
                </c:pt>
                <c:pt idx="26">
                  <c:v>1051.06</c:v>
                </c:pt>
                <c:pt idx="27">
                  <c:v>1053.3399999999999</c:v>
                </c:pt>
                <c:pt idx="28">
                  <c:v>1029.6385714285716</c:v>
                </c:pt>
                <c:pt idx="29">
                  <c:v>1044.6214285714284</c:v>
                </c:pt>
                <c:pt idx="30">
                  <c:v>1066.8757142857144</c:v>
                </c:pt>
                <c:pt idx="31">
                  <c:v>1064.275714285714</c:v>
                </c:pt>
                <c:pt idx="32">
                  <c:v>1071.6471428571429</c:v>
                </c:pt>
                <c:pt idx="33">
                  <c:v>1062.8614285714286</c:v>
                </c:pt>
                <c:pt idx="34">
                  <c:v>1040.3771428571429</c:v>
                </c:pt>
                <c:pt idx="35">
                  <c:v>1019.8857142857144</c:v>
                </c:pt>
                <c:pt idx="36">
                  <c:v>1052.2328571428573</c:v>
                </c:pt>
                <c:pt idx="37">
                  <c:v>1078.8771428571429</c:v>
                </c:pt>
                <c:pt idx="38">
                  <c:v>1115.7785714285715</c:v>
                </c:pt>
                <c:pt idx="39">
                  <c:v>1135.2499999999998</c:v>
                </c:pt>
                <c:pt idx="40">
                  <c:v>1111.2785714285715</c:v>
                </c:pt>
                <c:pt idx="41">
                  <c:v>1088.3771428571429</c:v>
                </c:pt>
                <c:pt idx="42">
                  <c:v>1064.2242857142858</c:v>
                </c:pt>
                <c:pt idx="43">
                  <c:v>1043.4057142857143</c:v>
                </c:pt>
                <c:pt idx="44">
                  <c:v>1027.3957142857146</c:v>
                </c:pt>
                <c:pt idx="45">
                  <c:v>1004.5314285714286</c:v>
                </c:pt>
                <c:pt idx="46">
                  <c:v>1004.7814285714285</c:v>
                </c:pt>
                <c:pt idx="47">
                  <c:v>979.5985714285714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C1-E64F-BDE4-185204C877AA}"/>
            </c:ext>
          </c:extLst>
        </c:ser>
        <c:ser>
          <c:idx val="6"/>
          <c:order val="6"/>
          <c:tx>
            <c:strRef>
              <c:f>'Aggregated gen mix'!$H$1</c:f>
              <c:strCache>
                <c:ptCount val="1"/>
                <c:pt idx="0">
                  <c:v>Solar (Utility)</c:v>
                </c:pt>
              </c:strCache>
            </c:strRef>
          </c:tx>
          <c:spPr>
            <a:solidFill>
              <a:srgbClr val="F6AA2F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mix'!$H$2:$H$122</c:f>
              <c:numCache>
                <c:formatCode>#,##0</c:formatCode>
                <c:ptCount val="48"/>
                <c:pt idx="0">
                  <c:v>4.1428571428571426E-2</c:v>
                </c:pt>
                <c:pt idx="1">
                  <c:v>4.1428571428571426E-2</c:v>
                </c:pt>
                <c:pt idx="2">
                  <c:v>4.1428571428571426E-2</c:v>
                </c:pt>
                <c:pt idx="3">
                  <c:v>4.1428571428571426E-2</c:v>
                </c:pt>
                <c:pt idx="4">
                  <c:v>4.1428571428571426E-2</c:v>
                </c:pt>
                <c:pt idx="5">
                  <c:v>4.1428571428571426E-2</c:v>
                </c:pt>
                <c:pt idx="6">
                  <c:v>4.1428571428571426E-2</c:v>
                </c:pt>
                <c:pt idx="7">
                  <c:v>4.1428571428571426E-2</c:v>
                </c:pt>
                <c:pt idx="8">
                  <c:v>4.1428571428571426E-2</c:v>
                </c:pt>
                <c:pt idx="9">
                  <c:v>4.1428571428571426E-2</c:v>
                </c:pt>
                <c:pt idx="10">
                  <c:v>4.1428571428571426E-2</c:v>
                </c:pt>
                <c:pt idx="11">
                  <c:v>4.1428571428571426E-2</c:v>
                </c:pt>
                <c:pt idx="12">
                  <c:v>4.1428571428571426E-2</c:v>
                </c:pt>
                <c:pt idx="13">
                  <c:v>4.1428571428571426E-2</c:v>
                </c:pt>
                <c:pt idx="14">
                  <c:v>3.9571428571428577</c:v>
                </c:pt>
                <c:pt idx="15">
                  <c:v>99.895714285714277</c:v>
                </c:pt>
                <c:pt idx="16">
                  <c:v>505.51285714285717</c:v>
                </c:pt>
                <c:pt idx="17">
                  <c:v>1142.9471428571428</c:v>
                </c:pt>
                <c:pt idx="18">
                  <c:v>1737.3142857142859</c:v>
                </c:pt>
                <c:pt idx="19">
                  <c:v>1968.5885714285716</c:v>
                </c:pt>
                <c:pt idx="20">
                  <c:v>2115.5128571428572</c:v>
                </c:pt>
                <c:pt idx="21">
                  <c:v>2159.8914285714286</c:v>
                </c:pt>
                <c:pt idx="22">
                  <c:v>2262.764285714286</c:v>
                </c:pt>
                <c:pt idx="23">
                  <c:v>2325.997142857143</c:v>
                </c:pt>
                <c:pt idx="24">
                  <c:v>2323.6357142857146</c:v>
                </c:pt>
                <c:pt idx="25">
                  <c:v>2138.1037499999998</c:v>
                </c:pt>
                <c:pt idx="26">
                  <c:v>2140.6899999999996</c:v>
                </c:pt>
                <c:pt idx="27">
                  <c:v>2121.0471428571432</c:v>
                </c:pt>
                <c:pt idx="28">
                  <c:v>2105.4157142857143</c:v>
                </c:pt>
                <c:pt idx="29">
                  <c:v>2105.4385714285713</c:v>
                </c:pt>
                <c:pt idx="30">
                  <c:v>1984.7942857142857</c:v>
                </c:pt>
                <c:pt idx="31">
                  <c:v>1810.9485714285713</c:v>
                </c:pt>
                <c:pt idx="32">
                  <c:v>1407.9771428571428</c:v>
                </c:pt>
                <c:pt idx="33">
                  <c:v>767.61714285714277</c:v>
                </c:pt>
                <c:pt idx="34">
                  <c:v>187.67142857142858</c:v>
                </c:pt>
                <c:pt idx="35">
                  <c:v>8.3371428571428563</c:v>
                </c:pt>
                <c:pt idx="36">
                  <c:v>4.1428571428571426E-2</c:v>
                </c:pt>
                <c:pt idx="37">
                  <c:v>4.1428571428571426E-2</c:v>
                </c:pt>
                <c:pt idx="38">
                  <c:v>4.1428571428571426E-2</c:v>
                </c:pt>
                <c:pt idx="39">
                  <c:v>4.1428571428571426E-2</c:v>
                </c:pt>
                <c:pt idx="40">
                  <c:v>4.1428571428571426E-2</c:v>
                </c:pt>
                <c:pt idx="41">
                  <c:v>4.1428571428571426E-2</c:v>
                </c:pt>
                <c:pt idx="42">
                  <c:v>4.1428571428571426E-2</c:v>
                </c:pt>
                <c:pt idx="43">
                  <c:v>4.1428571428571426E-2</c:v>
                </c:pt>
                <c:pt idx="44">
                  <c:v>4.1428571428571426E-2</c:v>
                </c:pt>
                <c:pt idx="45">
                  <c:v>4.1428571428571426E-2</c:v>
                </c:pt>
                <c:pt idx="46">
                  <c:v>4.1428571428571426E-2</c:v>
                </c:pt>
                <c:pt idx="47">
                  <c:v>4.1428571428571426E-2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C1-E64F-BDE4-185204C877AA}"/>
            </c:ext>
          </c:extLst>
        </c:ser>
        <c:ser>
          <c:idx val="7"/>
          <c:order val="7"/>
          <c:tx>
            <c:strRef>
              <c:f>'Aggregated gen mix'!$I$1</c:f>
              <c:strCache>
                <c:ptCount val="1"/>
                <c:pt idx="0">
                  <c:v>Solar (Rooftop)</c:v>
                </c:pt>
              </c:strCache>
            </c:strRef>
          </c:tx>
          <c:spPr>
            <a:solidFill>
              <a:srgbClr val="F8CB7A"/>
            </a:solidFill>
            <a:ln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mix'!$I$2:$I$122</c:f>
              <c:numCache>
                <c:formatCode>#,##0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0.11</c:v>
                </c:pt>
                <c:pt idx="14">
                  <c:v>7.0228571428571431</c:v>
                </c:pt>
                <c:pt idx="15">
                  <c:v>83.210000000000008</c:v>
                </c:pt>
                <c:pt idx="16">
                  <c:v>335.68285714285713</c:v>
                </c:pt>
                <c:pt idx="17">
                  <c:v>735.43000000000006</c:v>
                </c:pt>
                <c:pt idx="18">
                  <c:v>1211.3400000000001</c:v>
                </c:pt>
                <c:pt idx="19">
                  <c:v>1693.1200000000001</c:v>
                </c:pt>
                <c:pt idx="20">
                  <c:v>2112.3457142857142</c:v>
                </c:pt>
                <c:pt idx="21">
                  <c:v>2458.1914285714288</c:v>
                </c:pt>
                <c:pt idx="22">
                  <c:v>2709.6085714285714</c:v>
                </c:pt>
                <c:pt idx="23">
                  <c:v>2906.2428571428568</c:v>
                </c:pt>
                <c:pt idx="24">
                  <c:v>3052.0642857142861</c:v>
                </c:pt>
                <c:pt idx="25">
                  <c:v>2717.2874999999999</c:v>
                </c:pt>
                <c:pt idx="26">
                  <c:v>2960.0785714285712</c:v>
                </c:pt>
                <c:pt idx="27">
                  <c:v>3007.6371428571429</c:v>
                </c:pt>
                <c:pt idx="28">
                  <c:v>2719.9842857142858</c:v>
                </c:pt>
                <c:pt idx="29">
                  <c:v>2320.0328571428572</c:v>
                </c:pt>
                <c:pt idx="30">
                  <c:v>1876.1114285714284</c:v>
                </c:pt>
                <c:pt idx="31">
                  <c:v>1400.6957142857143</c:v>
                </c:pt>
                <c:pt idx="32">
                  <c:v>907.82285714285717</c:v>
                </c:pt>
                <c:pt idx="33">
                  <c:v>463.71857142857147</c:v>
                </c:pt>
                <c:pt idx="34">
                  <c:v>137.05142857142854</c:v>
                </c:pt>
                <c:pt idx="35">
                  <c:v>15.855714285714285</c:v>
                </c:pt>
                <c:pt idx="36">
                  <c:v>0.19142857142857145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C1-E64F-BDE4-185204C877AA}"/>
            </c:ext>
          </c:extLst>
        </c:ser>
        <c:ser>
          <c:idx val="8"/>
          <c:order val="8"/>
          <c:tx>
            <c:strRef>
              <c:f>'Aggregated gen mix'!$J$1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rgbClr val="B4BBC2"/>
            </a:solidFill>
            <a:ln w="25400">
              <a:noFill/>
            </a:ln>
            <a:effectLst/>
          </c:spP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mix'!$J$2:$J$122</c:f>
              <c:numCache>
                <c:formatCode>#,##0</c:formatCode>
                <c:ptCount val="48"/>
                <c:pt idx="0">
                  <c:v>848.21857142857152</c:v>
                </c:pt>
                <c:pt idx="1">
                  <c:v>800.03142857142859</c:v>
                </c:pt>
                <c:pt idx="2">
                  <c:v>818.18999999999994</c:v>
                </c:pt>
                <c:pt idx="3">
                  <c:v>786.94571428571442</c:v>
                </c:pt>
                <c:pt idx="4">
                  <c:v>829.66714285714284</c:v>
                </c:pt>
                <c:pt idx="5">
                  <c:v>805.56857142857154</c:v>
                </c:pt>
                <c:pt idx="6">
                  <c:v>802.8057142857142</c:v>
                </c:pt>
                <c:pt idx="7">
                  <c:v>888.26857142857148</c:v>
                </c:pt>
                <c:pt idx="8">
                  <c:v>847.56000000000006</c:v>
                </c:pt>
                <c:pt idx="9">
                  <c:v>836.23285714285714</c:v>
                </c:pt>
                <c:pt idx="10">
                  <c:v>802.2071428571428</c:v>
                </c:pt>
                <c:pt idx="11">
                  <c:v>732.63428571428562</c:v>
                </c:pt>
                <c:pt idx="12">
                  <c:v>583.86285714285714</c:v>
                </c:pt>
                <c:pt idx="13">
                  <c:v>567.51285714285711</c:v>
                </c:pt>
                <c:pt idx="14">
                  <c:v>550.06285714285707</c:v>
                </c:pt>
                <c:pt idx="15">
                  <c:v>669.01571428571435</c:v>
                </c:pt>
                <c:pt idx="16">
                  <c:v>681.72285714285715</c:v>
                </c:pt>
                <c:pt idx="17">
                  <c:v>785.62</c:v>
                </c:pt>
                <c:pt idx="18">
                  <c:v>929.38571428571424</c:v>
                </c:pt>
                <c:pt idx="19">
                  <c:v>949.95428571428579</c:v>
                </c:pt>
                <c:pt idx="20">
                  <c:v>930.41571428571422</c:v>
                </c:pt>
                <c:pt idx="21">
                  <c:v>960.40571428571445</c:v>
                </c:pt>
                <c:pt idx="22">
                  <c:v>926.70142857142855</c:v>
                </c:pt>
                <c:pt idx="23">
                  <c:v>933.62857142857149</c:v>
                </c:pt>
                <c:pt idx="24">
                  <c:v>902.43857142857155</c:v>
                </c:pt>
                <c:pt idx="25">
                  <c:v>919.04375000000005</c:v>
                </c:pt>
                <c:pt idx="26">
                  <c:v>863.75857142857137</c:v>
                </c:pt>
                <c:pt idx="27">
                  <c:v>867.12857142857149</c:v>
                </c:pt>
                <c:pt idx="28">
                  <c:v>873.99714285714288</c:v>
                </c:pt>
                <c:pt idx="29">
                  <c:v>899.16285714285732</c:v>
                </c:pt>
                <c:pt idx="30">
                  <c:v>868.16285714285721</c:v>
                </c:pt>
                <c:pt idx="31">
                  <c:v>855.45142857142855</c:v>
                </c:pt>
                <c:pt idx="32">
                  <c:v>856.69714285714292</c:v>
                </c:pt>
                <c:pt idx="33">
                  <c:v>871.73142857142852</c:v>
                </c:pt>
                <c:pt idx="34">
                  <c:v>816.97428571428566</c:v>
                </c:pt>
                <c:pt idx="35">
                  <c:v>793.79714285714283</c:v>
                </c:pt>
                <c:pt idx="36">
                  <c:v>847.47857142857151</c:v>
                </c:pt>
                <c:pt idx="37">
                  <c:v>865.25</c:v>
                </c:pt>
                <c:pt idx="38">
                  <c:v>885.6728571428572</c:v>
                </c:pt>
                <c:pt idx="39">
                  <c:v>910.0214285714286</c:v>
                </c:pt>
                <c:pt idx="40">
                  <c:v>929.13714285714286</c:v>
                </c:pt>
                <c:pt idx="41">
                  <c:v>971.99285714285725</c:v>
                </c:pt>
                <c:pt idx="42">
                  <c:v>1035.2414285714287</c:v>
                </c:pt>
                <c:pt idx="43">
                  <c:v>1027.0614285714285</c:v>
                </c:pt>
                <c:pt idx="44">
                  <c:v>1002.1728571428572</c:v>
                </c:pt>
                <c:pt idx="45">
                  <c:v>926.22285714285715</c:v>
                </c:pt>
                <c:pt idx="46">
                  <c:v>898.84428571428566</c:v>
                </c:pt>
                <c:pt idx="47">
                  <c:v>890.6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C1-E64F-BDE4-185204C87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333616"/>
        <c:axId val="209619247"/>
      </c:areaChart>
      <c:lineChart>
        <c:grouping val="standard"/>
        <c:varyColors val="0"/>
        <c:ser>
          <c:idx val="0"/>
          <c:order val="0"/>
          <c:tx>
            <c:strRef>
              <c:f>'Aggregated gen mix'!$B$1</c:f>
              <c:strCache>
                <c:ptCount val="1"/>
                <c:pt idx="0">
                  <c:v>Average Price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sysDot"/>
              <a:round/>
            </a:ln>
            <a:effectLst/>
          </c:spPr>
          <c:marker>
            <c:symbol val="none"/>
          </c:marker>
          <c:cat>
            <c:multiLvlStrRef>
              <c:f>'Aggregated gen mix'!$A$2:$A$122</c:f>
              <c:multiLvlStrCache>
                <c:ptCount val="48"/>
                <c:lvl>
                  <c:pt idx="0">
                    <c:v>12:00 am</c:v>
                  </c:pt>
                  <c:pt idx="1">
                    <c:v>12:30 am</c:v>
                  </c:pt>
                  <c:pt idx="2">
                    <c:v>1:00 am</c:v>
                  </c:pt>
                  <c:pt idx="3">
                    <c:v>1:30 am</c:v>
                  </c:pt>
                  <c:pt idx="4">
                    <c:v>2:00 am</c:v>
                  </c:pt>
                  <c:pt idx="5">
                    <c:v>2:30 am</c:v>
                  </c:pt>
                  <c:pt idx="6">
                    <c:v>3:00 am</c:v>
                  </c:pt>
                  <c:pt idx="7">
                    <c:v>3:30 am</c:v>
                  </c:pt>
                  <c:pt idx="8">
                    <c:v>4:00 am</c:v>
                  </c:pt>
                  <c:pt idx="9">
                    <c:v>4:30 am</c:v>
                  </c:pt>
                  <c:pt idx="10">
                    <c:v>5:00 am</c:v>
                  </c:pt>
                  <c:pt idx="11">
                    <c:v>5:30 am</c:v>
                  </c:pt>
                  <c:pt idx="12">
                    <c:v>6:00 am</c:v>
                  </c:pt>
                  <c:pt idx="13">
                    <c:v>6:30 am</c:v>
                  </c:pt>
                  <c:pt idx="14">
                    <c:v>7:00 am</c:v>
                  </c:pt>
                  <c:pt idx="15">
                    <c:v>7:30 am</c:v>
                  </c:pt>
                  <c:pt idx="16">
                    <c:v>8:00 am</c:v>
                  </c:pt>
                  <c:pt idx="17">
                    <c:v>8:30 am</c:v>
                  </c:pt>
                  <c:pt idx="18">
                    <c:v>9:00 am</c:v>
                  </c:pt>
                  <c:pt idx="19">
                    <c:v>9:30 am</c:v>
                  </c:pt>
                  <c:pt idx="20">
                    <c:v>10:00 am</c:v>
                  </c:pt>
                  <c:pt idx="21">
                    <c:v>10:30 am</c:v>
                  </c:pt>
                  <c:pt idx="22">
                    <c:v>11:00 am</c:v>
                  </c:pt>
                  <c:pt idx="23">
                    <c:v>11:30 am</c:v>
                  </c:pt>
                  <c:pt idx="24">
                    <c:v>12:00 pm</c:v>
                  </c:pt>
                  <c:pt idx="25">
                    <c:v>12:30 pm</c:v>
                  </c:pt>
                  <c:pt idx="26">
                    <c:v>1:00 pm</c:v>
                  </c:pt>
                  <c:pt idx="27">
                    <c:v>1:30 pm</c:v>
                  </c:pt>
                  <c:pt idx="28">
                    <c:v>2:00 pm</c:v>
                  </c:pt>
                  <c:pt idx="29">
                    <c:v>2:30 pm</c:v>
                  </c:pt>
                  <c:pt idx="30">
                    <c:v>3:00 pm</c:v>
                  </c:pt>
                  <c:pt idx="31">
                    <c:v>3:30 pm</c:v>
                  </c:pt>
                  <c:pt idx="32">
                    <c:v>4:00 pm</c:v>
                  </c:pt>
                  <c:pt idx="33">
                    <c:v>4:30 pm</c:v>
                  </c:pt>
                  <c:pt idx="34">
                    <c:v>5:00 pm</c:v>
                  </c:pt>
                  <c:pt idx="35">
                    <c:v>5:30 pm</c:v>
                  </c:pt>
                  <c:pt idx="36">
                    <c:v>6:00 pm</c:v>
                  </c:pt>
                  <c:pt idx="37">
                    <c:v>6:30 pm</c:v>
                  </c:pt>
                  <c:pt idx="38">
                    <c:v>7:00 pm</c:v>
                  </c:pt>
                  <c:pt idx="39">
                    <c:v>7:30 pm</c:v>
                  </c:pt>
                  <c:pt idx="40">
                    <c:v>8:00 pm</c:v>
                  </c:pt>
                  <c:pt idx="41">
                    <c:v>8:30 pm</c:v>
                  </c:pt>
                  <c:pt idx="42">
                    <c:v>9:00 pm</c:v>
                  </c:pt>
                  <c:pt idx="43">
                    <c:v>9:30 pm</c:v>
                  </c:pt>
                  <c:pt idx="44">
                    <c:v>10:00 pm</c:v>
                  </c:pt>
                  <c:pt idx="45">
                    <c:v>10:30 pm</c:v>
                  </c:pt>
                  <c:pt idx="46">
                    <c:v>11:00 pm</c:v>
                  </c:pt>
                  <c:pt idx="47">
                    <c:v>11:30 pm</c:v>
                  </c:pt>
                </c:lvl>
                <c:lvl>
                  <c:pt idx="0">
                    <c:v>:00</c:v>
                  </c:pt>
                  <c:pt idx="1">
                    <c:v>:30</c:v>
                  </c:pt>
                  <c:pt idx="2">
                    <c:v>:00</c:v>
                  </c:pt>
                  <c:pt idx="3">
                    <c:v>:30</c:v>
                  </c:pt>
                  <c:pt idx="4">
                    <c:v>:00</c:v>
                  </c:pt>
                  <c:pt idx="5">
                    <c:v>:30</c:v>
                  </c:pt>
                  <c:pt idx="6">
                    <c:v>:00</c:v>
                  </c:pt>
                  <c:pt idx="7">
                    <c:v>:30</c:v>
                  </c:pt>
                  <c:pt idx="8">
                    <c:v>:00</c:v>
                  </c:pt>
                  <c:pt idx="9">
                    <c:v>:30</c:v>
                  </c:pt>
                  <c:pt idx="10">
                    <c:v>:00</c:v>
                  </c:pt>
                  <c:pt idx="11">
                    <c:v>:30</c:v>
                  </c:pt>
                  <c:pt idx="12">
                    <c:v>:00</c:v>
                  </c:pt>
                  <c:pt idx="13">
                    <c:v>:30</c:v>
                  </c:pt>
                  <c:pt idx="14">
                    <c:v>:00</c:v>
                  </c:pt>
                  <c:pt idx="15">
                    <c:v>:30</c:v>
                  </c:pt>
                  <c:pt idx="16">
                    <c:v>:00</c:v>
                  </c:pt>
                  <c:pt idx="17">
                    <c:v>:30</c:v>
                  </c:pt>
                  <c:pt idx="18">
                    <c:v>:00</c:v>
                  </c:pt>
                  <c:pt idx="19">
                    <c:v>:30</c:v>
                  </c:pt>
                  <c:pt idx="20">
                    <c:v>:00</c:v>
                  </c:pt>
                  <c:pt idx="21">
                    <c:v>:30</c:v>
                  </c:pt>
                  <c:pt idx="22">
                    <c:v>:00</c:v>
                  </c:pt>
                  <c:pt idx="23">
                    <c:v>:30</c:v>
                  </c:pt>
                  <c:pt idx="24">
                    <c:v>:00</c:v>
                  </c:pt>
                  <c:pt idx="25">
                    <c:v>:30</c:v>
                  </c:pt>
                  <c:pt idx="26">
                    <c:v>:00</c:v>
                  </c:pt>
                  <c:pt idx="27">
                    <c:v>:30</c:v>
                  </c:pt>
                  <c:pt idx="28">
                    <c:v>:00</c:v>
                  </c:pt>
                  <c:pt idx="29">
                    <c:v>:30</c:v>
                  </c:pt>
                  <c:pt idx="30">
                    <c:v>:00</c:v>
                  </c:pt>
                  <c:pt idx="31">
                    <c:v>:30</c:v>
                  </c:pt>
                  <c:pt idx="32">
                    <c:v>:00</c:v>
                  </c:pt>
                  <c:pt idx="33">
                    <c:v>:30</c:v>
                  </c:pt>
                  <c:pt idx="34">
                    <c:v>:00</c:v>
                  </c:pt>
                  <c:pt idx="35">
                    <c:v>:30</c:v>
                  </c:pt>
                  <c:pt idx="36">
                    <c:v>:00</c:v>
                  </c:pt>
                  <c:pt idx="37">
                    <c:v>:30</c:v>
                  </c:pt>
                  <c:pt idx="38">
                    <c:v>:00</c:v>
                  </c:pt>
                  <c:pt idx="39">
                    <c:v>:30</c:v>
                  </c:pt>
                  <c:pt idx="40">
                    <c:v>:00</c:v>
                  </c:pt>
                  <c:pt idx="41">
                    <c:v>:30</c:v>
                  </c:pt>
                  <c:pt idx="42">
                    <c:v>:00</c:v>
                  </c:pt>
                  <c:pt idx="43">
                    <c:v>:30</c:v>
                  </c:pt>
                  <c:pt idx="44">
                    <c:v>:00</c:v>
                  </c:pt>
                  <c:pt idx="45">
                    <c:v>:30</c:v>
                  </c:pt>
                  <c:pt idx="46">
                    <c:v>:00</c:v>
                  </c:pt>
                  <c:pt idx="47">
                    <c:v>:30</c:v>
                  </c:pt>
                </c:lvl>
                <c:lvl>
                  <c:pt idx="0">
                    <c:v>12 am</c:v>
                  </c:pt>
                  <c:pt idx="2">
                    <c:v>1 am</c:v>
                  </c:pt>
                  <c:pt idx="4">
                    <c:v>2 am</c:v>
                  </c:pt>
                  <c:pt idx="6">
                    <c:v>3 am</c:v>
                  </c:pt>
                  <c:pt idx="8">
                    <c:v>4 am</c:v>
                  </c:pt>
                  <c:pt idx="10">
                    <c:v>5 am</c:v>
                  </c:pt>
                  <c:pt idx="12">
                    <c:v>6 am</c:v>
                  </c:pt>
                  <c:pt idx="14">
                    <c:v>7 am</c:v>
                  </c:pt>
                  <c:pt idx="16">
                    <c:v>8 am</c:v>
                  </c:pt>
                  <c:pt idx="18">
                    <c:v>9 am</c:v>
                  </c:pt>
                  <c:pt idx="20">
                    <c:v>10 am</c:v>
                  </c:pt>
                  <c:pt idx="22">
                    <c:v>11 am</c:v>
                  </c:pt>
                  <c:pt idx="24">
                    <c:v>12 pm</c:v>
                  </c:pt>
                  <c:pt idx="26">
                    <c:v>1 pm</c:v>
                  </c:pt>
                  <c:pt idx="28">
                    <c:v>2 pm</c:v>
                  </c:pt>
                  <c:pt idx="30">
                    <c:v>3 pm</c:v>
                  </c:pt>
                  <c:pt idx="32">
                    <c:v>4 pm</c:v>
                  </c:pt>
                  <c:pt idx="34">
                    <c:v>5 pm</c:v>
                  </c:pt>
                  <c:pt idx="36">
                    <c:v>6 pm</c:v>
                  </c:pt>
                  <c:pt idx="38">
                    <c:v>7 pm</c:v>
                  </c:pt>
                  <c:pt idx="40">
                    <c:v>8 pm</c:v>
                  </c:pt>
                  <c:pt idx="42">
                    <c:v>9 pm</c:v>
                  </c:pt>
                  <c:pt idx="44">
                    <c:v>10 pm</c:v>
                  </c:pt>
                  <c:pt idx="46">
                    <c:v>11 pm</c:v>
                  </c:pt>
                </c:lvl>
              </c:multiLvlStrCache>
            </c:multiLvlStrRef>
          </c:cat>
          <c:val>
            <c:numRef>
              <c:f>'Aggregated gen mix'!$B$2:$B$122</c:f>
              <c:numCache>
                <c:formatCode>#,##0</c:formatCode>
                <c:ptCount val="48"/>
                <c:pt idx="0">
                  <c:v>86.982857142857142</c:v>
                </c:pt>
                <c:pt idx="1">
                  <c:v>81.675714285714292</c:v>
                </c:pt>
                <c:pt idx="2">
                  <c:v>81.991428571428557</c:v>
                </c:pt>
                <c:pt idx="3">
                  <c:v>80.155714285714268</c:v>
                </c:pt>
                <c:pt idx="4">
                  <c:v>74.835714285714289</c:v>
                </c:pt>
                <c:pt idx="5">
                  <c:v>76.22571428571429</c:v>
                </c:pt>
                <c:pt idx="6">
                  <c:v>75.285714285714292</c:v>
                </c:pt>
                <c:pt idx="7">
                  <c:v>77.419999999999987</c:v>
                </c:pt>
                <c:pt idx="8">
                  <c:v>76.872857142857143</c:v>
                </c:pt>
                <c:pt idx="9">
                  <c:v>80.895714285714277</c:v>
                </c:pt>
                <c:pt idx="10">
                  <c:v>81.535714285714292</c:v>
                </c:pt>
                <c:pt idx="11">
                  <c:v>87.502857142857138</c:v>
                </c:pt>
                <c:pt idx="12">
                  <c:v>96.751428571428576</c:v>
                </c:pt>
                <c:pt idx="13">
                  <c:v>119.34142857142858</c:v>
                </c:pt>
                <c:pt idx="14">
                  <c:v>147.88428571428571</c:v>
                </c:pt>
                <c:pt idx="15">
                  <c:v>156.35142857142858</c:v>
                </c:pt>
                <c:pt idx="16">
                  <c:v>141.87285714285713</c:v>
                </c:pt>
                <c:pt idx="17">
                  <c:v>97.867142857142852</c:v>
                </c:pt>
                <c:pt idx="18">
                  <c:v>81.771428571428586</c:v>
                </c:pt>
                <c:pt idx="19">
                  <c:v>85.148571428571429</c:v>
                </c:pt>
                <c:pt idx="20">
                  <c:v>70.944285714285712</c:v>
                </c:pt>
                <c:pt idx="21">
                  <c:v>60.154285714285713</c:v>
                </c:pt>
                <c:pt idx="22">
                  <c:v>31.034285714285716</c:v>
                </c:pt>
                <c:pt idx="23">
                  <c:v>32.019999999999996</c:v>
                </c:pt>
                <c:pt idx="24">
                  <c:v>25.745714285714286</c:v>
                </c:pt>
                <c:pt idx="25">
                  <c:v>22.828750000000003</c:v>
                </c:pt>
                <c:pt idx="26">
                  <c:v>5.3885714285714297</c:v>
                </c:pt>
                <c:pt idx="27">
                  <c:v>14.288571428571428</c:v>
                </c:pt>
                <c:pt idx="28">
                  <c:v>4.0828571428571436</c:v>
                </c:pt>
                <c:pt idx="29">
                  <c:v>20.804285714285715</c:v>
                </c:pt>
                <c:pt idx="30">
                  <c:v>45.08428571428572</c:v>
                </c:pt>
                <c:pt idx="31">
                  <c:v>13.794285714285715</c:v>
                </c:pt>
                <c:pt idx="32">
                  <c:v>68.755714285714276</c:v>
                </c:pt>
                <c:pt idx="33">
                  <c:v>91.742857142857147</c:v>
                </c:pt>
                <c:pt idx="34">
                  <c:v>158.11142857142858</c:v>
                </c:pt>
                <c:pt idx="35">
                  <c:v>171.86142857142858</c:v>
                </c:pt>
                <c:pt idx="36">
                  <c:v>230.89000000000001</c:v>
                </c:pt>
                <c:pt idx="37">
                  <c:v>191.43714285714285</c:v>
                </c:pt>
                <c:pt idx="38">
                  <c:v>188.42285714285714</c:v>
                </c:pt>
                <c:pt idx="39">
                  <c:v>175.25285714285715</c:v>
                </c:pt>
                <c:pt idx="40">
                  <c:v>141.87285714285716</c:v>
                </c:pt>
                <c:pt idx="41">
                  <c:v>134.85285714285715</c:v>
                </c:pt>
                <c:pt idx="42">
                  <c:v>140.27714285714288</c:v>
                </c:pt>
                <c:pt idx="43">
                  <c:v>121.51428571428572</c:v>
                </c:pt>
                <c:pt idx="44">
                  <c:v>104.76285714285713</c:v>
                </c:pt>
                <c:pt idx="45">
                  <c:v>123.64571428571428</c:v>
                </c:pt>
                <c:pt idx="46">
                  <c:v>108.54571428571428</c:v>
                </c:pt>
                <c:pt idx="47">
                  <c:v>93.054285714285712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1-E64F-BDE4-185204C87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111135"/>
        <c:axId val="973754015"/>
      </c:lineChart>
      <c:catAx>
        <c:axId val="172033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9247"/>
        <c:crosses val="autoZero"/>
        <c:auto val="1"/>
        <c:lblAlgn val="ctr"/>
        <c:lblOffset val="100"/>
        <c:tickLblSkip val="6"/>
        <c:noMultiLvlLbl val="0"/>
      </c:catAx>
      <c:valAx>
        <c:axId val="2096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Generation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33616"/>
        <c:crosses val="autoZero"/>
        <c:crossBetween val="between"/>
      </c:valAx>
      <c:valAx>
        <c:axId val="973754015"/>
        <c:scaling>
          <c:orientation val="minMax"/>
          <c:max val="3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Spot</a:t>
                </a:r>
                <a:r>
                  <a:rPr lang="en-GB" sz="1200" b="1" baseline="0"/>
                  <a:t> Price ($/MWh)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11135"/>
        <c:crosses val="max"/>
        <c:crossBetween val="between"/>
      </c:valAx>
      <c:catAx>
        <c:axId val="974111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3754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EBEBE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B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[20251119 New South Wales workbook.xlsx]Aggregated Batteries!PivotTable6</c:name>
    <c:fmtId val="0"/>
  </c:pivotSource>
  <c:chart>
    <c:autoTitleDeleted val="0"/>
    <c:pivotFmts>
      <c:pivotFmt>
        <c:idx val="0"/>
        <c:spPr>
          <a:solidFill>
            <a:srgbClr val="009C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F00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'Aggregated Batteries'!$C$1</c:f>
              <c:strCache>
                <c:ptCount val="1"/>
                <c:pt idx="0">
                  <c:v>Battery Discharging</c:v>
                </c:pt>
              </c:strCache>
            </c:strRef>
          </c:tx>
          <c:spPr>
            <a:solidFill>
              <a:srgbClr val="009C47"/>
            </a:solidFill>
            <a:ln>
              <a:noFill/>
            </a:ln>
            <a:effectLst/>
          </c:spPr>
          <c:invertIfNegative val="0"/>
          <c:cat>
            <c:strRef>
              <c:f>'Aggregated Batteries'!$A$2:$A$50</c:f>
              <c:strCache>
                <c:ptCount val="48"/>
                <c:pt idx="0">
                  <c:v>12:00 am</c:v>
                </c:pt>
                <c:pt idx="1">
                  <c:v>12:30 am</c:v>
                </c:pt>
                <c:pt idx="2">
                  <c:v>1:00 am</c:v>
                </c:pt>
                <c:pt idx="3">
                  <c:v>1:30 am</c:v>
                </c:pt>
                <c:pt idx="4">
                  <c:v>2:00 am</c:v>
                </c:pt>
                <c:pt idx="5">
                  <c:v>2:30 am</c:v>
                </c:pt>
                <c:pt idx="6">
                  <c:v>3:00 am</c:v>
                </c:pt>
                <c:pt idx="7">
                  <c:v>3:30 am</c:v>
                </c:pt>
                <c:pt idx="8">
                  <c:v>4:00 am</c:v>
                </c:pt>
                <c:pt idx="9">
                  <c:v>4:30 am</c:v>
                </c:pt>
                <c:pt idx="10">
                  <c:v>5:00 am</c:v>
                </c:pt>
                <c:pt idx="11">
                  <c:v>5:30 am</c:v>
                </c:pt>
                <c:pt idx="12">
                  <c:v>6:00 am</c:v>
                </c:pt>
                <c:pt idx="13">
                  <c:v>6:30 am</c:v>
                </c:pt>
                <c:pt idx="14">
                  <c:v>7:00 am</c:v>
                </c:pt>
                <c:pt idx="15">
                  <c:v>7:30 am</c:v>
                </c:pt>
                <c:pt idx="16">
                  <c:v>8:00 am</c:v>
                </c:pt>
                <c:pt idx="17">
                  <c:v>8:30 am</c:v>
                </c:pt>
                <c:pt idx="18">
                  <c:v>9:00 am</c:v>
                </c:pt>
                <c:pt idx="19">
                  <c:v>9:30 am</c:v>
                </c:pt>
                <c:pt idx="20">
                  <c:v>10:00 am</c:v>
                </c:pt>
                <c:pt idx="21">
                  <c:v>10:30 am</c:v>
                </c:pt>
                <c:pt idx="22">
                  <c:v>11:00 am</c:v>
                </c:pt>
                <c:pt idx="23">
                  <c:v>11:30 am</c:v>
                </c:pt>
                <c:pt idx="24">
                  <c:v>12:00 pm</c:v>
                </c:pt>
                <c:pt idx="25">
                  <c:v>12:30 pm</c:v>
                </c:pt>
                <c:pt idx="26">
                  <c:v>1:00 pm</c:v>
                </c:pt>
                <c:pt idx="27">
                  <c:v>1:30 pm</c:v>
                </c:pt>
                <c:pt idx="28">
                  <c:v>2:00 pm</c:v>
                </c:pt>
                <c:pt idx="29">
                  <c:v>2:30 pm</c:v>
                </c:pt>
                <c:pt idx="30">
                  <c:v>3:00 pm</c:v>
                </c:pt>
                <c:pt idx="31">
                  <c:v>3:30 pm</c:v>
                </c:pt>
                <c:pt idx="32">
                  <c:v>4:00 pm</c:v>
                </c:pt>
                <c:pt idx="33">
                  <c:v>4:30 pm</c:v>
                </c:pt>
                <c:pt idx="34">
                  <c:v>5:00 pm</c:v>
                </c:pt>
                <c:pt idx="35">
                  <c:v>5:30 pm</c:v>
                </c:pt>
                <c:pt idx="36">
                  <c:v>6:00 pm</c:v>
                </c:pt>
                <c:pt idx="37">
                  <c:v>6:30 pm</c:v>
                </c:pt>
                <c:pt idx="38">
                  <c:v>7:00 pm</c:v>
                </c:pt>
                <c:pt idx="39">
                  <c:v>7:30 pm</c:v>
                </c:pt>
                <c:pt idx="40">
                  <c:v>8:00 pm</c:v>
                </c:pt>
                <c:pt idx="41">
                  <c:v>8:30 pm</c:v>
                </c:pt>
                <c:pt idx="42">
                  <c:v>9:00 pm</c:v>
                </c:pt>
                <c:pt idx="43">
                  <c:v>9:30 pm</c:v>
                </c:pt>
                <c:pt idx="44">
                  <c:v>10:00 pm</c:v>
                </c:pt>
                <c:pt idx="45">
                  <c:v>10:30 pm</c:v>
                </c:pt>
                <c:pt idx="46">
                  <c:v>11:00 pm</c:v>
                </c:pt>
                <c:pt idx="47">
                  <c:v>11:30 pm</c:v>
                </c:pt>
              </c:strCache>
            </c:strRef>
          </c:cat>
          <c:val>
            <c:numRef>
              <c:f>'Aggregated Batteries'!$C$2:$C$50</c:f>
              <c:numCache>
                <c:formatCode>#,##0</c:formatCode>
                <c:ptCount val="48"/>
                <c:pt idx="0">
                  <c:v>1.4371428571428573</c:v>
                </c:pt>
                <c:pt idx="1">
                  <c:v>1.5385714285714285</c:v>
                </c:pt>
                <c:pt idx="2">
                  <c:v>0.86285714285714277</c:v>
                </c:pt>
                <c:pt idx="3">
                  <c:v>1.4757142857142858</c:v>
                </c:pt>
                <c:pt idx="4">
                  <c:v>1.4714285714285713</c:v>
                </c:pt>
                <c:pt idx="5">
                  <c:v>1.9000000000000001</c:v>
                </c:pt>
                <c:pt idx="6">
                  <c:v>2.0357142857142856</c:v>
                </c:pt>
                <c:pt idx="7">
                  <c:v>0.55142857142857138</c:v>
                </c:pt>
                <c:pt idx="8">
                  <c:v>2.1285714285714286</c:v>
                </c:pt>
                <c:pt idx="9">
                  <c:v>1.3357142857142856</c:v>
                </c:pt>
                <c:pt idx="10">
                  <c:v>2.8142857142857145</c:v>
                </c:pt>
                <c:pt idx="11">
                  <c:v>2.391428571428571</c:v>
                </c:pt>
                <c:pt idx="12">
                  <c:v>19.048571428571428</c:v>
                </c:pt>
                <c:pt idx="13">
                  <c:v>62.745714285714278</c:v>
                </c:pt>
                <c:pt idx="14">
                  <c:v>133.11857142857144</c:v>
                </c:pt>
                <c:pt idx="15">
                  <c:v>118.00428571428571</c:v>
                </c:pt>
                <c:pt idx="16">
                  <c:v>102.51571428571428</c:v>
                </c:pt>
                <c:pt idx="17">
                  <c:v>58.120000000000005</c:v>
                </c:pt>
                <c:pt idx="18">
                  <c:v>51.348571428571418</c:v>
                </c:pt>
                <c:pt idx="19">
                  <c:v>43.76</c:v>
                </c:pt>
                <c:pt idx="20">
                  <c:v>12.511428571428572</c:v>
                </c:pt>
                <c:pt idx="21">
                  <c:v>3.3614285714285717</c:v>
                </c:pt>
                <c:pt idx="22">
                  <c:v>51.410000000000004</c:v>
                </c:pt>
                <c:pt idx="23">
                  <c:v>63.518571428571427</c:v>
                </c:pt>
                <c:pt idx="24">
                  <c:v>70.570000000000007</c:v>
                </c:pt>
                <c:pt idx="25">
                  <c:v>59.071250000000006</c:v>
                </c:pt>
                <c:pt idx="26">
                  <c:v>22.642857142857142</c:v>
                </c:pt>
                <c:pt idx="27">
                  <c:v>3.6442857142857141</c:v>
                </c:pt>
                <c:pt idx="28">
                  <c:v>21.934285714285714</c:v>
                </c:pt>
                <c:pt idx="29">
                  <c:v>65.797142857142859</c:v>
                </c:pt>
                <c:pt idx="30">
                  <c:v>57.092857142857149</c:v>
                </c:pt>
                <c:pt idx="31">
                  <c:v>96.152857142857144</c:v>
                </c:pt>
                <c:pt idx="32">
                  <c:v>22.740000000000002</c:v>
                </c:pt>
                <c:pt idx="33">
                  <c:v>96.311428571428564</c:v>
                </c:pt>
                <c:pt idx="34">
                  <c:v>190.45000000000002</c:v>
                </c:pt>
                <c:pt idx="35">
                  <c:v>240.09714285714284</c:v>
                </c:pt>
                <c:pt idx="36">
                  <c:v>257.58857142857141</c:v>
                </c:pt>
                <c:pt idx="37">
                  <c:v>256.76857142857142</c:v>
                </c:pt>
                <c:pt idx="38">
                  <c:v>175.87285714285716</c:v>
                </c:pt>
                <c:pt idx="39">
                  <c:v>72.155714285714296</c:v>
                </c:pt>
                <c:pt idx="40">
                  <c:v>30.77</c:v>
                </c:pt>
                <c:pt idx="41">
                  <c:v>18.284285714285716</c:v>
                </c:pt>
                <c:pt idx="42">
                  <c:v>15.777142857142858</c:v>
                </c:pt>
                <c:pt idx="43">
                  <c:v>5.0814285714285718</c:v>
                </c:pt>
                <c:pt idx="44">
                  <c:v>2.9214285714285717</c:v>
                </c:pt>
                <c:pt idx="45">
                  <c:v>18.277142857142859</c:v>
                </c:pt>
                <c:pt idx="46">
                  <c:v>4.7128571428571435</c:v>
                </c:pt>
                <c:pt idx="47">
                  <c:v>1.412857142857143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D-6B48-9B04-7FB8E80B0EF2}"/>
            </c:ext>
          </c:extLst>
        </c:ser>
        <c:ser>
          <c:idx val="2"/>
          <c:order val="2"/>
          <c:tx>
            <c:strRef>
              <c:f>'Aggregated Batteries'!$D$1</c:f>
              <c:strCache>
                <c:ptCount val="1"/>
                <c:pt idx="0">
                  <c:v>Battery Charging</c:v>
                </c:pt>
              </c:strCache>
            </c:strRef>
          </c:tx>
          <c:spPr>
            <a:solidFill>
              <a:srgbClr val="AF0001"/>
            </a:solidFill>
            <a:ln>
              <a:noFill/>
            </a:ln>
            <a:effectLst/>
          </c:spPr>
          <c:invertIfNegative val="0"/>
          <c:cat>
            <c:strRef>
              <c:f>'Aggregated Batteries'!$A$2:$A$50</c:f>
              <c:strCache>
                <c:ptCount val="48"/>
                <c:pt idx="0">
                  <c:v>12:00 am</c:v>
                </c:pt>
                <c:pt idx="1">
                  <c:v>12:30 am</c:v>
                </c:pt>
                <c:pt idx="2">
                  <c:v>1:00 am</c:v>
                </c:pt>
                <c:pt idx="3">
                  <c:v>1:30 am</c:v>
                </c:pt>
                <c:pt idx="4">
                  <c:v>2:00 am</c:v>
                </c:pt>
                <c:pt idx="5">
                  <c:v>2:30 am</c:v>
                </c:pt>
                <c:pt idx="6">
                  <c:v>3:00 am</c:v>
                </c:pt>
                <c:pt idx="7">
                  <c:v>3:30 am</c:v>
                </c:pt>
                <c:pt idx="8">
                  <c:v>4:00 am</c:v>
                </c:pt>
                <c:pt idx="9">
                  <c:v>4:30 am</c:v>
                </c:pt>
                <c:pt idx="10">
                  <c:v>5:00 am</c:v>
                </c:pt>
                <c:pt idx="11">
                  <c:v>5:30 am</c:v>
                </c:pt>
                <c:pt idx="12">
                  <c:v>6:00 am</c:v>
                </c:pt>
                <c:pt idx="13">
                  <c:v>6:30 am</c:v>
                </c:pt>
                <c:pt idx="14">
                  <c:v>7:00 am</c:v>
                </c:pt>
                <c:pt idx="15">
                  <c:v>7:30 am</c:v>
                </c:pt>
                <c:pt idx="16">
                  <c:v>8:00 am</c:v>
                </c:pt>
                <c:pt idx="17">
                  <c:v>8:30 am</c:v>
                </c:pt>
                <c:pt idx="18">
                  <c:v>9:00 am</c:v>
                </c:pt>
                <c:pt idx="19">
                  <c:v>9:30 am</c:v>
                </c:pt>
                <c:pt idx="20">
                  <c:v>10:00 am</c:v>
                </c:pt>
                <c:pt idx="21">
                  <c:v>10:30 am</c:v>
                </c:pt>
                <c:pt idx="22">
                  <c:v>11:00 am</c:v>
                </c:pt>
                <c:pt idx="23">
                  <c:v>11:30 am</c:v>
                </c:pt>
                <c:pt idx="24">
                  <c:v>12:00 pm</c:v>
                </c:pt>
                <c:pt idx="25">
                  <c:v>12:30 pm</c:v>
                </c:pt>
                <c:pt idx="26">
                  <c:v>1:00 pm</c:v>
                </c:pt>
                <c:pt idx="27">
                  <c:v>1:30 pm</c:v>
                </c:pt>
                <c:pt idx="28">
                  <c:v>2:00 pm</c:v>
                </c:pt>
                <c:pt idx="29">
                  <c:v>2:30 pm</c:v>
                </c:pt>
                <c:pt idx="30">
                  <c:v>3:00 pm</c:v>
                </c:pt>
                <c:pt idx="31">
                  <c:v>3:30 pm</c:v>
                </c:pt>
                <c:pt idx="32">
                  <c:v>4:00 pm</c:v>
                </c:pt>
                <c:pt idx="33">
                  <c:v>4:30 pm</c:v>
                </c:pt>
                <c:pt idx="34">
                  <c:v>5:00 pm</c:v>
                </c:pt>
                <c:pt idx="35">
                  <c:v>5:30 pm</c:v>
                </c:pt>
                <c:pt idx="36">
                  <c:v>6:00 pm</c:v>
                </c:pt>
                <c:pt idx="37">
                  <c:v>6:30 pm</c:v>
                </c:pt>
                <c:pt idx="38">
                  <c:v>7:00 pm</c:v>
                </c:pt>
                <c:pt idx="39">
                  <c:v>7:30 pm</c:v>
                </c:pt>
                <c:pt idx="40">
                  <c:v>8:00 pm</c:v>
                </c:pt>
                <c:pt idx="41">
                  <c:v>8:30 pm</c:v>
                </c:pt>
                <c:pt idx="42">
                  <c:v>9:00 pm</c:v>
                </c:pt>
                <c:pt idx="43">
                  <c:v>9:30 pm</c:v>
                </c:pt>
                <c:pt idx="44">
                  <c:v>10:00 pm</c:v>
                </c:pt>
                <c:pt idx="45">
                  <c:v>10:30 pm</c:v>
                </c:pt>
                <c:pt idx="46">
                  <c:v>11:00 pm</c:v>
                </c:pt>
                <c:pt idx="47">
                  <c:v>11:30 pm</c:v>
                </c:pt>
              </c:strCache>
            </c:strRef>
          </c:cat>
          <c:val>
            <c:numRef>
              <c:f>'Aggregated Batteries'!$D$2:$D$50</c:f>
              <c:numCache>
                <c:formatCode>#,##0</c:formatCode>
                <c:ptCount val="48"/>
                <c:pt idx="0">
                  <c:v>-30.112857142857141</c:v>
                </c:pt>
                <c:pt idx="1">
                  <c:v>-23.669999999999998</c:v>
                </c:pt>
                <c:pt idx="2">
                  <c:v>-21.107142857142858</c:v>
                </c:pt>
                <c:pt idx="3">
                  <c:v>-29.945714285714285</c:v>
                </c:pt>
                <c:pt idx="4">
                  <c:v>-46.91571428571428</c:v>
                </c:pt>
                <c:pt idx="5">
                  <c:v>-68.071428571428569</c:v>
                </c:pt>
                <c:pt idx="6">
                  <c:v>-62.910000000000004</c:v>
                </c:pt>
                <c:pt idx="7">
                  <c:v>-63.244285714285716</c:v>
                </c:pt>
                <c:pt idx="8">
                  <c:v>-84.501428571428576</c:v>
                </c:pt>
                <c:pt idx="9">
                  <c:v>-95.381428571428572</c:v>
                </c:pt>
                <c:pt idx="10">
                  <c:v>-57.081428571428567</c:v>
                </c:pt>
                <c:pt idx="11">
                  <c:v>-44.934285714285714</c:v>
                </c:pt>
                <c:pt idx="12">
                  <c:v>-25.112857142857145</c:v>
                </c:pt>
                <c:pt idx="13">
                  <c:v>-13.407142857142857</c:v>
                </c:pt>
                <c:pt idx="14">
                  <c:v>-5.3285714285714283</c:v>
                </c:pt>
                <c:pt idx="15">
                  <c:v>-8.6757142857142853</c:v>
                </c:pt>
                <c:pt idx="16">
                  <c:v>-7.03</c:v>
                </c:pt>
                <c:pt idx="17">
                  <c:v>-15.52142857142857</c:v>
                </c:pt>
                <c:pt idx="18">
                  <c:v>-16.332857142857144</c:v>
                </c:pt>
                <c:pt idx="19">
                  <c:v>-9.9785714285714295</c:v>
                </c:pt>
                <c:pt idx="20">
                  <c:v>-76.899999999999991</c:v>
                </c:pt>
                <c:pt idx="21">
                  <c:v>-90.644285714285715</c:v>
                </c:pt>
                <c:pt idx="22">
                  <c:v>-114.0457142857143</c:v>
                </c:pt>
                <c:pt idx="23">
                  <c:v>-198.81571428571428</c:v>
                </c:pt>
                <c:pt idx="24">
                  <c:v>-213.18857142857141</c:v>
                </c:pt>
                <c:pt idx="25">
                  <c:v>-241.02499999999998</c:v>
                </c:pt>
                <c:pt idx="26">
                  <c:v>-294.35857142857139</c:v>
                </c:pt>
                <c:pt idx="27">
                  <c:v>-265.25428571428574</c:v>
                </c:pt>
                <c:pt idx="28">
                  <c:v>-128.2957142857143</c:v>
                </c:pt>
                <c:pt idx="29">
                  <c:v>-98.58142857142856</c:v>
                </c:pt>
                <c:pt idx="30">
                  <c:v>-130.13428571428571</c:v>
                </c:pt>
                <c:pt idx="31">
                  <c:v>-101.21142857142857</c:v>
                </c:pt>
                <c:pt idx="32">
                  <c:v>-117.47285714285714</c:v>
                </c:pt>
                <c:pt idx="33">
                  <c:v>-122.77714285714286</c:v>
                </c:pt>
                <c:pt idx="34">
                  <c:v>-67.11571428571429</c:v>
                </c:pt>
                <c:pt idx="35">
                  <c:v>-29.97</c:v>
                </c:pt>
                <c:pt idx="36">
                  <c:v>-3.8742857142857146</c:v>
                </c:pt>
                <c:pt idx="37">
                  <c:v>-3.2342857142857144</c:v>
                </c:pt>
                <c:pt idx="38">
                  <c:v>-3.9600000000000004</c:v>
                </c:pt>
                <c:pt idx="39">
                  <c:v>-6.217142857142858</c:v>
                </c:pt>
                <c:pt idx="40">
                  <c:v>-6.7771428571428567</c:v>
                </c:pt>
                <c:pt idx="41">
                  <c:v>-4.1571428571428566</c:v>
                </c:pt>
                <c:pt idx="42">
                  <c:v>-6.8971428571428577</c:v>
                </c:pt>
                <c:pt idx="43">
                  <c:v>-9.2085714285714282</c:v>
                </c:pt>
                <c:pt idx="44">
                  <c:v>-22.451428571428576</c:v>
                </c:pt>
                <c:pt idx="45">
                  <c:v>-29.374285714285712</c:v>
                </c:pt>
                <c:pt idx="46">
                  <c:v>-18.581428571428571</c:v>
                </c:pt>
                <c:pt idx="47">
                  <c:v>-27.931428571428572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FD-6B48-9B04-7FB8E80B0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1638906944"/>
        <c:axId val="1638279776"/>
      </c:barChart>
      <c:lineChart>
        <c:grouping val="standard"/>
        <c:varyColors val="0"/>
        <c:ser>
          <c:idx val="0"/>
          <c:order val="0"/>
          <c:tx>
            <c:strRef>
              <c:f>'Aggregated Batteries'!$B$1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'Aggregated Batteries'!$A$2:$A$50</c:f>
              <c:strCache>
                <c:ptCount val="48"/>
                <c:pt idx="0">
                  <c:v>12:00 am</c:v>
                </c:pt>
                <c:pt idx="1">
                  <c:v>12:30 am</c:v>
                </c:pt>
                <c:pt idx="2">
                  <c:v>1:00 am</c:v>
                </c:pt>
                <c:pt idx="3">
                  <c:v>1:30 am</c:v>
                </c:pt>
                <c:pt idx="4">
                  <c:v>2:00 am</c:v>
                </c:pt>
                <c:pt idx="5">
                  <c:v>2:30 am</c:v>
                </c:pt>
                <c:pt idx="6">
                  <c:v>3:00 am</c:v>
                </c:pt>
                <c:pt idx="7">
                  <c:v>3:30 am</c:v>
                </c:pt>
                <c:pt idx="8">
                  <c:v>4:00 am</c:v>
                </c:pt>
                <c:pt idx="9">
                  <c:v>4:30 am</c:v>
                </c:pt>
                <c:pt idx="10">
                  <c:v>5:00 am</c:v>
                </c:pt>
                <c:pt idx="11">
                  <c:v>5:30 am</c:v>
                </c:pt>
                <c:pt idx="12">
                  <c:v>6:00 am</c:v>
                </c:pt>
                <c:pt idx="13">
                  <c:v>6:30 am</c:v>
                </c:pt>
                <c:pt idx="14">
                  <c:v>7:00 am</c:v>
                </c:pt>
                <c:pt idx="15">
                  <c:v>7:30 am</c:v>
                </c:pt>
                <c:pt idx="16">
                  <c:v>8:00 am</c:v>
                </c:pt>
                <c:pt idx="17">
                  <c:v>8:30 am</c:v>
                </c:pt>
                <c:pt idx="18">
                  <c:v>9:00 am</c:v>
                </c:pt>
                <c:pt idx="19">
                  <c:v>9:30 am</c:v>
                </c:pt>
                <c:pt idx="20">
                  <c:v>10:00 am</c:v>
                </c:pt>
                <c:pt idx="21">
                  <c:v>10:30 am</c:v>
                </c:pt>
                <c:pt idx="22">
                  <c:v>11:00 am</c:v>
                </c:pt>
                <c:pt idx="23">
                  <c:v>11:30 am</c:v>
                </c:pt>
                <c:pt idx="24">
                  <c:v>12:00 pm</c:v>
                </c:pt>
                <c:pt idx="25">
                  <c:v>12:30 pm</c:v>
                </c:pt>
                <c:pt idx="26">
                  <c:v>1:00 pm</c:v>
                </c:pt>
                <c:pt idx="27">
                  <c:v>1:30 pm</c:v>
                </c:pt>
                <c:pt idx="28">
                  <c:v>2:00 pm</c:v>
                </c:pt>
                <c:pt idx="29">
                  <c:v>2:30 pm</c:v>
                </c:pt>
                <c:pt idx="30">
                  <c:v>3:00 pm</c:v>
                </c:pt>
                <c:pt idx="31">
                  <c:v>3:30 pm</c:v>
                </c:pt>
                <c:pt idx="32">
                  <c:v>4:00 pm</c:v>
                </c:pt>
                <c:pt idx="33">
                  <c:v>4:30 pm</c:v>
                </c:pt>
                <c:pt idx="34">
                  <c:v>5:00 pm</c:v>
                </c:pt>
                <c:pt idx="35">
                  <c:v>5:30 pm</c:v>
                </c:pt>
                <c:pt idx="36">
                  <c:v>6:00 pm</c:v>
                </c:pt>
                <c:pt idx="37">
                  <c:v>6:30 pm</c:v>
                </c:pt>
                <c:pt idx="38">
                  <c:v>7:00 pm</c:v>
                </c:pt>
                <c:pt idx="39">
                  <c:v>7:30 pm</c:v>
                </c:pt>
                <c:pt idx="40">
                  <c:v>8:00 pm</c:v>
                </c:pt>
                <c:pt idx="41">
                  <c:v>8:30 pm</c:v>
                </c:pt>
                <c:pt idx="42">
                  <c:v>9:00 pm</c:v>
                </c:pt>
                <c:pt idx="43">
                  <c:v>9:30 pm</c:v>
                </c:pt>
                <c:pt idx="44">
                  <c:v>10:00 pm</c:v>
                </c:pt>
                <c:pt idx="45">
                  <c:v>10:30 pm</c:v>
                </c:pt>
                <c:pt idx="46">
                  <c:v>11:00 pm</c:v>
                </c:pt>
                <c:pt idx="47">
                  <c:v>11:30 pm</c:v>
                </c:pt>
              </c:strCache>
            </c:strRef>
          </c:cat>
          <c:val>
            <c:numRef>
              <c:f>'Aggregated Batteries'!$B$2:$B$50</c:f>
              <c:numCache>
                <c:formatCode>#,##0</c:formatCode>
                <c:ptCount val="48"/>
                <c:pt idx="0">
                  <c:v>86.982857142857142</c:v>
                </c:pt>
                <c:pt idx="1">
                  <c:v>81.675714285714292</c:v>
                </c:pt>
                <c:pt idx="2">
                  <c:v>81.991428571428557</c:v>
                </c:pt>
                <c:pt idx="3">
                  <c:v>80.155714285714268</c:v>
                </c:pt>
                <c:pt idx="4">
                  <c:v>74.835714285714289</c:v>
                </c:pt>
                <c:pt idx="5">
                  <c:v>76.22571428571429</c:v>
                </c:pt>
                <c:pt idx="6">
                  <c:v>75.285714285714292</c:v>
                </c:pt>
                <c:pt idx="7">
                  <c:v>77.419999999999987</c:v>
                </c:pt>
                <c:pt idx="8">
                  <c:v>76.872857142857143</c:v>
                </c:pt>
                <c:pt idx="9">
                  <c:v>80.895714285714277</c:v>
                </c:pt>
                <c:pt idx="10">
                  <c:v>81.535714285714292</c:v>
                </c:pt>
                <c:pt idx="11">
                  <c:v>87.502857142857138</c:v>
                </c:pt>
                <c:pt idx="12">
                  <c:v>96.751428571428576</c:v>
                </c:pt>
                <c:pt idx="13">
                  <c:v>119.34142857142858</c:v>
                </c:pt>
                <c:pt idx="14">
                  <c:v>147.88428571428571</c:v>
                </c:pt>
                <c:pt idx="15">
                  <c:v>156.35142857142858</c:v>
                </c:pt>
                <c:pt idx="16">
                  <c:v>141.87285714285713</c:v>
                </c:pt>
                <c:pt idx="17">
                  <c:v>97.867142857142852</c:v>
                </c:pt>
                <c:pt idx="18">
                  <c:v>81.771428571428586</c:v>
                </c:pt>
                <c:pt idx="19">
                  <c:v>85.148571428571429</c:v>
                </c:pt>
                <c:pt idx="20">
                  <c:v>70.944285714285712</c:v>
                </c:pt>
                <c:pt idx="21">
                  <c:v>60.154285714285713</c:v>
                </c:pt>
                <c:pt idx="22">
                  <c:v>31.034285714285716</c:v>
                </c:pt>
                <c:pt idx="23">
                  <c:v>32.019999999999996</c:v>
                </c:pt>
                <c:pt idx="24">
                  <c:v>25.745714285714286</c:v>
                </c:pt>
                <c:pt idx="25">
                  <c:v>22.828750000000003</c:v>
                </c:pt>
                <c:pt idx="26">
                  <c:v>5.3885714285714297</c:v>
                </c:pt>
                <c:pt idx="27">
                  <c:v>14.288571428571428</c:v>
                </c:pt>
                <c:pt idx="28">
                  <c:v>4.0828571428571436</c:v>
                </c:pt>
                <c:pt idx="29">
                  <c:v>20.804285714285715</c:v>
                </c:pt>
                <c:pt idx="30">
                  <c:v>45.08428571428572</c:v>
                </c:pt>
                <c:pt idx="31">
                  <c:v>13.794285714285715</c:v>
                </c:pt>
                <c:pt idx="32">
                  <c:v>68.755714285714276</c:v>
                </c:pt>
                <c:pt idx="33">
                  <c:v>91.742857142857147</c:v>
                </c:pt>
                <c:pt idx="34">
                  <c:v>158.11142857142858</c:v>
                </c:pt>
                <c:pt idx="35">
                  <c:v>171.86142857142858</c:v>
                </c:pt>
                <c:pt idx="36">
                  <c:v>230.89000000000001</c:v>
                </c:pt>
                <c:pt idx="37">
                  <c:v>191.43714285714285</c:v>
                </c:pt>
                <c:pt idx="38">
                  <c:v>188.42285714285714</c:v>
                </c:pt>
                <c:pt idx="39">
                  <c:v>175.25285714285715</c:v>
                </c:pt>
                <c:pt idx="40">
                  <c:v>141.87285714285716</c:v>
                </c:pt>
                <c:pt idx="41">
                  <c:v>134.85285714285715</c:v>
                </c:pt>
                <c:pt idx="42">
                  <c:v>140.27714285714288</c:v>
                </c:pt>
                <c:pt idx="43">
                  <c:v>121.51428571428572</c:v>
                </c:pt>
                <c:pt idx="44">
                  <c:v>104.76285714285713</c:v>
                </c:pt>
                <c:pt idx="45">
                  <c:v>123.64571428571428</c:v>
                </c:pt>
                <c:pt idx="46">
                  <c:v>108.54571428571428</c:v>
                </c:pt>
                <c:pt idx="47">
                  <c:v>93.054285714285712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D-6B48-9B04-7FB8E80B0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81040"/>
        <c:axId val="2100317664"/>
      </c:lineChart>
      <c:catAx>
        <c:axId val="16389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79776"/>
        <c:crosses val="autoZero"/>
        <c:auto val="1"/>
        <c:lblAlgn val="ctr"/>
        <c:lblOffset val="100"/>
        <c:tickLblSkip val="6"/>
        <c:noMultiLvlLbl val="0"/>
      </c:catAx>
      <c:valAx>
        <c:axId val="1638279776"/>
        <c:scaling>
          <c:orientation val="minMax"/>
          <c:max val="600"/>
          <c:min val="-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Battery Charging</a:t>
                </a:r>
                <a:r>
                  <a:rPr lang="en-GB" b="1" baseline="0"/>
                  <a:t> and Discharging</a:t>
                </a:r>
                <a:r>
                  <a:rPr lang="en-GB" b="1"/>
                  <a:t>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06944"/>
        <c:crosses val="autoZero"/>
        <c:crossBetween val="between"/>
      </c:valAx>
      <c:valAx>
        <c:axId val="2100317664"/>
        <c:scaling>
          <c:orientation val="minMax"/>
          <c:max val="3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Spot Price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81040"/>
        <c:crosses val="max"/>
        <c:crossBetween val="between"/>
      </c:valAx>
      <c:catAx>
        <c:axId val="210038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317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B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[20251119 New South Wales workbook.xlsx]Aggregated Hydro!PivotTable1</c:name>
    <c:fmtId val="0"/>
  </c:pivotSource>
  <c:chart>
    <c:autoTitleDeleted val="0"/>
    <c:pivotFmts>
      <c:pivotFmt>
        <c:idx val="0"/>
        <c:spPr>
          <a:solidFill>
            <a:srgbClr val="009C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F00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'Aggregated Hydro'!$B$1</c:f>
              <c:strCache>
                <c:ptCount val="1"/>
                <c:pt idx="0">
                  <c:v>Hydro Discharge</c:v>
                </c:pt>
              </c:strCache>
            </c:strRef>
          </c:tx>
          <c:spPr>
            <a:solidFill>
              <a:srgbClr val="009C47"/>
            </a:solidFill>
            <a:ln>
              <a:noFill/>
            </a:ln>
            <a:effectLst/>
          </c:spPr>
          <c:invertIfNegative val="0"/>
          <c:dPt>
            <c:idx val="3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CC-974A-A552-E05CED88CD69}"/>
              </c:ext>
            </c:extLst>
          </c:dPt>
          <c:cat>
            <c:strRef>
              <c:f>'Aggregated Hydro'!$A$2:$A$50</c:f>
              <c:strCache>
                <c:ptCount val="48"/>
                <c:pt idx="0">
                  <c:v>12:00 AM</c:v>
                </c:pt>
                <c:pt idx="1">
                  <c:v>12:30 AM</c:v>
                </c:pt>
                <c:pt idx="2">
                  <c:v>1:00 AM</c:v>
                </c:pt>
                <c:pt idx="3">
                  <c:v>1:30 AM</c:v>
                </c:pt>
                <c:pt idx="4">
                  <c:v>2:00 AM</c:v>
                </c:pt>
                <c:pt idx="5">
                  <c:v>2:30 AM</c:v>
                </c:pt>
                <c:pt idx="6">
                  <c:v>3:00 AM</c:v>
                </c:pt>
                <c:pt idx="7">
                  <c:v>3:30 AM</c:v>
                </c:pt>
                <c:pt idx="8">
                  <c:v>4:00 AM</c:v>
                </c:pt>
                <c:pt idx="9">
                  <c:v>4:30 AM</c:v>
                </c:pt>
                <c:pt idx="10">
                  <c:v>5:00 AM</c:v>
                </c:pt>
                <c:pt idx="11">
                  <c:v>5:30 AM</c:v>
                </c:pt>
                <c:pt idx="12">
                  <c:v>6:00 AM</c:v>
                </c:pt>
                <c:pt idx="13">
                  <c:v>6:30 AM</c:v>
                </c:pt>
                <c:pt idx="14">
                  <c:v>7:00 AM</c:v>
                </c:pt>
                <c:pt idx="15">
                  <c:v>7:30 AM</c:v>
                </c:pt>
                <c:pt idx="16">
                  <c:v>8:00 AM</c:v>
                </c:pt>
                <c:pt idx="17">
                  <c:v>8:30 AM</c:v>
                </c:pt>
                <c:pt idx="18">
                  <c:v>9:00 AM</c:v>
                </c:pt>
                <c:pt idx="19">
                  <c:v>9:30 AM</c:v>
                </c:pt>
                <c:pt idx="20">
                  <c:v>10:00 AM</c:v>
                </c:pt>
                <c:pt idx="21">
                  <c:v>10:30 AM</c:v>
                </c:pt>
                <c:pt idx="22">
                  <c:v>11:00 AM</c:v>
                </c:pt>
                <c:pt idx="23">
                  <c:v>11:30 AM</c:v>
                </c:pt>
                <c:pt idx="24">
                  <c:v>12:00 PM</c:v>
                </c:pt>
                <c:pt idx="25">
                  <c:v>12:30 PM</c:v>
                </c:pt>
                <c:pt idx="26">
                  <c:v>1:00 PM</c:v>
                </c:pt>
                <c:pt idx="27">
                  <c:v>1:30 PM</c:v>
                </c:pt>
                <c:pt idx="28">
                  <c:v>2:00 PM</c:v>
                </c:pt>
                <c:pt idx="29">
                  <c:v>2:30 PM</c:v>
                </c:pt>
                <c:pt idx="30">
                  <c:v>3:00 PM</c:v>
                </c:pt>
                <c:pt idx="31">
                  <c:v>3:30 PM</c:v>
                </c:pt>
                <c:pt idx="32">
                  <c:v>4:00 PM</c:v>
                </c:pt>
                <c:pt idx="33">
                  <c:v>4:30 PM</c:v>
                </c:pt>
                <c:pt idx="34">
                  <c:v>5:00 PM</c:v>
                </c:pt>
                <c:pt idx="35">
                  <c:v>5:30 PM</c:v>
                </c:pt>
                <c:pt idx="36">
                  <c:v>6:00 PM</c:v>
                </c:pt>
                <c:pt idx="37">
                  <c:v>6:30 PM</c:v>
                </c:pt>
                <c:pt idx="38">
                  <c:v>7:00 PM</c:v>
                </c:pt>
                <c:pt idx="39">
                  <c:v>7:30 PM</c:v>
                </c:pt>
                <c:pt idx="40">
                  <c:v>8:00 PM</c:v>
                </c:pt>
                <c:pt idx="41">
                  <c:v>8:30 PM</c:v>
                </c:pt>
                <c:pt idx="42">
                  <c:v>9:00 PM</c:v>
                </c:pt>
                <c:pt idx="43">
                  <c:v>9:30 PM</c:v>
                </c:pt>
                <c:pt idx="44">
                  <c:v>10:00 PM</c:v>
                </c:pt>
                <c:pt idx="45">
                  <c:v>10:30 PM</c:v>
                </c:pt>
                <c:pt idx="46">
                  <c:v>11:00 PM</c:v>
                </c:pt>
                <c:pt idx="47">
                  <c:v>11:30 PM</c:v>
                </c:pt>
              </c:strCache>
            </c:strRef>
          </c:cat>
          <c:val>
            <c:numRef>
              <c:f>'Aggregated Hydro'!$B$2:$B$50</c:f>
              <c:numCache>
                <c:formatCode>#,##0</c:formatCode>
                <c:ptCount val="48"/>
                <c:pt idx="0">
                  <c:v>166.92285714285714</c:v>
                </c:pt>
                <c:pt idx="1">
                  <c:v>178.14000000000001</c:v>
                </c:pt>
                <c:pt idx="2">
                  <c:v>146.72285714285712</c:v>
                </c:pt>
                <c:pt idx="3">
                  <c:v>105.04857142857144</c:v>
                </c:pt>
                <c:pt idx="4">
                  <c:v>69.271428571428572</c:v>
                </c:pt>
                <c:pt idx="5">
                  <c:v>62.928571428571431</c:v>
                </c:pt>
                <c:pt idx="6">
                  <c:v>45.31</c:v>
                </c:pt>
                <c:pt idx="7">
                  <c:v>40.19</c:v>
                </c:pt>
                <c:pt idx="8">
                  <c:v>40.628571428571426</c:v>
                </c:pt>
                <c:pt idx="9">
                  <c:v>56.202857142857134</c:v>
                </c:pt>
                <c:pt idx="10">
                  <c:v>63.322857142857153</c:v>
                </c:pt>
                <c:pt idx="11">
                  <c:v>128.43285714285716</c:v>
                </c:pt>
                <c:pt idx="12">
                  <c:v>275.05</c:v>
                </c:pt>
                <c:pt idx="13">
                  <c:v>421.97142857142859</c:v>
                </c:pt>
                <c:pt idx="14">
                  <c:v>527.47</c:v>
                </c:pt>
                <c:pt idx="15">
                  <c:v>603.93428571428569</c:v>
                </c:pt>
                <c:pt idx="16">
                  <c:v>502.60142857142858</c:v>
                </c:pt>
                <c:pt idx="17">
                  <c:v>234.95285714285711</c:v>
                </c:pt>
                <c:pt idx="18">
                  <c:v>120.25142857142858</c:v>
                </c:pt>
                <c:pt idx="19">
                  <c:v>29.502857142857145</c:v>
                </c:pt>
                <c:pt idx="20">
                  <c:v>12.367142857142856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2.5674999999999999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6.99</c:v>
                </c:pt>
                <c:pt idx="32">
                  <c:v>54.434285714285707</c:v>
                </c:pt>
                <c:pt idx="33">
                  <c:v>193.50714285714284</c:v>
                </c:pt>
                <c:pt idx="34">
                  <c:v>592.0100000000001</c:v>
                </c:pt>
                <c:pt idx="35">
                  <c:v>829.68285714285707</c:v>
                </c:pt>
                <c:pt idx="36">
                  <c:v>931.09285714285704</c:v>
                </c:pt>
                <c:pt idx="37">
                  <c:v>962.21571428571417</c:v>
                </c:pt>
                <c:pt idx="38">
                  <c:v>939.43571428571443</c:v>
                </c:pt>
                <c:pt idx="39">
                  <c:v>907.55285714285708</c:v>
                </c:pt>
                <c:pt idx="40">
                  <c:v>852.43714285714282</c:v>
                </c:pt>
                <c:pt idx="41">
                  <c:v>758.66857142857157</c:v>
                </c:pt>
                <c:pt idx="42">
                  <c:v>636.4457142857143</c:v>
                </c:pt>
                <c:pt idx="43">
                  <c:v>522.09285714285716</c:v>
                </c:pt>
                <c:pt idx="44">
                  <c:v>348.18571428571425</c:v>
                </c:pt>
                <c:pt idx="45">
                  <c:v>335.3214285714285</c:v>
                </c:pt>
                <c:pt idx="46">
                  <c:v>265.94285714285718</c:v>
                </c:pt>
                <c:pt idx="47">
                  <c:v>176.83142857142857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C-974A-A552-E05CED88CD69}"/>
            </c:ext>
          </c:extLst>
        </c:ser>
        <c:ser>
          <c:idx val="1"/>
          <c:order val="1"/>
          <c:tx>
            <c:strRef>
              <c:f>'Aggregated Hydro'!$C$1</c:f>
              <c:strCache>
                <c:ptCount val="1"/>
                <c:pt idx="0">
                  <c:v>Hydro Pumps</c:v>
                </c:pt>
              </c:strCache>
            </c:strRef>
          </c:tx>
          <c:spPr>
            <a:solidFill>
              <a:srgbClr val="AF0001"/>
            </a:solidFill>
            <a:ln>
              <a:noFill/>
            </a:ln>
            <a:effectLst/>
          </c:spPr>
          <c:invertIfNegative val="0"/>
          <c:cat>
            <c:strRef>
              <c:f>'Aggregated Hydro'!$A$2:$A$50</c:f>
              <c:strCache>
                <c:ptCount val="48"/>
                <c:pt idx="0">
                  <c:v>12:00 AM</c:v>
                </c:pt>
                <c:pt idx="1">
                  <c:v>12:30 AM</c:v>
                </c:pt>
                <c:pt idx="2">
                  <c:v>1:00 AM</c:v>
                </c:pt>
                <c:pt idx="3">
                  <c:v>1:30 AM</c:v>
                </c:pt>
                <c:pt idx="4">
                  <c:v>2:00 AM</c:v>
                </c:pt>
                <c:pt idx="5">
                  <c:v>2:30 AM</c:v>
                </c:pt>
                <c:pt idx="6">
                  <c:v>3:00 AM</c:v>
                </c:pt>
                <c:pt idx="7">
                  <c:v>3:30 AM</c:v>
                </c:pt>
                <c:pt idx="8">
                  <c:v>4:00 AM</c:v>
                </c:pt>
                <c:pt idx="9">
                  <c:v>4:30 AM</c:v>
                </c:pt>
                <c:pt idx="10">
                  <c:v>5:00 AM</c:v>
                </c:pt>
                <c:pt idx="11">
                  <c:v>5:30 AM</c:v>
                </c:pt>
                <c:pt idx="12">
                  <c:v>6:00 AM</c:v>
                </c:pt>
                <c:pt idx="13">
                  <c:v>6:30 AM</c:v>
                </c:pt>
                <c:pt idx="14">
                  <c:v>7:00 AM</c:v>
                </c:pt>
                <c:pt idx="15">
                  <c:v>7:30 AM</c:v>
                </c:pt>
                <c:pt idx="16">
                  <c:v>8:00 AM</c:v>
                </c:pt>
                <c:pt idx="17">
                  <c:v>8:30 AM</c:v>
                </c:pt>
                <c:pt idx="18">
                  <c:v>9:00 AM</c:v>
                </c:pt>
                <c:pt idx="19">
                  <c:v>9:30 AM</c:v>
                </c:pt>
                <c:pt idx="20">
                  <c:v>10:00 AM</c:v>
                </c:pt>
                <c:pt idx="21">
                  <c:v>10:30 AM</c:v>
                </c:pt>
                <c:pt idx="22">
                  <c:v>11:00 AM</c:v>
                </c:pt>
                <c:pt idx="23">
                  <c:v>11:30 AM</c:v>
                </c:pt>
                <c:pt idx="24">
                  <c:v>12:00 PM</c:v>
                </c:pt>
                <c:pt idx="25">
                  <c:v>12:30 PM</c:v>
                </c:pt>
                <c:pt idx="26">
                  <c:v>1:00 PM</c:v>
                </c:pt>
                <c:pt idx="27">
                  <c:v>1:30 PM</c:v>
                </c:pt>
                <c:pt idx="28">
                  <c:v>2:00 PM</c:v>
                </c:pt>
                <c:pt idx="29">
                  <c:v>2:30 PM</c:v>
                </c:pt>
                <c:pt idx="30">
                  <c:v>3:00 PM</c:v>
                </c:pt>
                <c:pt idx="31">
                  <c:v>3:30 PM</c:v>
                </c:pt>
                <c:pt idx="32">
                  <c:v>4:00 PM</c:v>
                </c:pt>
                <c:pt idx="33">
                  <c:v>4:30 PM</c:v>
                </c:pt>
                <c:pt idx="34">
                  <c:v>5:00 PM</c:v>
                </c:pt>
                <c:pt idx="35">
                  <c:v>5:30 PM</c:v>
                </c:pt>
                <c:pt idx="36">
                  <c:v>6:00 PM</c:v>
                </c:pt>
                <c:pt idx="37">
                  <c:v>6:30 PM</c:v>
                </c:pt>
                <c:pt idx="38">
                  <c:v>7:00 PM</c:v>
                </c:pt>
                <c:pt idx="39">
                  <c:v>7:30 PM</c:v>
                </c:pt>
                <c:pt idx="40">
                  <c:v>8:00 PM</c:v>
                </c:pt>
                <c:pt idx="41">
                  <c:v>8:30 PM</c:v>
                </c:pt>
                <c:pt idx="42">
                  <c:v>9:00 PM</c:v>
                </c:pt>
                <c:pt idx="43">
                  <c:v>9:30 PM</c:v>
                </c:pt>
                <c:pt idx="44">
                  <c:v>10:00 PM</c:v>
                </c:pt>
                <c:pt idx="45">
                  <c:v>10:30 PM</c:v>
                </c:pt>
                <c:pt idx="46">
                  <c:v>11:00 PM</c:v>
                </c:pt>
                <c:pt idx="47">
                  <c:v>11:30 PM</c:v>
                </c:pt>
              </c:strCache>
            </c:strRef>
          </c:cat>
          <c:val>
            <c:numRef>
              <c:f>'Aggregated Hydro'!$C$2:$C$50</c:f>
              <c:numCache>
                <c:formatCode>#,##0</c:formatCode>
                <c:ptCount val="48"/>
                <c:pt idx="0">
                  <c:v>0</c:v>
                </c:pt>
                <c:pt idx="1">
                  <c:v>-9.6228571428571428</c:v>
                </c:pt>
                <c:pt idx="2">
                  <c:v>-11.542857142857143</c:v>
                </c:pt>
                <c:pt idx="3">
                  <c:v>-30.824285714285718</c:v>
                </c:pt>
                <c:pt idx="4">
                  <c:v>-34.611428571428569</c:v>
                </c:pt>
                <c:pt idx="5">
                  <c:v>-34.588571428571427</c:v>
                </c:pt>
                <c:pt idx="6">
                  <c:v>-34.581428571428567</c:v>
                </c:pt>
                <c:pt idx="7">
                  <c:v>-34.585714285714282</c:v>
                </c:pt>
                <c:pt idx="8">
                  <c:v>-34.571428571428569</c:v>
                </c:pt>
                <c:pt idx="9">
                  <c:v>-32.654285714285713</c:v>
                </c:pt>
                <c:pt idx="10">
                  <c:v>-19.202857142857145</c:v>
                </c:pt>
                <c:pt idx="11">
                  <c:v>0</c:v>
                </c:pt>
                <c:pt idx="12">
                  <c:v>-9.620000000000001</c:v>
                </c:pt>
                <c:pt idx="13">
                  <c:v>-11.547142857142857</c:v>
                </c:pt>
                <c:pt idx="14">
                  <c:v>-11.551428571428572</c:v>
                </c:pt>
                <c:pt idx="15">
                  <c:v>-11.542857142857143</c:v>
                </c:pt>
                <c:pt idx="16">
                  <c:v>-11.527142857142858</c:v>
                </c:pt>
                <c:pt idx="17">
                  <c:v>-13.804285714285713</c:v>
                </c:pt>
                <c:pt idx="18">
                  <c:v>-42.458571428571432</c:v>
                </c:pt>
                <c:pt idx="19">
                  <c:v>-52.688571428571429</c:v>
                </c:pt>
                <c:pt idx="20">
                  <c:v>-81.107142857142861</c:v>
                </c:pt>
                <c:pt idx="21">
                  <c:v>-135.27000000000001</c:v>
                </c:pt>
                <c:pt idx="22">
                  <c:v>-201.88714285714283</c:v>
                </c:pt>
                <c:pt idx="23">
                  <c:v>-277.64714285714291</c:v>
                </c:pt>
                <c:pt idx="24">
                  <c:v>-321.02857142857141</c:v>
                </c:pt>
                <c:pt idx="25">
                  <c:v>-385.22749999999996</c:v>
                </c:pt>
                <c:pt idx="26">
                  <c:v>-464.23571428571421</c:v>
                </c:pt>
                <c:pt idx="27">
                  <c:v>-466.41285714285715</c:v>
                </c:pt>
                <c:pt idx="28">
                  <c:v>-463.99142857142857</c:v>
                </c:pt>
                <c:pt idx="29">
                  <c:v>-454.43285714285719</c:v>
                </c:pt>
                <c:pt idx="30">
                  <c:v>-415.40999999999997</c:v>
                </c:pt>
                <c:pt idx="31">
                  <c:v>-301.39857142857142</c:v>
                </c:pt>
                <c:pt idx="32">
                  <c:v>-182.23857142857142</c:v>
                </c:pt>
                <c:pt idx="33">
                  <c:v>-50.668571428571433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C-974A-A552-E05CED88C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837076544"/>
        <c:axId val="837078256"/>
      </c:barChart>
      <c:lineChart>
        <c:grouping val="standard"/>
        <c:varyColors val="0"/>
        <c:ser>
          <c:idx val="2"/>
          <c:order val="2"/>
          <c:tx>
            <c:strRef>
              <c:f>'Aggregated Hydro'!$D$1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'Aggregated Hydro'!$A$2:$A$50</c:f>
              <c:strCache>
                <c:ptCount val="48"/>
                <c:pt idx="0">
                  <c:v>12:00 AM</c:v>
                </c:pt>
                <c:pt idx="1">
                  <c:v>12:30 AM</c:v>
                </c:pt>
                <c:pt idx="2">
                  <c:v>1:00 AM</c:v>
                </c:pt>
                <c:pt idx="3">
                  <c:v>1:30 AM</c:v>
                </c:pt>
                <c:pt idx="4">
                  <c:v>2:00 AM</c:v>
                </c:pt>
                <c:pt idx="5">
                  <c:v>2:30 AM</c:v>
                </c:pt>
                <c:pt idx="6">
                  <c:v>3:00 AM</c:v>
                </c:pt>
                <c:pt idx="7">
                  <c:v>3:30 AM</c:v>
                </c:pt>
                <c:pt idx="8">
                  <c:v>4:00 AM</c:v>
                </c:pt>
                <c:pt idx="9">
                  <c:v>4:30 AM</c:v>
                </c:pt>
                <c:pt idx="10">
                  <c:v>5:00 AM</c:v>
                </c:pt>
                <c:pt idx="11">
                  <c:v>5:30 AM</c:v>
                </c:pt>
                <c:pt idx="12">
                  <c:v>6:00 AM</c:v>
                </c:pt>
                <c:pt idx="13">
                  <c:v>6:30 AM</c:v>
                </c:pt>
                <c:pt idx="14">
                  <c:v>7:00 AM</c:v>
                </c:pt>
                <c:pt idx="15">
                  <c:v>7:30 AM</c:v>
                </c:pt>
                <c:pt idx="16">
                  <c:v>8:00 AM</c:v>
                </c:pt>
                <c:pt idx="17">
                  <c:v>8:30 AM</c:v>
                </c:pt>
                <c:pt idx="18">
                  <c:v>9:00 AM</c:v>
                </c:pt>
                <c:pt idx="19">
                  <c:v>9:30 AM</c:v>
                </c:pt>
                <c:pt idx="20">
                  <c:v>10:00 AM</c:v>
                </c:pt>
                <c:pt idx="21">
                  <c:v>10:30 AM</c:v>
                </c:pt>
                <c:pt idx="22">
                  <c:v>11:00 AM</c:v>
                </c:pt>
                <c:pt idx="23">
                  <c:v>11:30 AM</c:v>
                </c:pt>
                <c:pt idx="24">
                  <c:v>12:00 PM</c:v>
                </c:pt>
                <c:pt idx="25">
                  <c:v>12:30 PM</c:v>
                </c:pt>
                <c:pt idx="26">
                  <c:v>1:00 PM</c:v>
                </c:pt>
                <c:pt idx="27">
                  <c:v>1:30 PM</c:v>
                </c:pt>
                <c:pt idx="28">
                  <c:v>2:00 PM</c:v>
                </c:pt>
                <c:pt idx="29">
                  <c:v>2:30 PM</c:v>
                </c:pt>
                <c:pt idx="30">
                  <c:v>3:00 PM</c:v>
                </c:pt>
                <c:pt idx="31">
                  <c:v>3:30 PM</c:v>
                </c:pt>
                <c:pt idx="32">
                  <c:v>4:00 PM</c:v>
                </c:pt>
                <c:pt idx="33">
                  <c:v>4:30 PM</c:v>
                </c:pt>
                <c:pt idx="34">
                  <c:v>5:00 PM</c:v>
                </c:pt>
                <c:pt idx="35">
                  <c:v>5:30 PM</c:v>
                </c:pt>
                <c:pt idx="36">
                  <c:v>6:00 PM</c:v>
                </c:pt>
                <c:pt idx="37">
                  <c:v>6:30 PM</c:v>
                </c:pt>
                <c:pt idx="38">
                  <c:v>7:00 PM</c:v>
                </c:pt>
                <c:pt idx="39">
                  <c:v>7:30 PM</c:v>
                </c:pt>
                <c:pt idx="40">
                  <c:v>8:00 PM</c:v>
                </c:pt>
                <c:pt idx="41">
                  <c:v>8:30 PM</c:v>
                </c:pt>
                <c:pt idx="42">
                  <c:v>9:00 PM</c:v>
                </c:pt>
                <c:pt idx="43">
                  <c:v>9:30 PM</c:v>
                </c:pt>
                <c:pt idx="44">
                  <c:v>10:00 PM</c:v>
                </c:pt>
                <c:pt idx="45">
                  <c:v>10:30 PM</c:v>
                </c:pt>
                <c:pt idx="46">
                  <c:v>11:00 PM</c:v>
                </c:pt>
                <c:pt idx="47">
                  <c:v>11:30 PM</c:v>
                </c:pt>
              </c:strCache>
            </c:strRef>
          </c:cat>
          <c:val>
            <c:numRef>
              <c:f>'Aggregated Hydro'!$D$2:$D$50</c:f>
              <c:numCache>
                <c:formatCode>#,##0</c:formatCode>
                <c:ptCount val="48"/>
                <c:pt idx="0">
                  <c:v>86.982857142857142</c:v>
                </c:pt>
                <c:pt idx="1">
                  <c:v>81.675714285714292</c:v>
                </c:pt>
                <c:pt idx="2">
                  <c:v>81.991428571428557</c:v>
                </c:pt>
                <c:pt idx="3">
                  <c:v>80.155714285714268</c:v>
                </c:pt>
                <c:pt idx="4">
                  <c:v>74.835714285714289</c:v>
                </c:pt>
                <c:pt idx="5">
                  <c:v>76.22571428571429</c:v>
                </c:pt>
                <c:pt idx="6">
                  <c:v>75.285714285714292</c:v>
                </c:pt>
                <c:pt idx="7">
                  <c:v>77.419999999999987</c:v>
                </c:pt>
                <c:pt idx="8">
                  <c:v>76.872857142857143</c:v>
                </c:pt>
                <c:pt idx="9">
                  <c:v>80.895714285714277</c:v>
                </c:pt>
                <c:pt idx="10">
                  <c:v>81.535714285714292</c:v>
                </c:pt>
                <c:pt idx="11">
                  <c:v>87.502857142857138</c:v>
                </c:pt>
                <c:pt idx="12">
                  <c:v>96.751428571428576</c:v>
                </c:pt>
                <c:pt idx="13">
                  <c:v>119.34142857142858</c:v>
                </c:pt>
                <c:pt idx="14">
                  <c:v>147.88428571428571</c:v>
                </c:pt>
                <c:pt idx="15">
                  <c:v>156.35142857142858</c:v>
                </c:pt>
                <c:pt idx="16">
                  <c:v>141.87285714285713</c:v>
                </c:pt>
                <c:pt idx="17">
                  <c:v>97.867142857142852</c:v>
                </c:pt>
                <c:pt idx="18">
                  <c:v>81.771428571428586</c:v>
                </c:pt>
                <c:pt idx="19">
                  <c:v>85.148571428571429</c:v>
                </c:pt>
                <c:pt idx="20">
                  <c:v>70.944285714285712</c:v>
                </c:pt>
                <c:pt idx="21">
                  <c:v>60.154285714285713</c:v>
                </c:pt>
                <c:pt idx="22">
                  <c:v>31.034285714285716</c:v>
                </c:pt>
                <c:pt idx="23">
                  <c:v>32.019999999999996</c:v>
                </c:pt>
                <c:pt idx="24">
                  <c:v>25.745714285714286</c:v>
                </c:pt>
                <c:pt idx="25">
                  <c:v>22.828750000000003</c:v>
                </c:pt>
                <c:pt idx="26">
                  <c:v>5.3885714285714297</c:v>
                </c:pt>
                <c:pt idx="27">
                  <c:v>14.288571428571428</c:v>
                </c:pt>
                <c:pt idx="28">
                  <c:v>4.0828571428571436</c:v>
                </c:pt>
                <c:pt idx="29">
                  <c:v>20.804285714285715</c:v>
                </c:pt>
                <c:pt idx="30">
                  <c:v>45.08428571428572</c:v>
                </c:pt>
                <c:pt idx="31">
                  <c:v>13.794285714285715</c:v>
                </c:pt>
                <c:pt idx="32">
                  <c:v>68.755714285714276</c:v>
                </c:pt>
                <c:pt idx="33">
                  <c:v>91.742857142857147</c:v>
                </c:pt>
                <c:pt idx="34">
                  <c:v>158.11142857142858</c:v>
                </c:pt>
                <c:pt idx="35">
                  <c:v>171.86142857142858</c:v>
                </c:pt>
                <c:pt idx="36">
                  <c:v>230.89000000000001</c:v>
                </c:pt>
                <c:pt idx="37">
                  <c:v>191.43714285714285</c:v>
                </c:pt>
                <c:pt idx="38">
                  <c:v>188.42285714285714</c:v>
                </c:pt>
                <c:pt idx="39">
                  <c:v>175.25285714285715</c:v>
                </c:pt>
                <c:pt idx="40">
                  <c:v>141.87285714285716</c:v>
                </c:pt>
                <c:pt idx="41">
                  <c:v>134.85285714285715</c:v>
                </c:pt>
                <c:pt idx="42">
                  <c:v>140.27714285714288</c:v>
                </c:pt>
                <c:pt idx="43">
                  <c:v>121.51428571428572</c:v>
                </c:pt>
                <c:pt idx="44">
                  <c:v>104.76285714285713</c:v>
                </c:pt>
                <c:pt idx="45">
                  <c:v>123.64571428571428</c:v>
                </c:pt>
                <c:pt idx="46">
                  <c:v>108.54571428571428</c:v>
                </c:pt>
                <c:pt idx="47">
                  <c:v>93.054285714285712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CC-974A-A552-E05CED88C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110016"/>
        <c:axId val="833912864"/>
      </c:lineChart>
      <c:catAx>
        <c:axId val="8370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78256"/>
        <c:crosses val="autoZero"/>
        <c:auto val="1"/>
        <c:lblAlgn val="ctr"/>
        <c:lblOffset val="100"/>
        <c:tickLblSkip val="6"/>
        <c:noMultiLvlLbl val="0"/>
      </c:catAx>
      <c:valAx>
        <c:axId val="8370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Hydro Charging and Discharging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76544"/>
        <c:crosses val="autoZero"/>
        <c:crossBetween val="between"/>
      </c:valAx>
      <c:valAx>
        <c:axId val="833912864"/>
        <c:scaling>
          <c:orientation val="minMax"/>
          <c:max val="3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Spot</a:t>
                </a:r>
                <a:r>
                  <a:rPr lang="en-GB" sz="1200" b="1" baseline="0"/>
                  <a:t> Price ($/MWh)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110016"/>
        <c:crosses val="max"/>
        <c:crossBetween val="between"/>
      </c:valAx>
      <c:catAx>
        <c:axId val="834110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3912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B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[20251119 New South Wales workbook.xlsx]Sheet2!PivotTable10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Average of Helper Column - Net Hydro Output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Sheet2!$A$2:$A$50</c:f>
              <c:strCache>
                <c:ptCount val="48"/>
                <c:pt idx="0">
                  <c:v>00:00</c:v>
                </c:pt>
                <c:pt idx="1">
                  <c:v>00:30</c:v>
                </c:pt>
                <c:pt idx="2">
                  <c:v>01:00</c:v>
                </c:pt>
                <c:pt idx="3">
                  <c:v>01:30</c:v>
                </c:pt>
                <c:pt idx="4">
                  <c:v>02:00</c:v>
                </c:pt>
                <c:pt idx="5">
                  <c:v>02:30</c:v>
                </c:pt>
                <c:pt idx="6">
                  <c:v>03:00</c:v>
                </c:pt>
                <c:pt idx="7">
                  <c:v>03:30</c:v>
                </c:pt>
                <c:pt idx="8">
                  <c:v>04:00</c:v>
                </c:pt>
                <c:pt idx="9">
                  <c:v>04:30</c:v>
                </c:pt>
                <c:pt idx="10">
                  <c:v>05:00</c:v>
                </c:pt>
                <c:pt idx="11">
                  <c:v>05:30</c:v>
                </c:pt>
                <c:pt idx="12">
                  <c:v>06:00</c:v>
                </c:pt>
                <c:pt idx="13">
                  <c:v>06:30</c:v>
                </c:pt>
                <c:pt idx="14">
                  <c:v>07:00</c:v>
                </c:pt>
                <c:pt idx="15">
                  <c:v>07:30</c:v>
                </c:pt>
                <c:pt idx="16">
                  <c:v>08:00</c:v>
                </c:pt>
                <c:pt idx="17">
                  <c:v>08:30</c:v>
                </c:pt>
                <c:pt idx="18">
                  <c:v>09:00</c:v>
                </c:pt>
                <c:pt idx="19">
                  <c:v>09:30</c:v>
                </c:pt>
                <c:pt idx="20">
                  <c:v>10:00</c:v>
                </c:pt>
                <c:pt idx="21">
                  <c:v>10:30</c:v>
                </c:pt>
                <c:pt idx="22">
                  <c:v>11:00</c:v>
                </c:pt>
                <c:pt idx="23">
                  <c:v>11:30</c:v>
                </c:pt>
                <c:pt idx="24">
                  <c:v>12:00</c:v>
                </c:pt>
                <c:pt idx="25">
                  <c:v>12:30</c:v>
                </c:pt>
                <c:pt idx="26">
                  <c:v>13:00</c:v>
                </c:pt>
                <c:pt idx="27">
                  <c:v>13:30</c:v>
                </c:pt>
                <c:pt idx="28">
                  <c:v>14:00</c:v>
                </c:pt>
                <c:pt idx="29">
                  <c:v>14:30</c:v>
                </c:pt>
                <c:pt idx="30">
                  <c:v>15:00</c:v>
                </c:pt>
                <c:pt idx="31">
                  <c:v>15:30</c:v>
                </c:pt>
                <c:pt idx="32">
                  <c:v>16:00</c:v>
                </c:pt>
                <c:pt idx="33">
                  <c:v>16:30</c:v>
                </c:pt>
                <c:pt idx="34">
                  <c:v>17:00</c:v>
                </c:pt>
                <c:pt idx="35">
                  <c:v>17:30</c:v>
                </c:pt>
                <c:pt idx="36">
                  <c:v>18:00</c:v>
                </c:pt>
                <c:pt idx="37">
                  <c:v>18:30</c:v>
                </c:pt>
                <c:pt idx="38">
                  <c:v>19:00</c:v>
                </c:pt>
                <c:pt idx="39">
                  <c:v>19:30</c:v>
                </c:pt>
                <c:pt idx="40">
                  <c:v>20:00</c:v>
                </c:pt>
                <c:pt idx="41">
                  <c:v>20:30</c:v>
                </c:pt>
                <c:pt idx="42">
                  <c:v>21:00</c:v>
                </c:pt>
                <c:pt idx="43">
                  <c:v>21:30</c:v>
                </c:pt>
                <c:pt idx="44">
                  <c:v>22:00</c:v>
                </c:pt>
                <c:pt idx="45">
                  <c:v>22:30</c:v>
                </c:pt>
                <c:pt idx="46">
                  <c:v>23:00</c:v>
                </c:pt>
                <c:pt idx="47">
                  <c:v>23:30</c:v>
                </c:pt>
              </c:strCache>
            </c:strRef>
          </c:cat>
          <c:val>
            <c:numRef>
              <c:f>Sheet2!$C$2:$C$50</c:f>
              <c:numCache>
                <c:formatCode>#,##0</c:formatCode>
                <c:ptCount val="48"/>
                <c:pt idx="0">
                  <c:v>166.92285714285714</c:v>
                </c:pt>
                <c:pt idx="1">
                  <c:v>168.51714285714283</c:v>
                </c:pt>
                <c:pt idx="2">
                  <c:v>135.18</c:v>
                </c:pt>
                <c:pt idx="3">
                  <c:v>74.224285714285699</c:v>
                </c:pt>
                <c:pt idx="4">
                  <c:v>34.659999999999989</c:v>
                </c:pt>
                <c:pt idx="5">
                  <c:v>28.340000000000007</c:v>
                </c:pt>
                <c:pt idx="6">
                  <c:v>10.728571428571433</c:v>
                </c:pt>
                <c:pt idx="7">
                  <c:v>5.6042857142857132</c:v>
                </c:pt>
                <c:pt idx="8">
                  <c:v>6.0571428571428543</c:v>
                </c:pt>
                <c:pt idx="9">
                  <c:v>23.548571428571424</c:v>
                </c:pt>
                <c:pt idx="10">
                  <c:v>44.120000000000005</c:v>
                </c:pt>
                <c:pt idx="11">
                  <c:v>128.43285714285716</c:v>
                </c:pt>
                <c:pt idx="12">
                  <c:v>265.43</c:v>
                </c:pt>
                <c:pt idx="13">
                  <c:v>410.42428571428576</c:v>
                </c:pt>
                <c:pt idx="14">
                  <c:v>515.91857142857145</c:v>
                </c:pt>
                <c:pt idx="15">
                  <c:v>592.39142857142849</c:v>
                </c:pt>
                <c:pt idx="16">
                  <c:v>491.07428571428574</c:v>
                </c:pt>
                <c:pt idx="17">
                  <c:v>221.14857142857139</c:v>
                </c:pt>
                <c:pt idx="18">
                  <c:v>77.79285714285713</c:v>
                </c:pt>
                <c:pt idx="19">
                  <c:v>-23.185714285714283</c:v>
                </c:pt>
                <c:pt idx="20">
                  <c:v>-68.739999999999995</c:v>
                </c:pt>
                <c:pt idx="21">
                  <c:v>-135.27000000000001</c:v>
                </c:pt>
                <c:pt idx="22">
                  <c:v>-201.88714285714283</c:v>
                </c:pt>
                <c:pt idx="23">
                  <c:v>-277.64714285714291</c:v>
                </c:pt>
                <c:pt idx="24">
                  <c:v>-321.02857142857141</c:v>
                </c:pt>
                <c:pt idx="25">
                  <c:v>-382.65999999999997</c:v>
                </c:pt>
                <c:pt idx="26">
                  <c:v>-464.23571428571421</c:v>
                </c:pt>
                <c:pt idx="27">
                  <c:v>-466.41285714285715</c:v>
                </c:pt>
                <c:pt idx="28">
                  <c:v>-463.99142857142857</c:v>
                </c:pt>
                <c:pt idx="29">
                  <c:v>-454.43285714285719</c:v>
                </c:pt>
                <c:pt idx="30">
                  <c:v>-415.40999999999997</c:v>
                </c:pt>
                <c:pt idx="31">
                  <c:v>-294.40857142857141</c:v>
                </c:pt>
                <c:pt idx="32">
                  <c:v>-127.80428571428568</c:v>
                </c:pt>
                <c:pt idx="33">
                  <c:v>142.83857142857141</c:v>
                </c:pt>
                <c:pt idx="34">
                  <c:v>592.0100000000001</c:v>
                </c:pt>
                <c:pt idx="35">
                  <c:v>829.68285714285707</c:v>
                </c:pt>
                <c:pt idx="36">
                  <c:v>931.09285714285704</c:v>
                </c:pt>
                <c:pt idx="37">
                  <c:v>962.21571428571417</c:v>
                </c:pt>
                <c:pt idx="38">
                  <c:v>939.43571428571443</c:v>
                </c:pt>
                <c:pt idx="39">
                  <c:v>907.55285714285708</c:v>
                </c:pt>
                <c:pt idx="40">
                  <c:v>852.43714285714282</c:v>
                </c:pt>
                <c:pt idx="41">
                  <c:v>758.66857142857157</c:v>
                </c:pt>
                <c:pt idx="42">
                  <c:v>636.4457142857143</c:v>
                </c:pt>
                <c:pt idx="43">
                  <c:v>522.09285714285716</c:v>
                </c:pt>
                <c:pt idx="44">
                  <c:v>348.18571428571425</c:v>
                </c:pt>
                <c:pt idx="45">
                  <c:v>335.3214285714285</c:v>
                </c:pt>
                <c:pt idx="46">
                  <c:v>265.94285714285718</c:v>
                </c:pt>
                <c:pt idx="47">
                  <c:v>176.83142857142857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0-7F42-BD4A-C215E18C988B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Average of Helper Column - Net Battery Output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Sheet2!$A$2:$A$50</c:f>
              <c:strCache>
                <c:ptCount val="48"/>
                <c:pt idx="0">
                  <c:v>00:00</c:v>
                </c:pt>
                <c:pt idx="1">
                  <c:v>00:30</c:v>
                </c:pt>
                <c:pt idx="2">
                  <c:v>01:00</c:v>
                </c:pt>
                <c:pt idx="3">
                  <c:v>01:30</c:v>
                </c:pt>
                <c:pt idx="4">
                  <c:v>02:00</c:v>
                </c:pt>
                <c:pt idx="5">
                  <c:v>02:30</c:v>
                </c:pt>
                <c:pt idx="6">
                  <c:v>03:00</c:v>
                </c:pt>
                <c:pt idx="7">
                  <c:v>03:30</c:v>
                </c:pt>
                <c:pt idx="8">
                  <c:v>04:00</c:v>
                </c:pt>
                <c:pt idx="9">
                  <c:v>04:30</c:v>
                </c:pt>
                <c:pt idx="10">
                  <c:v>05:00</c:v>
                </c:pt>
                <c:pt idx="11">
                  <c:v>05:30</c:v>
                </c:pt>
                <c:pt idx="12">
                  <c:v>06:00</c:v>
                </c:pt>
                <c:pt idx="13">
                  <c:v>06:30</c:v>
                </c:pt>
                <c:pt idx="14">
                  <c:v>07:00</c:v>
                </c:pt>
                <c:pt idx="15">
                  <c:v>07:30</c:v>
                </c:pt>
                <c:pt idx="16">
                  <c:v>08:00</c:v>
                </c:pt>
                <c:pt idx="17">
                  <c:v>08:30</c:v>
                </c:pt>
                <c:pt idx="18">
                  <c:v>09:00</c:v>
                </c:pt>
                <c:pt idx="19">
                  <c:v>09:30</c:v>
                </c:pt>
                <c:pt idx="20">
                  <c:v>10:00</c:v>
                </c:pt>
                <c:pt idx="21">
                  <c:v>10:30</c:v>
                </c:pt>
                <c:pt idx="22">
                  <c:v>11:00</c:v>
                </c:pt>
                <c:pt idx="23">
                  <c:v>11:30</c:v>
                </c:pt>
                <c:pt idx="24">
                  <c:v>12:00</c:v>
                </c:pt>
                <c:pt idx="25">
                  <c:v>12:30</c:v>
                </c:pt>
                <c:pt idx="26">
                  <c:v>13:00</c:v>
                </c:pt>
                <c:pt idx="27">
                  <c:v>13:30</c:v>
                </c:pt>
                <c:pt idx="28">
                  <c:v>14:00</c:v>
                </c:pt>
                <c:pt idx="29">
                  <c:v>14:30</c:v>
                </c:pt>
                <c:pt idx="30">
                  <c:v>15:00</c:v>
                </c:pt>
                <c:pt idx="31">
                  <c:v>15:30</c:v>
                </c:pt>
                <c:pt idx="32">
                  <c:v>16:00</c:v>
                </c:pt>
                <c:pt idx="33">
                  <c:v>16:30</c:v>
                </c:pt>
                <c:pt idx="34">
                  <c:v>17:00</c:v>
                </c:pt>
                <c:pt idx="35">
                  <c:v>17:30</c:v>
                </c:pt>
                <c:pt idx="36">
                  <c:v>18:00</c:v>
                </c:pt>
                <c:pt idx="37">
                  <c:v>18:30</c:v>
                </c:pt>
                <c:pt idx="38">
                  <c:v>19:00</c:v>
                </c:pt>
                <c:pt idx="39">
                  <c:v>19:30</c:v>
                </c:pt>
                <c:pt idx="40">
                  <c:v>20:00</c:v>
                </c:pt>
                <c:pt idx="41">
                  <c:v>20:30</c:v>
                </c:pt>
                <c:pt idx="42">
                  <c:v>21:00</c:v>
                </c:pt>
                <c:pt idx="43">
                  <c:v>21:30</c:v>
                </c:pt>
                <c:pt idx="44">
                  <c:v>22:00</c:v>
                </c:pt>
                <c:pt idx="45">
                  <c:v>22:30</c:v>
                </c:pt>
                <c:pt idx="46">
                  <c:v>23:00</c:v>
                </c:pt>
                <c:pt idx="47">
                  <c:v>23:30</c:v>
                </c:pt>
              </c:strCache>
            </c:strRef>
          </c:cat>
          <c:val>
            <c:numRef>
              <c:f>Sheet2!$D$2:$D$50</c:f>
              <c:numCache>
                <c:formatCode>#,##0</c:formatCode>
                <c:ptCount val="48"/>
                <c:pt idx="0">
                  <c:v>-28.675714285714289</c:v>
                </c:pt>
                <c:pt idx="1">
                  <c:v>-22.131428571428575</c:v>
                </c:pt>
                <c:pt idx="2">
                  <c:v>-20.244285714285716</c:v>
                </c:pt>
                <c:pt idx="3">
                  <c:v>-28.47</c:v>
                </c:pt>
                <c:pt idx="4">
                  <c:v>-45.444285714285719</c:v>
                </c:pt>
                <c:pt idx="5">
                  <c:v>-66.171428571428564</c:v>
                </c:pt>
                <c:pt idx="6">
                  <c:v>-60.874285714285712</c:v>
                </c:pt>
                <c:pt idx="7">
                  <c:v>-62.692857142857157</c:v>
                </c:pt>
                <c:pt idx="8">
                  <c:v>-82.372857142857143</c:v>
                </c:pt>
                <c:pt idx="9">
                  <c:v>-94.045714285714297</c:v>
                </c:pt>
                <c:pt idx="10">
                  <c:v>-54.267142857142858</c:v>
                </c:pt>
                <c:pt idx="11">
                  <c:v>-42.542857142857144</c:v>
                </c:pt>
                <c:pt idx="12">
                  <c:v>-6.0642857142857149</c:v>
                </c:pt>
                <c:pt idx="13">
                  <c:v>49.33857142857142</c:v>
                </c:pt>
                <c:pt idx="14">
                  <c:v>127.79</c:v>
                </c:pt>
                <c:pt idx="15">
                  <c:v>109.32857142857142</c:v>
                </c:pt>
                <c:pt idx="16">
                  <c:v>95.48571428571428</c:v>
                </c:pt>
                <c:pt idx="17">
                  <c:v>42.598571428571425</c:v>
                </c:pt>
                <c:pt idx="18">
                  <c:v>35.015714285714289</c:v>
                </c:pt>
                <c:pt idx="19">
                  <c:v>33.78142857142857</c:v>
                </c:pt>
                <c:pt idx="20">
                  <c:v>-64.388571428571439</c:v>
                </c:pt>
                <c:pt idx="21">
                  <c:v>-87.282857142857125</c:v>
                </c:pt>
                <c:pt idx="22">
                  <c:v>-62.635714285714293</c:v>
                </c:pt>
                <c:pt idx="23">
                  <c:v>-135.29714285714286</c:v>
                </c:pt>
                <c:pt idx="24">
                  <c:v>-142.61857142857141</c:v>
                </c:pt>
                <c:pt idx="25">
                  <c:v>-181.95374999999999</c:v>
                </c:pt>
                <c:pt idx="26">
                  <c:v>-271.71571428571423</c:v>
                </c:pt>
                <c:pt idx="27">
                  <c:v>-261.60999999999996</c:v>
                </c:pt>
                <c:pt idx="28">
                  <c:v>-106.36142857142856</c:v>
                </c:pt>
                <c:pt idx="29">
                  <c:v>-32.784285714285708</c:v>
                </c:pt>
                <c:pt idx="30">
                  <c:v>-73.041428571428582</c:v>
                </c:pt>
                <c:pt idx="31">
                  <c:v>-5.0585714285714287</c:v>
                </c:pt>
                <c:pt idx="32">
                  <c:v>-94.732857142857128</c:v>
                </c:pt>
                <c:pt idx="33">
                  <c:v>-26.465714285714284</c:v>
                </c:pt>
                <c:pt idx="34">
                  <c:v>123.33428571428571</c:v>
                </c:pt>
                <c:pt idx="35">
                  <c:v>210.12714285714287</c:v>
                </c:pt>
                <c:pt idx="36">
                  <c:v>253.71428571428572</c:v>
                </c:pt>
                <c:pt idx="37">
                  <c:v>253.53428571428574</c:v>
                </c:pt>
                <c:pt idx="38">
                  <c:v>171.91285714285715</c:v>
                </c:pt>
                <c:pt idx="39">
                  <c:v>65.938571428571422</c:v>
                </c:pt>
                <c:pt idx="40">
                  <c:v>23.99285714285714</c:v>
                </c:pt>
                <c:pt idx="41">
                  <c:v>14.127142857142855</c:v>
                </c:pt>
                <c:pt idx="42">
                  <c:v>8.879999999999999</c:v>
                </c:pt>
                <c:pt idx="43">
                  <c:v>-4.1271428571428563</c:v>
                </c:pt>
                <c:pt idx="44">
                  <c:v>-19.53</c:v>
                </c:pt>
                <c:pt idx="45">
                  <c:v>-11.097142857142861</c:v>
                </c:pt>
                <c:pt idx="46">
                  <c:v>-13.86857142857143</c:v>
                </c:pt>
                <c:pt idx="47">
                  <c:v>-26.518571428571427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0-7F42-BD4A-C215E18C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1644832"/>
        <c:axId val="117946015"/>
      </c:barChar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Average of Price - AUD/MWh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Sheet2!$A$2:$A$50</c:f>
              <c:strCache>
                <c:ptCount val="48"/>
                <c:pt idx="0">
                  <c:v>00:00</c:v>
                </c:pt>
                <c:pt idx="1">
                  <c:v>00:30</c:v>
                </c:pt>
                <c:pt idx="2">
                  <c:v>01:00</c:v>
                </c:pt>
                <c:pt idx="3">
                  <c:v>01:30</c:v>
                </c:pt>
                <c:pt idx="4">
                  <c:v>02:00</c:v>
                </c:pt>
                <c:pt idx="5">
                  <c:v>02:30</c:v>
                </c:pt>
                <c:pt idx="6">
                  <c:v>03:00</c:v>
                </c:pt>
                <c:pt idx="7">
                  <c:v>03:30</c:v>
                </c:pt>
                <c:pt idx="8">
                  <c:v>04:00</c:v>
                </c:pt>
                <c:pt idx="9">
                  <c:v>04:30</c:v>
                </c:pt>
                <c:pt idx="10">
                  <c:v>05:00</c:v>
                </c:pt>
                <c:pt idx="11">
                  <c:v>05:30</c:v>
                </c:pt>
                <c:pt idx="12">
                  <c:v>06:00</c:v>
                </c:pt>
                <c:pt idx="13">
                  <c:v>06:30</c:v>
                </c:pt>
                <c:pt idx="14">
                  <c:v>07:00</c:v>
                </c:pt>
                <c:pt idx="15">
                  <c:v>07:30</c:v>
                </c:pt>
                <c:pt idx="16">
                  <c:v>08:00</c:v>
                </c:pt>
                <c:pt idx="17">
                  <c:v>08:30</c:v>
                </c:pt>
                <c:pt idx="18">
                  <c:v>09:00</c:v>
                </c:pt>
                <c:pt idx="19">
                  <c:v>09:30</c:v>
                </c:pt>
                <c:pt idx="20">
                  <c:v>10:00</c:v>
                </c:pt>
                <c:pt idx="21">
                  <c:v>10:30</c:v>
                </c:pt>
                <c:pt idx="22">
                  <c:v>11:00</c:v>
                </c:pt>
                <c:pt idx="23">
                  <c:v>11:30</c:v>
                </c:pt>
                <c:pt idx="24">
                  <c:v>12:00</c:v>
                </c:pt>
                <c:pt idx="25">
                  <c:v>12:30</c:v>
                </c:pt>
                <c:pt idx="26">
                  <c:v>13:00</c:v>
                </c:pt>
                <c:pt idx="27">
                  <c:v>13:30</c:v>
                </c:pt>
                <c:pt idx="28">
                  <c:v>14:00</c:v>
                </c:pt>
                <c:pt idx="29">
                  <c:v>14:30</c:v>
                </c:pt>
                <c:pt idx="30">
                  <c:v>15:00</c:v>
                </c:pt>
                <c:pt idx="31">
                  <c:v>15:30</c:v>
                </c:pt>
                <c:pt idx="32">
                  <c:v>16:00</c:v>
                </c:pt>
                <c:pt idx="33">
                  <c:v>16:30</c:v>
                </c:pt>
                <c:pt idx="34">
                  <c:v>17:00</c:v>
                </c:pt>
                <c:pt idx="35">
                  <c:v>17:30</c:v>
                </c:pt>
                <c:pt idx="36">
                  <c:v>18:00</c:v>
                </c:pt>
                <c:pt idx="37">
                  <c:v>18:30</c:v>
                </c:pt>
                <c:pt idx="38">
                  <c:v>19:00</c:v>
                </c:pt>
                <c:pt idx="39">
                  <c:v>19:30</c:v>
                </c:pt>
                <c:pt idx="40">
                  <c:v>20:00</c:v>
                </c:pt>
                <c:pt idx="41">
                  <c:v>20:30</c:v>
                </c:pt>
                <c:pt idx="42">
                  <c:v>21:00</c:v>
                </c:pt>
                <c:pt idx="43">
                  <c:v>21:30</c:v>
                </c:pt>
                <c:pt idx="44">
                  <c:v>22:00</c:v>
                </c:pt>
                <c:pt idx="45">
                  <c:v>22:30</c:v>
                </c:pt>
                <c:pt idx="46">
                  <c:v>23:00</c:v>
                </c:pt>
                <c:pt idx="47">
                  <c:v>23:30</c:v>
                </c:pt>
              </c:strCache>
            </c:strRef>
          </c:cat>
          <c:val>
            <c:numRef>
              <c:f>Sheet2!$B$2:$B$50</c:f>
              <c:numCache>
                <c:formatCode>#,##0</c:formatCode>
                <c:ptCount val="48"/>
                <c:pt idx="0">
                  <c:v>86.982857142857142</c:v>
                </c:pt>
                <c:pt idx="1">
                  <c:v>81.675714285714292</c:v>
                </c:pt>
                <c:pt idx="2">
                  <c:v>81.991428571428557</c:v>
                </c:pt>
                <c:pt idx="3">
                  <c:v>80.155714285714268</c:v>
                </c:pt>
                <c:pt idx="4">
                  <c:v>74.835714285714289</c:v>
                </c:pt>
                <c:pt idx="5">
                  <c:v>76.22571428571429</c:v>
                </c:pt>
                <c:pt idx="6">
                  <c:v>75.285714285714292</c:v>
                </c:pt>
                <c:pt idx="7">
                  <c:v>77.419999999999987</c:v>
                </c:pt>
                <c:pt idx="8">
                  <c:v>76.872857142857143</c:v>
                </c:pt>
                <c:pt idx="9">
                  <c:v>80.895714285714277</c:v>
                </c:pt>
                <c:pt idx="10">
                  <c:v>81.535714285714292</c:v>
                </c:pt>
                <c:pt idx="11">
                  <c:v>87.502857142857138</c:v>
                </c:pt>
                <c:pt idx="12">
                  <c:v>96.751428571428576</c:v>
                </c:pt>
                <c:pt idx="13">
                  <c:v>119.34142857142858</c:v>
                </c:pt>
                <c:pt idx="14">
                  <c:v>147.88428571428571</c:v>
                </c:pt>
                <c:pt idx="15">
                  <c:v>156.35142857142858</c:v>
                </c:pt>
                <c:pt idx="16">
                  <c:v>141.87285714285713</c:v>
                </c:pt>
                <c:pt idx="17">
                  <c:v>97.867142857142852</c:v>
                </c:pt>
                <c:pt idx="18">
                  <c:v>81.771428571428586</c:v>
                </c:pt>
                <c:pt idx="19">
                  <c:v>85.148571428571429</c:v>
                </c:pt>
                <c:pt idx="20">
                  <c:v>70.944285714285712</c:v>
                </c:pt>
                <c:pt idx="21">
                  <c:v>60.154285714285713</c:v>
                </c:pt>
                <c:pt idx="22">
                  <c:v>31.034285714285716</c:v>
                </c:pt>
                <c:pt idx="23">
                  <c:v>32.019999999999996</c:v>
                </c:pt>
                <c:pt idx="24">
                  <c:v>25.745714285714286</c:v>
                </c:pt>
                <c:pt idx="25">
                  <c:v>22.828750000000003</c:v>
                </c:pt>
                <c:pt idx="26">
                  <c:v>5.3885714285714297</c:v>
                </c:pt>
                <c:pt idx="27">
                  <c:v>14.288571428571428</c:v>
                </c:pt>
                <c:pt idx="28">
                  <c:v>4.0828571428571436</c:v>
                </c:pt>
                <c:pt idx="29">
                  <c:v>20.804285714285715</c:v>
                </c:pt>
                <c:pt idx="30">
                  <c:v>45.08428571428572</c:v>
                </c:pt>
                <c:pt idx="31">
                  <c:v>13.794285714285715</c:v>
                </c:pt>
                <c:pt idx="32">
                  <c:v>68.755714285714276</c:v>
                </c:pt>
                <c:pt idx="33">
                  <c:v>91.742857142857147</c:v>
                </c:pt>
                <c:pt idx="34">
                  <c:v>158.11142857142858</c:v>
                </c:pt>
                <c:pt idx="35">
                  <c:v>171.86142857142858</c:v>
                </c:pt>
                <c:pt idx="36">
                  <c:v>230.89000000000001</c:v>
                </c:pt>
                <c:pt idx="37">
                  <c:v>191.43714285714285</c:v>
                </c:pt>
                <c:pt idx="38">
                  <c:v>188.42285714285714</c:v>
                </c:pt>
                <c:pt idx="39">
                  <c:v>175.25285714285715</c:v>
                </c:pt>
                <c:pt idx="40">
                  <c:v>141.87285714285716</c:v>
                </c:pt>
                <c:pt idx="41">
                  <c:v>134.85285714285715</c:v>
                </c:pt>
                <c:pt idx="42">
                  <c:v>140.27714285714288</c:v>
                </c:pt>
                <c:pt idx="43">
                  <c:v>121.51428571428572</c:v>
                </c:pt>
                <c:pt idx="44">
                  <c:v>104.76285714285713</c:v>
                </c:pt>
                <c:pt idx="45">
                  <c:v>123.64571428571428</c:v>
                </c:pt>
                <c:pt idx="46">
                  <c:v>108.54571428571428</c:v>
                </c:pt>
                <c:pt idx="47">
                  <c:v>93.054285714285712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0-7F42-BD4A-C215E18C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74560"/>
        <c:axId val="866307040"/>
      </c:lineChart>
      <c:catAx>
        <c:axId val="87164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015"/>
        <c:crosses val="autoZero"/>
        <c:auto val="1"/>
        <c:lblAlgn val="ctr"/>
        <c:lblOffset val="100"/>
        <c:noMultiLvlLbl val="0"/>
      </c:catAx>
      <c:valAx>
        <c:axId val="1179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44832"/>
        <c:crosses val="autoZero"/>
        <c:crossBetween val="between"/>
      </c:valAx>
      <c:valAx>
        <c:axId val="8663070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74560"/>
        <c:crosses val="max"/>
        <c:crossBetween val="between"/>
      </c:valAx>
      <c:catAx>
        <c:axId val="2100374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6307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8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630289</xdr:colOff>
      <xdr:row>8</xdr:row>
      <xdr:rowOff>74069</xdr:rowOff>
    </xdr:from>
    <xdr:to>
      <xdr:col>43</xdr:col>
      <xdr:colOff>639059</xdr:colOff>
      <xdr:row>34</xdr:row>
      <xdr:rowOff>124637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E0D065-4042-9E48-A51C-D0A2D12B6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118</xdr:col>
      <xdr:colOff>680358</xdr:colOff>
      <xdr:row>302</xdr:row>
      <xdr:rowOff>90715</xdr:rowOff>
    </xdr:from>
    <xdr:to>
      <xdr:col>169</xdr:col>
      <xdr:colOff>251458</xdr:colOff>
      <xdr:row>362</xdr:row>
      <xdr:rowOff>54182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FFE898B-F3EA-594E-8598-DC693EC0E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117</xdr:col>
      <xdr:colOff>680357</xdr:colOff>
      <xdr:row>365</xdr:row>
      <xdr:rowOff>90715</xdr:rowOff>
    </xdr:from>
    <xdr:to>
      <xdr:col>168</xdr:col>
      <xdr:colOff>248284</xdr:colOff>
      <xdr:row>425</xdr:row>
      <xdr:rowOff>95910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BD5367B-09F3-624F-9DAB-5CF108D68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117</xdr:col>
      <xdr:colOff>710595</xdr:colOff>
      <xdr:row>429</xdr:row>
      <xdr:rowOff>30239</xdr:rowOff>
    </xdr:from>
    <xdr:to>
      <xdr:col>168</xdr:col>
      <xdr:colOff>278522</xdr:colOff>
      <xdr:row>489</xdr:row>
      <xdr:rowOff>42992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8EA332F-949C-9C45-9574-4006652F2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117</xdr:col>
      <xdr:colOff>362857</xdr:colOff>
      <xdr:row>519</xdr:row>
      <xdr:rowOff>90715</xdr:rowOff>
    </xdr:from>
    <xdr:to>
      <xdr:col>167</xdr:col>
      <xdr:colOff>656498</xdr:colOff>
      <xdr:row>579</xdr:row>
      <xdr:rowOff>103469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EFB4976-E2F0-EE46-8CDE-67F3AC67D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455897</xdr:colOff>
      <xdr:row>39</xdr:row>
      <xdr:rowOff>0</xdr:rowOff>
    </xdr:from>
    <xdr:to>
      <xdr:col>59</xdr:col>
      <xdr:colOff>448235</xdr:colOff>
      <xdr:row>86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1E3A75B-298D-1448-9D23-21AC6B2BE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</xdr:colOff>
      <xdr:row>107</xdr:row>
      <xdr:rowOff>0</xdr:rowOff>
    </xdr:from>
    <xdr:to>
      <xdr:col>60</xdr:col>
      <xdr:colOff>37354</xdr:colOff>
      <xdr:row>150</xdr:row>
      <xdr:rowOff>112059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7782A5C-D152-B341-8561-C8A8B45C1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-1</xdr:colOff>
      <xdr:row>152</xdr:row>
      <xdr:rowOff>20159</xdr:rowOff>
    </xdr:from>
    <xdr:to>
      <xdr:col>59</xdr:col>
      <xdr:colOff>485588</xdr:colOff>
      <xdr:row>202</xdr:row>
      <xdr:rowOff>132217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CEE5F17-3081-5F49-87DA-C2216086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685397</xdr:colOff>
      <xdr:row>205</xdr:row>
      <xdr:rowOff>0</xdr:rowOff>
    </xdr:from>
    <xdr:to>
      <xdr:col>59</xdr:col>
      <xdr:colOff>465430</xdr:colOff>
      <xdr:row>255</xdr:row>
      <xdr:rowOff>112060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9D7013C-7767-124A-B07A-CB92FD6D1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287</xdr:row>
      <xdr:rowOff>0</xdr:rowOff>
    </xdr:from>
    <xdr:to>
      <xdr:col>60</xdr:col>
      <xdr:colOff>485588</xdr:colOff>
      <xdr:row>337</xdr:row>
      <xdr:rowOff>112060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C0ACDEB-CCB4-5549-9072-23A93BB92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0</xdr:colOff>
      <xdr:row>341</xdr:row>
      <xdr:rowOff>0</xdr:rowOff>
    </xdr:from>
    <xdr:to>
      <xdr:col>60</xdr:col>
      <xdr:colOff>485588</xdr:colOff>
      <xdr:row>391</xdr:row>
      <xdr:rowOff>112060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94B543C-D3D6-5245-B893-4A052CF32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0</xdr:colOff>
      <xdr:row>400</xdr:row>
      <xdr:rowOff>0</xdr:rowOff>
    </xdr:from>
    <xdr:to>
      <xdr:col>60</xdr:col>
      <xdr:colOff>485588</xdr:colOff>
      <xdr:row>450</xdr:row>
      <xdr:rowOff>112060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FB3DEB1-4B39-B147-8409-078BDAC18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0</xdr:colOff>
      <xdr:row>454</xdr:row>
      <xdr:rowOff>0</xdr:rowOff>
    </xdr:from>
    <xdr:to>
      <xdr:col>60</xdr:col>
      <xdr:colOff>697893</xdr:colOff>
      <xdr:row>501</xdr:row>
      <xdr:rowOff>-1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F43833A-14D6-2B42-87C0-2B7DB1460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630289</xdr:colOff>
      <xdr:row>8</xdr:row>
      <xdr:rowOff>74069</xdr:rowOff>
    </xdr:from>
    <xdr:to>
      <xdr:col>43</xdr:col>
      <xdr:colOff>639059</xdr:colOff>
      <xdr:row>34</xdr:row>
      <xdr:rowOff>124637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CF3DD-933C-0E48-80B6-3774991DB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117</xdr:col>
      <xdr:colOff>680358</xdr:colOff>
      <xdr:row>302</xdr:row>
      <xdr:rowOff>90715</xdr:rowOff>
    </xdr:from>
    <xdr:to>
      <xdr:col>168</xdr:col>
      <xdr:colOff>251458</xdr:colOff>
      <xdr:row>362</xdr:row>
      <xdr:rowOff>54182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853B9F-5A11-F640-A7C0-E92E7FC73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116</xdr:col>
      <xdr:colOff>680357</xdr:colOff>
      <xdr:row>365</xdr:row>
      <xdr:rowOff>90715</xdr:rowOff>
    </xdr:from>
    <xdr:to>
      <xdr:col>167</xdr:col>
      <xdr:colOff>248284</xdr:colOff>
      <xdr:row>425</xdr:row>
      <xdr:rowOff>95910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E93F5D-EEC5-A745-A85D-530FC807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116</xdr:col>
      <xdr:colOff>710595</xdr:colOff>
      <xdr:row>429</xdr:row>
      <xdr:rowOff>30239</xdr:rowOff>
    </xdr:from>
    <xdr:to>
      <xdr:col>167</xdr:col>
      <xdr:colOff>278522</xdr:colOff>
      <xdr:row>489</xdr:row>
      <xdr:rowOff>42992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5085D4-FF6E-2940-816D-32BEAA49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116</xdr:col>
      <xdr:colOff>362857</xdr:colOff>
      <xdr:row>519</xdr:row>
      <xdr:rowOff>90715</xdr:rowOff>
    </xdr:from>
    <xdr:to>
      <xdr:col>166</xdr:col>
      <xdr:colOff>656498</xdr:colOff>
      <xdr:row>579</xdr:row>
      <xdr:rowOff>103469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51FEB7-EB76-6145-9898-D6BD10B83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616334</xdr:colOff>
      <xdr:row>8</xdr:row>
      <xdr:rowOff>96213</xdr:rowOff>
    </xdr:from>
    <xdr:to>
      <xdr:col>60</xdr:col>
      <xdr:colOff>481424</xdr:colOff>
      <xdr:row>33</xdr:row>
      <xdr:rowOff>47663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AAB22F-B454-4C4F-8340-C0B683CFC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56249</xdr:colOff>
      <xdr:row>1</xdr:row>
      <xdr:rowOff>107984</xdr:rowOff>
    </xdr:from>
    <xdr:to>
      <xdr:col>29</xdr:col>
      <xdr:colOff>448246</xdr:colOff>
      <xdr:row>28</xdr:row>
      <xdr:rowOff>98841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BA7958-FEC7-404E-8776-7DBFFD824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108</xdr:col>
      <xdr:colOff>680358</xdr:colOff>
      <xdr:row>302</xdr:row>
      <xdr:rowOff>90715</xdr:rowOff>
    </xdr:from>
    <xdr:to>
      <xdr:col>159</xdr:col>
      <xdr:colOff>251458</xdr:colOff>
      <xdr:row>362</xdr:row>
      <xdr:rowOff>54182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69F5E2-2244-F14E-9EFA-2BD7F5BC0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107</xdr:col>
      <xdr:colOff>680357</xdr:colOff>
      <xdr:row>365</xdr:row>
      <xdr:rowOff>90715</xdr:rowOff>
    </xdr:from>
    <xdr:to>
      <xdr:col>158</xdr:col>
      <xdr:colOff>248284</xdr:colOff>
      <xdr:row>425</xdr:row>
      <xdr:rowOff>95910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3797E3-6385-444F-AD37-0DDE638E5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107</xdr:col>
      <xdr:colOff>710595</xdr:colOff>
      <xdr:row>429</xdr:row>
      <xdr:rowOff>30239</xdr:rowOff>
    </xdr:from>
    <xdr:to>
      <xdr:col>158</xdr:col>
      <xdr:colOff>278522</xdr:colOff>
      <xdr:row>489</xdr:row>
      <xdr:rowOff>42992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84888B-FE9A-8C47-8B72-E9863465B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107</xdr:col>
      <xdr:colOff>362857</xdr:colOff>
      <xdr:row>519</xdr:row>
      <xdr:rowOff>90715</xdr:rowOff>
    </xdr:from>
    <xdr:to>
      <xdr:col>157</xdr:col>
      <xdr:colOff>656498</xdr:colOff>
      <xdr:row>579</xdr:row>
      <xdr:rowOff>103469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E4F83D-B90F-5740-B165-14C8DB5D7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132134</xdr:colOff>
      <xdr:row>30</xdr:row>
      <xdr:rowOff>60602</xdr:rowOff>
    </xdr:from>
    <xdr:to>
      <xdr:col>29</xdr:col>
      <xdr:colOff>538987</xdr:colOff>
      <xdr:row>57</xdr:row>
      <xdr:rowOff>51459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B88F82-53D3-4C4E-BE01-9015006B2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680358</xdr:colOff>
      <xdr:row>302</xdr:row>
      <xdr:rowOff>90715</xdr:rowOff>
    </xdr:from>
    <xdr:to>
      <xdr:col>152</xdr:col>
      <xdr:colOff>251458</xdr:colOff>
      <xdr:row>362</xdr:row>
      <xdr:rowOff>54182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5AB4AB-8E68-134E-8567-B533FAA87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100</xdr:col>
      <xdr:colOff>680357</xdr:colOff>
      <xdr:row>365</xdr:row>
      <xdr:rowOff>90715</xdr:rowOff>
    </xdr:from>
    <xdr:to>
      <xdr:col>151</xdr:col>
      <xdr:colOff>248284</xdr:colOff>
      <xdr:row>425</xdr:row>
      <xdr:rowOff>95910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9D3791-9258-6340-B780-E1A802500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100</xdr:col>
      <xdr:colOff>710595</xdr:colOff>
      <xdr:row>429</xdr:row>
      <xdr:rowOff>30239</xdr:rowOff>
    </xdr:from>
    <xdr:to>
      <xdr:col>151</xdr:col>
      <xdr:colOff>278522</xdr:colOff>
      <xdr:row>489</xdr:row>
      <xdr:rowOff>42992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EDCF85-9706-E547-9297-D35AADF5F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100</xdr:col>
      <xdr:colOff>362857</xdr:colOff>
      <xdr:row>519</xdr:row>
      <xdr:rowOff>90715</xdr:rowOff>
    </xdr:from>
    <xdr:to>
      <xdr:col>150</xdr:col>
      <xdr:colOff>656498</xdr:colOff>
      <xdr:row>579</xdr:row>
      <xdr:rowOff>103469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C23676-E229-234E-B754-258BAA181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96642</xdr:colOff>
      <xdr:row>4</xdr:row>
      <xdr:rowOff>67274</xdr:rowOff>
    </xdr:from>
    <xdr:to>
      <xdr:col>24</xdr:col>
      <xdr:colOff>484424</xdr:colOff>
      <xdr:row>31</xdr:row>
      <xdr:rowOff>58130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98A801-2620-924B-9C59-729CEADAB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179412</xdr:colOff>
      <xdr:row>35</xdr:row>
      <xdr:rowOff>18490</xdr:rowOff>
    </xdr:from>
    <xdr:to>
      <xdr:col>24</xdr:col>
      <xdr:colOff>591909</xdr:colOff>
      <xdr:row>62</xdr:row>
      <xdr:rowOff>9346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6EB43B-C1AF-E84C-A491-C7610B36C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680358</xdr:colOff>
      <xdr:row>302</xdr:row>
      <xdr:rowOff>90715</xdr:rowOff>
    </xdr:from>
    <xdr:to>
      <xdr:col>152</xdr:col>
      <xdr:colOff>251458</xdr:colOff>
      <xdr:row>362</xdr:row>
      <xdr:rowOff>54182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976018-83B1-0D48-B4B8-D7A23462F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100</xdr:col>
      <xdr:colOff>680357</xdr:colOff>
      <xdr:row>365</xdr:row>
      <xdr:rowOff>90715</xdr:rowOff>
    </xdr:from>
    <xdr:to>
      <xdr:col>151</xdr:col>
      <xdr:colOff>248284</xdr:colOff>
      <xdr:row>425</xdr:row>
      <xdr:rowOff>95910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83B930-194B-BD42-914C-15485673A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100</xdr:col>
      <xdr:colOff>710595</xdr:colOff>
      <xdr:row>429</xdr:row>
      <xdr:rowOff>30239</xdr:rowOff>
    </xdr:from>
    <xdr:to>
      <xdr:col>151</xdr:col>
      <xdr:colOff>278522</xdr:colOff>
      <xdr:row>489</xdr:row>
      <xdr:rowOff>42992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8B8B9D-E6FE-6944-9D71-1C938FB65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100</xdr:col>
      <xdr:colOff>362857</xdr:colOff>
      <xdr:row>519</xdr:row>
      <xdr:rowOff>90715</xdr:rowOff>
    </xdr:from>
    <xdr:to>
      <xdr:col>150</xdr:col>
      <xdr:colOff>656498</xdr:colOff>
      <xdr:row>579</xdr:row>
      <xdr:rowOff>103469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327952-F4A9-BC46-B544-D36767CC5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602617</xdr:colOff>
      <xdr:row>0</xdr:row>
      <xdr:rowOff>358942</xdr:rowOff>
    </xdr:from>
    <xdr:to>
      <xdr:col>24</xdr:col>
      <xdr:colOff>303913</xdr:colOff>
      <xdr:row>34</xdr:row>
      <xdr:rowOff>151642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99DBE89-F835-2943-AE7F-5627DB214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598666</xdr:colOff>
      <xdr:row>40</xdr:row>
      <xdr:rowOff>149282</xdr:rowOff>
    </xdr:from>
    <xdr:to>
      <xdr:col>24</xdr:col>
      <xdr:colOff>299962</xdr:colOff>
      <xdr:row>67</xdr:row>
      <xdr:rowOff>140138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BD9C5DE-CCA9-A24E-A3F4-91BC074C4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701453</xdr:colOff>
      <xdr:row>0</xdr:row>
      <xdr:rowOff>0</xdr:rowOff>
    </xdr:from>
    <xdr:to>
      <xdr:col>7</xdr:col>
      <xdr:colOff>189060</xdr:colOff>
      <xdr:row>4</xdr:row>
      <xdr:rowOff>194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C64CF9-A53E-D264-5390-F7D6EE685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4302" y="0"/>
          <a:ext cx="1193800" cy="647700"/>
        </a:xfrm>
        <a:prstGeom prst="rect">
          <a:avLst/>
        </a:prstGeom>
      </xdr:spPr>
    </xdr:pic>
    <xdr:clientData/>
  </xdr:twoCellAnchor>
  <xdr:twoCellAnchor editAs="oneCell">
    <xdr:from>
      <xdr:col>8</xdr:col>
      <xdr:colOff>701453</xdr:colOff>
      <xdr:row>0</xdr:row>
      <xdr:rowOff>0</xdr:rowOff>
    </xdr:from>
    <xdr:to>
      <xdr:col>8</xdr:col>
      <xdr:colOff>1628333</xdr:colOff>
      <xdr:row>4</xdr:row>
      <xdr:rowOff>48733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C67E8C-8C94-E520-8FDF-05AA00CCB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7209" y="0"/>
          <a:ext cx="927100" cy="698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191977</xdr:colOff>
      <xdr:row>0</xdr:row>
      <xdr:rowOff>14767</xdr:rowOff>
    </xdr:from>
    <xdr:to>
      <xdr:col>12</xdr:col>
      <xdr:colOff>592471</xdr:colOff>
      <xdr:row>4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E231A0-160C-61AF-9F8B-A98C5061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0640" y="14767"/>
          <a:ext cx="1803400" cy="6477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14</xdr:col>
      <xdr:colOff>327246</xdr:colOff>
      <xdr:row>4</xdr:row>
      <xdr:rowOff>86833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F41C2E-A11A-7ABA-2D51-2031470A4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03023" y="0"/>
          <a:ext cx="1028700" cy="7366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100715</xdr:colOff>
      <xdr:row>7</xdr:row>
      <xdr:rowOff>130249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AE18E4-34C7-ED2F-1941-56EFE75A0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05930" y="162442"/>
          <a:ext cx="1104900" cy="1104900"/>
        </a:xfrm>
        <a:prstGeom prst="rect">
          <a:avLst/>
        </a:prstGeom>
      </xdr:spPr>
    </xdr:pic>
    <xdr:clientData/>
  </xdr:twoCellAnchor>
  <xdr:twoCellAnchor>
    <xdr:from>
      <xdr:col>2</xdr:col>
      <xdr:colOff>616045</xdr:colOff>
      <xdr:row>9</xdr:row>
      <xdr:rowOff>63450</xdr:rowOff>
    </xdr:from>
    <xdr:to>
      <xdr:col>8</xdr:col>
      <xdr:colOff>189552</xdr:colOff>
      <xdr:row>38</xdr:row>
      <xdr:rowOff>37910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92D670-E26C-1503-48E4-76E4611B4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603250</xdr:colOff>
      <xdr:row>4</xdr:row>
      <xdr:rowOff>107950</xdr:rowOff>
    </xdr:from>
    <xdr:to>
      <xdr:col>30</xdr:col>
      <xdr:colOff>177800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6CDE1F-BB32-E1C1-7D94-5795A6827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382233</xdr:colOff>
      <xdr:row>8</xdr:row>
      <xdr:rowOff>53389</xdr:rowOff>
    </xdr:from>
    <xdr:to>
      <xdr:col>25</xdr:col>
      <xdr:colOff>352672</xdr:colOff>
      <xdr:row>26</xdr:row>
      <xdr:rowOff>149090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98DC9-76DD-EE4C-A991-14465899D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187739</xdr:colOff>
      <xdr:row>5</xdr:row>
      <xdr:rowOff>110434</xdr:rowOff>
    </xdr:from>
    <xdr:to>
      <xdr:col>15</xdr:col>
      <xdr:colOff>225508</xdr:colOff>
      <xdr:row>23</xdr:row>
      <xdr:rowOff>110435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E62CA-0F0D-A0BA-CEF9-9E4F4B7E0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1155700</xdr:colOff>
      <xdr:row>10</xdr:row>
      <xdr:rowOff>12700</xdr:rowOff>
    </xdr:from>
    <xdr:to>
      <xdr:col>9</xdr:col>
      <xdr:colOff>355600</xdr:colOff>
      <xdr:row>26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299208-D7F5-C8E5-33D2-A2607D874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cuments/Jobs/archive/NSW%20DCCEEW/543528%20Work%20Task%20-%20NSW%20electricity%20market%20data%20(Repaired).xlsx" TargetMode="External"/><Relationship Id="rId1" Type="http://schemas.openxmlformats.org/officeDocument/2006/relationships/externalLinkPath" Target="/Users/keirenbrandt-sawdy/Documents/Jobs/archive/NSW%20DCCEEW/543528%20Work%20Task%20-%20NSW%20electricity%20market%20data%20(Repai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"/>
      <sheetName val="Tables&amp;Charts"/>
      <sheetName val="NSW market data"/>
      <sheetName val="Prices"/>
      <sheetName val="Sheet2"/>
      <sheetName val="Sheet6"/>
      <sheetName val="Sheet7"/>
      <sheetName val="Sheet8"/>
    </sheetNames>
    <sheetDataSet>
      <sheetData sheetId="0"/>
      <sheetData sheetId="1"/>
      <sheetData sheetId="2"/>
      <sheetData sheetId="3"/>
      <sheetData sheetId="4">
        <row r="1">
          <cell r="A1" t="str">
            <v>date</v>
          </cell>
          <cell r="F1" t="str">
            <v>Coal (Black) -  MW</v>
          </cell>
          <cell r="G1" t="str">
            <v>Bioenergy (Biomass) -  MW</v>
          </cell>
          <cell r="H1" t="str">
            <v>Gas (CCGT) -  MW</v>
          </cell>
          <cell r="I1" t="str">
            <v>Gas (OCGT) -  MW</v>
          </cell>
          <cell r="J1" t="str">
            <v>Battery (Discharging) -  MW</v>
          </cell>
          <cell r="K1" t="str">
            <v>Hydro -  MW</v>
          </cell>
          <cell r="L1" t="str">
            <v>Wind -  MW</v>
          </cell>
          <cell r="M1" t="str">
            <v>Solar (Utility) -  MW</v>
          </cell>
          <cell r="N1" t="str">
            <v>Solar (Rooftop) -  MW</v>
          </cell>
          <cell r="W1" t="str">
            <v>Price - AUD/MWh</v>
          </cell>
        </row>
        <row r="2">
          <cell r="F2">
            <v>3381.98</v>
          </cell>
          <cell r="G2">
            <v>28.92</v>
          </cell>
          <cell r="H2">
            <v>0</v>
          </cell>
          <cell r="I2">
            <v>37.35</v>
          </cell>
          <cell r="J2">
            <v>353.88</v>
          </cell>
          <cell r="K2">
            <v>0</v>
          </cell>
          <cell r="L2">
            <v>1569.25</v>
          </cell>
          <cell r="M2">
            <v>1561.96</v>
          </cell>
          <cell r="N2">
            <v>0</v>
          </cell>
          <cell r="W2">
            <v>-22.01</v>
          </cell>
        </row>
        <row r="3">
          <cell r="F3">
            <v>3430.37</v>
          </cell>
          <cell r="G3">
            <v>29.64</v>
          </cell>
          <cell r="H3">
            <v>0</v>
          </cell>
          <cell r="I3">
            <v>37.369999999999997</v>
          </cell>
          <cell r="J3">
            <v>152.37</v>
          </cell>
          <cell r="K3">
            <v>0</v>
          </cell>
          <cell r="L3">
            <v>1626.93</v>
          </cell>
          <cell r="M3">
            <v>1760.86</v>
          </cell>
          <cell r="N3">
            <v>1653.29</v>
          </cell>
          <cell r="W3">
            <v>-14.01</v>
          </cell>
        </row>
        <row r="4">
          <cell r="F4">
            <v>3463.22</v>
          </cell>
          <cell r="G4">
            <v>20.71</v>
          </cell>
          <cell r="H4">
            <v>0</v>
          </cell>
          <cell r="I4">
            <v>37.19</v>
          </cell>
          <cell r="J4">
            <v>1.82</v>
          </cell>
          <cell r="K4">
            <v>0</v>
          </cell>
          <cell r="L4">
            <v>1717.61</v>
          </cell>
          <cell r="M4">
            <v>1879.89</v>
          </cell>
          <cell r="N4">
            <v>3109.92</v>
          </cell>
          <cell r="W4">
            <v>13.96</v>
          </cell>
        </row>
        <row r="5">
          <cell r="F5">
            <v>3444.6</v>
          </cell>
          <cell r="G5">
            <v>11.93</v>
          </cell>
          <cell r="H5">
            <v>1.17</v>
          </cell>
          <cell r="I5">
            <v>38.090000000000003</v>
          </cell>
          <cell r="J5">
            <v>97.38</v>
          </cell>
          <cell r="K5">
            <v>0</v>
          </cell>
          <cell r="L5">
            <v>1735.37</v>
          </cell>
          <cell r="M5">
            <v>1686.57</v>
          </cell>
          <cell r="N5">
            <v>2800.7</v>
          </cell>
          <cell r="W5">
            <v>0.04</v>
          </cell>
        </row>
        <row r="6">
          <cell r="F6">
            <v>3513.54</v>
          </cell>
          <cell r="G6">
            <v>11.22</v>
          </cell>
          <cell r="H6">
            <v>52.33</v>
          </cell>
          <cell r="I6">
            <v>38.33</v>
          </cell>
          <cell r="J6">
            <v>241.68</v>
          </cell>
          <cell r="K6">
            <v>0</v>
          </cell>
          <cell r="L6">
            <v>1759.84</v>
          </cell>
          <cell r="M6">
            <v>1445.08</v>
          </cell>
          <cell r="N6">
            <v>2425.0500000000002</v>
          </cell>
          <cell r="W6">
            <v>20.3</v>
          </cell>
        </row>
        <row r="7">
          <cell r="F7">
            <v>3972.11</v>
          </cell>
          <cell r="G7">
            <v>12.25</v>
          </cell>
          <cell r="H7">
            <v>179.83</v>
          </cell>
          <cell r="I7">
            <v>37.979999999999997</v>
          </cell>
          <cell r="J7">
            <v>78.8</v>
          </cell>
          <cell r="K7">
            <v>0</v>
          </cell>
          <cell r="L7">
            <v>1832.99</v>
          </cell>
          <cell r="M7">
            <v>1392.68</v>
          </cell>
          <cell r="N7">
            <v>1963.82</v>
          </cell>
          <cell r="W7">
            <v>46.74</v>
          </cell>
        </row>
        <row r="8">
          <cell r="F8">
            <v>4521.03</v>
          </cell>
          <cell r="G8">
            <v>11.73</v>
          </cell>
          <cell r="H8">
            <v>190</v>
          </cell>
          <cell r="I8">
            <v>38.64</v>
          </cell>
          <cell r="J8">
            <v>235.41</v>
          </cell>
          <cell r="K8">
            <v>0</v>
          </cell>
          <cell r="L8">
            <v>1820.41</v>
          </cell>
          <cell r="M8">
            <v>1220.54</v>
          </cell>
          <cell r="N8">
            <v>1440.64</v>
          </cell>
          <cell r="W8">
            <v>-11.05</v>
          </cell>
        </row>
        <row r="9">
          <cell r="F9">
            <v>5370.25</v>
          </cell>
          <cell r="G9">
            <v>13.43</v>
          </cell>
          <cell r="H9">
            <v>199.67</v>
          </cell>
          <cell r="I9">
            <v>40.81</v>
          </cell>
          <cell r="J9">
            <v>60.13</v>
          </cell>
          <cell r="K9">
            <v>11.96</v>
          </cell>
          <cell r="L9">
            <v>1870.99</v>
          </cell>
          <cell r="M9">
            <v>1049.7</v>
          </cell>
          <cell r="N9">
            <v>914.26</v>
          </cell>
          <cell r="W9">
            <v>37.74</v>
          </cell>
        </row>
        <row r="10">
          <cell r="F10">
            <v>6233.9</v>
          </cell>
          <cell r="G10">
            <v>1.38</v>
          </cell>
          <cell r="H10">
            <v>345.83</v>
          </cell>
          <cell r="I10">
            <v>41.5</v>
          </cell>
          <cell r="J10">
            <v>186.7</v>
          </cell>
          <cell r="K10">
            <v>76.8</v>
          </cell>
          <cell r="L10">
            <v>1904.08</v>
          </cell>
          <cell r="M10">
            <v>592.71</v>
          </cell>
          <cell r="N10">
            <v>440.91</v>
          </cell>
          <cell r="W10">
            <v>63.4</v>
          </cell>
        </row>
        <row r="11">
          <cell r="F11">
            <v>6792.19</v>
          </cell>
          <cell r="G11">
            <v>-0.54</v>
          </cell>
          <cell r="H11">
            <v>447.33</v>
          </cell>
          <cell r="I11">
            <v>159.38</v>
          </cell>
          <cell r="J11">
            <v>279.3</v>
          </cell>
          <cell r="K11">
            <v>506.54</v>
          </cell>
          <cell r="L11">
            <v>1924.31</v>
          </cell>
          <cell r="M11">
            <v>166.79</v>
          </cell>
          <cell r="N11">
            <v>116.99</v>
          </cell>
          <cell r="W11">
            <v>100.59</v>
          </cell>
        </row>
        <row r="12">
          <cell r="F12">
            <v>7173.65</v>
          </cell>
          <cell r="G12">
            <v>-1.78</v>
          </cell>
          <cell r="H12">
            <v>445.5</v>
          </cell>
          <cell r="I12">
            <v>207.84</v>
          </cell>
          <cell r="J12">
            <v>202.42</v>
          </cell>
          <cell r="K12">
            <v>692.02</v>
          </cell>
          <cell r="L12">
            <v>1944.45</v>
          </cell>
          <cell r="M12">
            <v>8.5399999999999991</v>
          </cell>
          <cell r="N12">
            <v>12.03</v>
          </cell>
          <cell r="W12">
            <v>135.19999999999999</v>
          </cell>
        </row>
        <row r="13">
          <cell r="F13">
            <v>7371.04</v>
          </cell>
          <cell r="G13">
            <v>-1.23</v>
          </cell>
          <cell r="H13">
            <v>445.5</v>
          </cell>
          <cell r="I13">
            <v>208.9</v>
          </cell>
          <cell r="J13">
            <v>204.59</v>
          </cell>
          <cell r="K13">
            <v>993.21</v>
          </cell>
          <cell r="L13">
            <v>1999.15</v>
          </cell>
          <cell r="M13">
            <v>0.02</v>
          </cell>
          <cell r="N13">
            <v>0.09</v>
          </cell>
          <cell r="W13">
            <v>163.44999999999999</v>
          </cell>
        </row>
        <row r="14">
          <cell r="F14">
            <v>7404.26</v>
          </cell>
          <cell r="G14">
            <v>-0.77</v>
          </cell>
          <cell r="H14">
            <v>445.33</v>
          </cell>
          <cell r="I14">
            <v>208.73</v>
          </cell>
          <cell r="J14">
            <v>254.8</v>
          </cell>
          <cell r="K14">
            <v>941.37</v>
          </cell>
          <cell r="L14">
            <v>2028.92</v>
          </cell>
          <cell r="M14">
            <v>0.02</v>
          </cell>
          <cell r="N14">
            <v>0</v>
          </cell>
          <cell r="W14">
            <v>129.05000000000001</v>
          </cell>
        </row>
        <row r="15">
          <cell r="F15">
            <v>7406.87</v>
          </cell>
          <cell r="G15">
            <v>-0.91</v>
          </cell>
          <cell r="H15">
            <v>446</v>
          </cell>
          <cell r="I15">
            <v>207.75</v>
          </cell>
          <cell r="J15">
            <v>132.97999999999999</v>
          </cell>
          <cell r="K15">
            <v>961.9</v>
          </cell>
          <cell r="L15">
            <v>1986.17</v>
          </cell>
          <cell r="M15">
            <v>0.02</v>
          </cell>
          <cell r="N15">
            <v>0</v>
          </cell>
          <cell r="W15">
            <v>133.6</v>
          </cell>
        </row>
        <row r="16">
          <cell r="F16">
            <v>7405.12</v>
          </cell>
          <cell r="G16">
            <v>-0.89</v>
          </cell>
          <cell r="H16">
            <v>445.83</v>
          </cell>
          <cell r="I16">
            <v>208.19</v>
          </cell>
          <cell r="J16">
            <v>61.78</v>
          </cell>
          <cell r="K16">
            <v>967.99</v>
          </cell>
          <cell r="L16">
            <v>1944.55</v>
          </cell>
          <cell r="M16">
            <v>0.02</v>
          </cell>
          <cell r="N16">
            <v>0</v>
          </cell>
          <cell r="W16">
            <v>123.74</v>
          </cell>
        </row>
        <row r="17">
          <cell r="F17">
            <v>7406.79</v>
          </cell>
          <cell r="G17">
            <v>-0.47</v>
          </cell>
          <cell r="H17">
            <v>446</v>
          </cell>
          <cell r="I17">
            <v>202.7</v>
          </cell>
          <cell r="J17">
            <v>51.27</v>
          </cell>
          <cell r="K17">
            <v>963.75</v>
          </cell>
          <cell r="L17">
            <v>1893.48</v>
          </cell>
          <cell r="M17">
            <v>0.02</v>
          </cell>
          <cell r="N17">
            <v>0</v>
          </cell>
          <cell r="W17">
            <v>111.94</v>
          </cell>
        </row>
        <row r="18">
          <cell r="F18">
            <v>7394.76</v>
          </cell>
          <cell r="G18">
            <v>-0.82</v>
          </cell>
          <cell r="H18">
            <v>448.33</v>
          </cell>
          <cell r="I18">
            <v>134.81</v>
          </cell>
          <cell r="J18">
            <v>4.51</v>
          </cell>
          <cell r="K18">
            <v>940.19</v>
          </cell>
          <cell r="L18">
            <v>1840.63</v>
          </cell>
          <cell r="M18">
            <v>0.02</v>
          </cell>
          <cell r="N18">
            <v>0</v>
          </cell>
          <cell r="W18">
            <v>96.23</v>
          </cell>
        </row>
        <row r="19">
          <cell r="F19">
            <v>7400.16</v>
          </cell>
          <cell r="G19">
            <v>-1.1000000000000001</v>
          </cell>
          <cell r="H19">
            <v>446.83</v>
          </cell>
          <cell r="I19">
            <v>43.05</v>
          </cell>
          <cell r="J19">
            <v>6.95</v>
          </cell>
          <cell r="K19">
            <v>890.52</v>
          </cell>
          <cell r="L19">
            <v>1711.43</v>
          </cell>
          <cell r="M19">
            <v>0.02</v>
          </cell>
          <cell r="N19">
            <v>0</v>
          </cell>
          <cell r="W19">
            <v>96.52</v>
          </cell>
        </row>
        <row r="20">
          <cell r="F20">
            <v>7394.61</v>
          </cell>
          <cell r="G20">
            <v>-0.79</v>
          </cell>
          <cell r="H20">
            <v>445.67</v>
          </cell>
          <cell r="I20">
            <v>42.96</v>
          </cell>
          <cell r="J20">
            <v>2.73</v>
          </cell>
          <cell r="K20">
            <v>579.07000000000005</v>
          </cell>
          <cell r="L20">
            <v>1597.28</v>
          </cell>
          <cell r="M20">
            <v>0.02</v>
          </cell>
          <cell r="N20">
            <v>0</v>
          </cell>
          <cell r="W20">
            <v>106.16</v>
          </cell>
        </row>
        <row r="21">
          <cell r="F21">
            <v>7344.47</v>
          </cell>
          <cell r="G21">
            <v>-0.79</v>
          </cell>
          <cell r="H21">
            <v>437.5</v>
          </cell>
          <cell r="I21">
            <v>43.81</v>
          </cell>
          <cell r="J21">
            <v>0.04</v>
          </cell>
          <cell r="K21">
            <v>453.65</v>
          </cell>
          <cell r="L21">
            <v>1542.07</v>
          </cell>
          <cell r="M21">
            <v>0.02</v>
          </cell>
          <cell r="N21">
            <v>0</v>
          </cell>
          <cell r="W21">
            <v>100.01</v>
          </cell>
        </row>
        <row r="22">
          <cell r="F22">
            <v>7331.12</v>
          </cell>
          <cell r="G22">
            <v>-0.99</v>
          </cell>
          <cell r="H22">
            <v>448.67</v>
          </cell>
          <cell r="I22">
            <v>44.19</v>
          </cell>
          <cell r="J22">
            <v>13.33</v>
          </cell>
          <cell r="K22">
            <v>419</v>
          </cell>
          <cell r="L22">
            <v>1524.18</v>
          </cell>
          <cell r="M22">
            <v>0.02</v>
          </cell>
          <cell r="N22">
            <v>0</v>
          </cell>
          <cell r="W22">
            <v>100.01</v>
          </cell>
        </row>
        <row r="23">
          <cell r="F23">
            <v>7136.3</v>
          </cell>
          <cell r="G23">
            <v>-0.71</v>
          </cell>
          <cell r="H23">
            <v>440.5</v>
          </cell>
          <cell r="I23">
            <v>44.26</v>
          </cell>
          <cell r="J23">
            <v>8.36</v>
          </cell>
          <cell r="K23">
            <v>426.01</v>
          </cell>
          <cell r="L23">
            <v>1476.49</v>
          </cell>
          <cell r="M23">
            <v>0.02</v>
          </cell>
          <cell r="N23">
            <v>0</v>
          </cell>
          <cell r="W23">
            <v>100.01</v>
          </cell>
        </row>
        <row r="24">
          <cell r="F24">
            <v>6924.32</v>
          </cell>
          <cell r="G24">
            <v>-1.29</v>
          </cell>
          <cell r="H24">
            <v>443</v>
          </cell>
          <cell r="I24">
            <v>43.43</v>
          </cell>
          <cell r="J24">
            <v>4.6500000000000004</v>
          </cell>
          <cell r="K24">
            <v>266.63</v>
          </cell>
          <cell r="L24">
            <v>1382.8</v>
          </cell>
          <cell r="M24">
            <v>0.02</v>
          </cell>
          <cell r="N24">
            <v>0</v>
          </cell>
          <cell r="W24">
            <v>99.24</v>
          </cell>
        </row>
        <row r="25">
          <cell r="F25">
            <v>6706.91</v>
          </cell>
          <cell r="G25">
            <v>-1.49</v>
          </cell>
          <cell r="H25">
            <v>357.83</v>
          </cell>
          <cell r="I25">
            <v>43.2</v>
          </cell>
          <cell r="J25">
            <v>5.28</v>
          </cell>
          <cell r="K25">
            <v>368.5</v>
          </cell>
          <cell r="L25">
            <v>1309.52</v>
          </cell>
          <cell r="M25">
            <v>0.02</v>
          </cell>
          <cell r="N25">
            <v>0</v>
          </cell>
          <cell r="W25">
            <v>88.25</v>
          </cell>
        </row>
        <row r="26">
          <cell r="F26">
            <v>6653.65</v>
          </cell>
          <cell r="G26">
            <v>-0.83</v>
          </cell>
          <cell r="H26">
            <v>300.5</v>
          </cell>
          <cell r="I26">
            <v>43.07</v>
          </cell>
          <cell r="J26">
            <v>5.2</v>
          </cell>
          <cell r="K26">
            <v>550.14</v>
          </cell>
          <cell r="L26">
            <v>1326.11</v>
          </cell>
          <cell r="M26">
            <v>0.02</v>
          </cell>
          <cell r="N26">
            <v>0</v>
          </cell>
          <cell r="W26">
            <v>78.92</v>
          </cell>
        </row>
        <row r="27">
          <cell r="F27">
            <v>6514.32</v>
          </cell>
          <cell r="G27">
            <v>-0.99</v>
          </cell>
          <cell r="H27">
            <v>291.83</v>
          </cell>
          <cell r="I27">
            <v>43.06</v>
          </cell>
          <cell r="J27">
            <v>1.08</v>
          </cell>
          <cell r="K27">
            <v>554.45000000000005</v>
          </cell>
          <cell r="L27">
            <v>1360.1</v>
          </cell>
          <cell r="M27">
            <v>0.02</v>
          </cell>
          <cell r="N27">
            <v>0</v>
          </cell>
          <cell r="W27">
            <v>80.59</v>
          </cell>
        </row>
        <row r="28">
          <cell r="F28">
            <v>6333.29</v>
          </cell>
          <cell r="G28">
            <v>-0.74</v>
          </cell>
          <cell r="H28">
            <v>194.17</v>
          </cell>
          <cell r="I28">
            <v>43.13</v>
          </cell>
          <cell r="J28">
            <v>2.64</v>
          </cell>
          <cell r="K28">
            <v>345.43</v>
          </cell>
          <cell r="L28">
            <v>1420.98</v>
          </cell>
          <cell r="M28">
            <v>0.02</v>
          </cell>
          <cell r="N28">
            <v>0</v>
          </cell>
          <cell r="W28">
            <v>82.29</v>
          </cell>
        </row>
        <row r="29">
          <cell r="F29">
            <v>6183.43</v>
          </cell>
          <cell r="G29">
            <v>-0.75</v>
          </cell>
          <cell r="H29">
            <v>190</v>
          </cell>
          <cell r="I29">
            <v>43.12</v>
          </cell>
          <cell r="J29">
            <v>3.17</v>
          </cell>
          <cell r="K29">
            <v>245.01</v>
          </cell>
          <cell r="L29">
            <v>1340.77</v>
          </cell>
          <cell r="M29">
            <v>0.02</v>
          </cell>
          <cell r="N29">
            <v>0</v>
          </cell>
          <cell r="W29">
            <v>80.709999999999994</v>
          </cell>
        </row>
        <row r="30">
          <cell r="F30">
            <v>6012.58</v>
          </cell>
          <cell r="G30">
            <v>-0.76</v>
          </cell>
          <cell r="H30">
            <v>190</v>
          </cell>
          <cell r="I30">
            <v>43.23</v>
          </cell>
          <cell r="J30">
            <v>2.41</v>
          </cell>
          <cell r="K30">
            <v>268.77</v>
          </cell>
          <cell r="L30">
            <v>1443.86</v>
          </cell>
          <cell r="M30">
            <v>0.02</v>
          </cell>
          <cell r="N30">
            <v>0</v>
          </cell>
          <cell r="W30">
            <v>84.85</v>
          </cell>
        </row>
        <row r="31">
          <cell r="F31">
            <v>5886.86</v>
          </cell>
          <cell r="G31">
            <v>-0.85</v>
          </cell>
          <cell r="H31">
            <v>190</v>
          </cell>
          <cell r="I31">
            <v>43.27</v>
          </cell>
          <cell r="J31">
            <v>2.5499999999999998</v>
          </cell>
          <cell r="K31">
            <v>154.43</v>
          </cell>
          <cell r="L31">
            <v>1499.18</v>
          </cell>
          <cell r="M31">
            <v>0.02</v>
          </cell>
          <cell r="N31">
            <v>0</v>
          </cell>
          <cell r="W31">
            <v>79.08</v>
          </cell>
        </row>
        <row r="32">
          <cell r="F32">
            <v>5576.23</v>
          </cell>
          <cell r="G32">
            <v>-0.73</v>
          </cell>
          <cell r="H32">
            <v>190</v>
          </cell>
          <cell r="I32">
            <v>43.26</v>
          </cell>
          <cell r="J32">
            <v>0</v>
          </cell>
          <cell r="K32">
            <v>146.91999999999999</v>
          </cell>
          <cell r="L32">
            <v>1488.17</v>
          </cell>
          <cell r="M32">
            <v>0.02</v>
          </cell>
          <cell r="N32">
            <v>0</v>
          </cell>
          <cell r="W32">
            <v>84.85</v>
          </cell>
        </row>
        <row r="33">
          <cell r="F33">
            <v>5208.9399999999996</v>
          </cell>
          <cell r="G33">
            <v>-1.29</v>
          </cell>
          <cell r="H33">
            <v>199</v>
          </cell>
          <cell r="I33">
            <v>43.36</v>
          </cell>
          <cell r="J33">
            <v>0.73</v>
          </cell>
          <cell r="K33">
            <v>151.85</v>
          </cell>
          <cell r="L33">
            <v>1509.53</v>
          </cell>
          <cell r="M33">
            <v>0.02</v>
          </cell>
          <cell r="N33">
            <v>0</v>
          </cell>
          <cell r="W33">
            <v>84.85</v>
          </cell>
        </row>
        <row r="34">
          <cell r="F34">
            <v>4885.05</v>
          </cell>
          <cell r="G34">
            <v>-0.95</v>
          </cell>
          <cell r="H34">
            <v>208.33</v>
          </cell>
          <cell r="I34">
            <v>43.29</v>
          </cell>
          <cell r="J34">
            <v>1.2</v>
          </cell>
          <cell r="K34">
            <v>161.01</v>
          </cell>
          <cell r="L34">
            <v>1425.83</v>
          </cell>
          <cell r="M34">
            <v>0.02</v>
          </cell>
          <cell r="N34">
            <v>0</v>
          </cell>
          <cell r="W34">
            <v>85.11</v>
          </cell>
        </row>
        <row r="35">
          <cell r="F35">
            <v>4551.1000000000004</v>
          </cell>
          <cell r="G35">
            <v>-0.84</v>
          </cell>
          <cell r="H35">
            <v>258.33</v>
          </cell>
          <cell r="I35">
            <v>43.34</v>
          </cell>
          <cell r="J35">
            <v>5.23</v>
          </cell>
          <cell r="K35">
            <v>165.47</v>
          </cell>
          <cell r="L35">
            <v>1482.43</v>
          </cell>
          <cell r="M35">
            <v>0.02</v>
          </cell>
          <cell r="N35">
            <v>0</v>
          </cell>
          <cell r="W35">
            <v>84.85</v>
          </cell>
        </row>
        <row r="36">
          <cell r="F36">
            <v>4439.37</v>
          </cell>
          <cell r="G36">
            <v>-1.22</v>
          </cell>
          <cell r="H36">
            <v>308</v>
          </cell>
          <cell r="I36">
            <v>188.84</v>
          </cell>
          <cell r="J36">
            <v>5.26</v>
          </cell>
          <cell r="K36">
            <v>246.49</v>
          </cell>
          <cell r="L36">
            <v>1371.53</v>
          </cell>
          <cell r="M36">
            <v>0.02</v>
          </cell>
          <cell r="N36">
            <v>0</v>
          </cell>
          <cell r="W36">
            <v>91.72</v>
          </cell>
        </row>
        <row r="37">
          <cell r="F37">
            <v>4467.91</v>
          </cell>
          <cell r="G37">
            <v>-1.65</v>
          </cell>
          <cell r="H37">
            <v>442.17</v>
          </cell>
          <cell r="I37">
            <v>276.87</v>
          </cell>
          <cell r="J37">
            <v>7.77</v>
          </cell>
          <cell r="K37">
            <v>455.65</v>
          </cell>
          <cell r="L37">
            <v>1262.98</v>
          </cell>
          <cell r="M37">
            <v>0.02</v>
          </cell>
          <cell r="N37">
            <v>0</v>
          </cell>
          <cell r="W37">
            <v>96.72</v>
          </cell>
        </row>
        <row r="38">
          <cell r="F38">
            <v>4683.13</v>
          </cell>
          <cell r="G38">
            <v>-0.77</v>
          </cell>
          <cell r="H38">
            <v>444.67</v>
          </cell>
          <cell r="I38">
            <v>366.33</v>
          </cell>
          <cell r="J38">
            <v>113.87</v>
          </cell>
          <cell r="K38">
            <v>576.05999999999995</v>
          </cell>
          <cell r="L38">
            <v>1211.46</v>
          </cell>
          <cell r="M38">
            <v>0.02</v>
          </cell>
          <cell r="N38">
            <v>0.12</v>
          </cell>
          <cell r="W38">
            <v>108.08</v>
          </cell>
        </row>
        <row r="39">
          <cell r="F39">
            <v>4935.49</v>
          </cell>
          <cell r="G39">
            <v>-0.84</v>
          </cell>
          <cell r="H39">
            <v>445.83</v>
          </cell>
          <cell r="I39">
            <v>398.12</v>
          </cell>
          <cell r="J39">
            <v>144.33000000000001</v>
          </cell>
          <cell r="K39">
            <v>649.33000000000004</v>
          </cell>
          <cell r="L39">
            <v>1196.57</v>
          </cell>
          <cell r="M39">
            <v>3.98</v>
          </cell>
          <cell r="N39">
            <v>7.55</v>
          </cell>
          <cell r="W39">
            <v>138.79</v>
          </cell>
        </row>
        <row r="40">
          <cell r="F40">
            <v>5117.78</v>
          </cell>
          <cell r="G40">
            <v>-0.57999999999999996</v>
          </cell>
          <cell r="H40">
            <v>444.83</v>
          </cell>
          <cell r="I40">
            <v>470.75</v>
          </cell>
          <cell r="J40">
            <v>142.56</v>
          </cell>
          <cell r="K40">
            <v>674.62</v>
          </cell>
          <cell r="L40">
            <v>1088.75</v>
          </cell>
          <cell r="M40">
            <v>106.34</v>
          </cell>
          <cell r="N40">
            <v>90.41</v>
          </cell>
          <cell r="W40">
            <v>144.01</v>
          </cell>
        </row>
        <row r="41">
          <cell r="F41">
            <v>5303.66</v>
          </cell>
          <cell r="G41">
            <v>-0.16</v>
          </cell>
          <cell r="H41">
            <v>443.83</v>
          </cell>
          <cell r="I41">
            <v>526.64</v>
          </cell>
          <cell r="J41">
            <v>58.45</v>
          </cell>
          <cell r="K41">
            <v>649.25</v>
          </cell>
          <cell r="L41">
            <v>1027.05</v>
          </cell>
          <cell r="M41">
            <v>454.44</v>
          </cell>
          <cell r="N41">
            <v>375.8</v>
          </cell>
          <cell r="W41">
            <v>178</v>
          </cell>
        </row>
        <row r="42">
          <cell r="F42">
            <v>5316.74</v>
          </cell>
          <cell r="G42">
            <v>-0.73</v>
          </cell>
          <cell r="H42">
            <v>429.67</v>
          </cell>
          <cell r="I42">
            <v>443.49</v>
          </cell>
          <cell r="J42">
            <v>21.3</v>
          </cell>
          <cell r="K42">
            <v>506.13</v>
          </cell>
          <cell r="L42">
            <v>922.26</v>
          </cell>
          <cell r="M42">
            <v>982.56</v>
          </cell>
          <cell r="N42">
            <v>830.33</v>
          </cell>
          <cell r="W42">
            <v>127.56</v>
          </cell>
        </row>
        <row r="43">
          <cell r="F43">
            <v>4978.33</v>
          </cell>
          <cell r="G43">
            <v>-0.99</v>
          </cell>
          <cell r="H43">
            <v>240</v>
          </cell>
          <cell r="I43">
            <v>272.06</v>
          </cell>
          <cell r="J43">
            <v>2.87</v>
          </cell>
          <cell r="K43">
            <v>251.97</v>
          </cell>
          <cell r="L43">
            <v>928.76</v>
          </cell>
          <cell r="M43">
            <v>1604.72</v>
          </cell>
          <cell r="N43">
            <v>1368.94</v>
          </cell>
          <cell r="W43">
            <v>100.01</v>
          </cell>
        </row>
        <row r="44">
          <cell r="F44">
            <v>4610.5200000000004</v>
          </cell>
          <cell r="G44">
            <v>-1.86</v>
          </cell>
          <cell r="H44">
            <v>6.33</v>
          </cell>
          <cell r="I44">
            <v>138.19999999999999</v>
          </cell>
          <cell r="J44">
            <v>14.61</v>
          </cell>
          <cell r="K44">
            <v>162.88</v>
          </cell>
          <cell r="L44">
            <v>954.13</v>
          </cell>
          <cell r="M44">
            <v>1895.65</v>
          </cell>
          <cell r="N44">
            <v>1912.81</v>
          </cell>
          <cell r="W44">
            <v>100.01</v>
          </cell>
        </row>
        <row r="45">
          <cell r="F45">
            <v>4159.3</v>
          </cell>
          <cell r="G45">
            <v>-4.28</v>
          </cell>
          <cell r="H45">
            <v>0</v>
          </cell>
          <cell r="I45">
            <v>44.13</v>
          </cell>
          <cell r="J45">
            <v>4.43</v>
          </cell>
          <cell r="K45">
            <v>22.68</v>
          </cell>
          <cell r="L45">
            <v>950.09</v>
          </cell>
          <cell r="M45">
            <v>2152.4499999999998</v>
          </cell>
          <cell r="N45">
            <v>2415.17</v>
          </cell>
          <cell r="W45">
            <v>84.85</v>
          </cell>
        </row>
        <row r="46">
          <cell r="F46">
            <v>3605.46</v>
          </cell>
          <cell r="G46">
            <v>-5.28</v>
          </cell>
          <cell r="H46">
            <v>0</v>
          </cell>
          <cell r="I46">
            <v>41.45</v>
          </cell>
          <cell r="J46">
            <v>0.02</v>
          </cell>
          <cell r="K46">
            <v>0</v>
          </cell>
          <cell r="L46">
            <v>940.09</v>
          </cell>
          <cell r="M46">
            <v>2357.34</v>
          </cell>
          <cell r="N46">
            <v>2838.32</v>
          </cell>
          <cell r="W46">
            <v>8.01</v>
          </cell>
        </row>
        <row r="47">
          <cell r="F47">
            <v>3174.08</v>
          </cell>
          <cell r="G47">
            <v>-2.37</v>
          </cell>
          <cell r="H47">
            <v>0</v>
          </cell>
          <cell r="I47">
            <v>45.3</v>
          </cell>
          <cell r="J47">
            <v>0</v>
          </cell>
          <cell r="K47">
            <v>0</v>
          </cell>
          <cell r="L47">
            <v>934</v>
          </cell>
          <cell r="M47">
            <v>2465.61</v>
          </cell>
          <cell r="N47">
            <v>3144.54</v>
          </cell>
          <cell r="W47">
            <v>5</v>
          </cell>
        </row>
        <row r="48">
          <cell r="F48">
            <v>3001.72</v>
          </cell>
          <cell r="G48">
            <v>1.53</v>
          </cell>
          <cell r="H48">
            <v>0</v>
          </cell>
          <cell r="I48">
            <v>44.94</v>
          </cell>
          <cell r="J48">
            <v>0.54</v>
          </cell>
          <cell r="K48">
            <v>0</v>
          </cell>
          <cell r="L48">
            <v>990.65</v>
          </cell>
          <cell r="M48">
            <v>2647.82</v>
          </cell>
          <cell r="N48">
            <v>3349.84</v>
          </cell>
          <cell r="W48">
            <v>-8.9499999999999993</v>
          </cell>
        </row>
        <row r="49">
          <cell r="F49">
            <v>2956.86</v>
          </cell>
          <cell r="G49">
            <v>1.76</v>
          </cell>
          <cell r="H49">
            <v>0</v>
          </cell>
          <cell r="I49">
            <v>44.95</v>
          </cell>
          <cell r="J49">
            <v>0.08</v>
          </cell>
          <cell r="K49">
            <v>0</v>
          </cell>
          <cell r="L49">
            <v>997.2</v>
          </cell>
          <cell r="M49">
            <v>2598.02</v>
          </cell>
          <cell r="N49">
            <v>3470.55</v>
          </cell>
          <cell r="W49">
            <v>-14.01</v>
          </cell>
        </row>
        <row r="50">
          <cell r="F50">
            <v>2976.78</v>
          </cell>
          <cell r="G50">
            <v>2.52</v>
          </cell>
          <cell r="H50">
            <v>0</v>
          </cell>
          <cell r="I50">
            <v>44.78</v>
          </cell>
          <cell r="J50">
            <v>0.92</v>
          </cell>
          <cell r="K50">
            <v>0</v>
          </cell>
          <cell r="L50">
            <v>942.36</v>
          </cell>
          <cell r="M50">
            <v>2420.1799999999998</v>
          </cell>
          <cell r="N50">
            <v>3475.53</v>
          </cell>
          <cell r="W50">
            <v>-22.01</v>
          </cell>
        </row>
        <row r="51">
          <cell r="F51">
            <v>2954.66</v>
          </cell>
          <cell r="G51">
            <v>8.02</v>
          </cell>
          <cell r="H51">
            <v>0</v>
          </cell>
          <cell r="I51">
            <v>44.91</v>
          </cell>
          <cell r="J51">
            <v>1.02</v>
          </cell>
          <cell r="K51">
            <v>0</v>
          </cell>
          <cell r="L51">
            <v>897.81</v>
          </cell>
          <cell r="M51">
            <v>2357.1799999999998</v>
          </cell>
          <cell r="N51">
            <v>3343.25</v>
          </cell>
          <cell r="W51">
            <v>-18</v>
          </cell>
        </row>
        <row r="52">
          <cell r="F52">
            <v>2922.89</v>
          </cell>
          <cell r="G52">
            <v>8.64</v>
          </cell>
          <cell r="H52">
            <v>0</v>
          </cell>
          <cell r="I52">
            <v>38.96</v>
          </cell>
          <cell r="J52">
            <v>1.95</v>
          </cell>
          <cell r="K52">
            <v>0</v>
          </cell>
          <cell r="L52">
            <v>937.44</v>
          </cell>
          <cell r="M52">
            <v>2451.46</v>
          </cell>
          <cell r="N52">
            <v>3122.3</v>
          </cell>
          <cell r="W52">
            <v>-14.01</v>
          </cell>
        </row>
        <row r="53">
          <cell r="F53">
            <v>2930.97</v>
          </cell>
          <cell r="G53">
            <v>9.1</v>
          </cell>
          <cell r="H53">
            <v>0</v>
          </cell>
          <cell r="I53">
            <v>37.880000000000003</v>
          </cell>
          <cell r="J53">
            <v>2.19</v>
          </cell>
          <cell r="K53">
            <v>0</v>
          </cell>
          <cell r="L53">
            <v>886.17</v>
          </cell>
          <cell r="M53">
            <v>2589.39</v>
          </cell>
          <cell r="N53">
            <v>2872.62</v>
          </cell>
          <cell r="W53">
            <v>-14.01</v>
          </cell>
        </row>
        <row r="54">
          <cell r="F54">
            <v>2953.08</v>
          </cell>
          <cell r="G54">
            <v>8.36</v>
          </cell>
          <cell r="H54">
            <v>0</v>
          </cell>
          <cell r="I54">
            <v>37.840000000000003</v>
          </cell>
          <cell r="J54">
            <v>3.43</v>
          </cell>
          <cell r="K54">
            <v>0</v>
          </cell>
          <cell r="L54">
            <v>882.42</v>
          </cell>
          <cell r="M54">
            <v>2642.71</v>
          </cell>
          <cell r="N54">
            <v>2499.4299999999998</v>
          </cell>
          <cell r="W54">
            <v>-8.91</v>
          </cell>
        </row>
        <row r="55">
          <cell r="F55">
            <v>3081.65</v>
          </cell>
          <cell r="G55">
            <v>8.32</v>
          </cell>
          <cell r="H55">
            <v>2</v>
          </cell>
          <cell r="I55">
            <v>37.83</v>
          </cell>
          <cell r="J55">
            <v>7.54</v>
          </cell>
          <cell r="K55">
            <v>0</v>
          </cell>
          <cell r="L55">
            <v>948.74</v>
          </cell>
          <cell r="M55">
            <v>2595.16</v>
          </cell>
          <cell r="N55">
            <v>2089.39</v>
          </cell>
          <cell r="W55">
            <v>9.06</v>
          </cell>
        </row>
        <row r="56">
          <cell r="F56">
            <v>3254.49</v>
          </cell>
          <cell r="G56">
            <v>9.65</v>
          </cell>
          <cell r="H56">
            <v>131</v>
          </cell>
          <cell r="I56">
            <v>37.880000000000003</v>
          </cell>
          <cell r="J56">
            <v>7.59</v>
          </cell>
          <cell r="K56">
            <v>0</v>
          </cell>
          <cell r="L56">
            <v>972.05</v>
          </cell>
          <cell r="M56">
            <v>2346.75</v>
          </cell>
          <cell r="N56">
            <v>1577.29</v>
          </cell>
          <cell r="W56">
            <v>35.880000000000003</v>
          </cell>
        </row>
        <row r="57">
          <cell r="F57">
            <v>3737.21</v>
          </cell>
          <cell r="G57">
            <v>5.32</v>
          </cell>
          <cell r="H57">
            <v>264.5</v>
          </cell>
          <cell r="I57">
            <v>42.68</v>
          </cell>
          <cell r="J57">
            <v>9.9700000000000006</v>
          </cell>
          <cell r="K57">
            <v>0</v>
          </cell>
          <cell r="L57">
            <v>928.08</v>
          </cell>
          <cell r="M57">
            <v>1809.05</v>
          </cell>
          <cell r="N57">
            <v>1015.1</v>
          </cell>
          <cell r="W57">
            <v>51.95</v>
          </cell>
        </row>
        <row r="58">
          <cell r="F58">
            <v>4544.6099999999997</v>
          </cell>
          <cell r="G58">
            <v>1.41</v>
          </cell>
          <cell r="H58">
            <v>399.67</v>
          </cell>
          <cell r="I58">
            <v>45.07</v>
          </cell>
          <cell r="J58">
            <v>229.5</v>
          </cell>
          <cell r="K58">
            <v>148.13</v>
          </cell>
          <cell r="L58">
            <v>936.68</v>
          </cell>
          <cell r="M58">
            <v>1029.74</v>
          </cell>
          <cell r="N58">
            <v>498.78</v>
          </cell>
          <cell r="W58">
            <v>140.01</v>
          </cell>
        </row>
        <row r="59">
          <cell r="F59">
            <v>5435.55</v>
          </cell>
          <cell r="G59">
            <v>-1.76</v>
          </cell>
          <cell r="H59">
            <v>270.83</v>
          </cell>
          <cell r="I59">
            <v>121.89</v>
          </cell>
          <cell r="J59">
            <v>393.4</v>
          </cell>
          <cell r="K59">
            <v>671.58</v>
          </cell>
          <cell r="L59">
            <v>842.16</v>
          </cell>
          <cell r="M59">
            <v>250.07</v>
          </cell>
          <cell r="N59">
            <v>139.47</v>
          </cell>
          <cell r="W59">
            <v>191.18</v>
          </cell>
        </row>
        <row r="60">
          <cell r="F60">
            <v>6348.36</v>
          </cell>
          <cell r="G60">
            <v>-1.57</v>
          </cell>
          <cell r="H60">
            <v>4</v>
          </cell>
          <cell r="I60">
            <v>512.5</v>
          </cell>
          <cell r="J60">
            <v>444.85</v>
          </cell>
          <cell r="K60">
            <v>900.46</v>
          </cell>
          <cell r="L60">
            <v>849.72</v>
          </cell>
          <cell r="M60">
            <v>9.92</v>
          </cell>
          <cell r="N60">
            <v>15.39</v>
          </cell>
          <cell r="W60">
            <v>186.38</v>
          </cell>
        </row>
        <row r="61">
          <cell r="F61">
            <v>6998.02</v>
          </cell>
          <cell r="G61">
            <v>-1.22</v>
          </cell>
          <cell r="H61">
            <v>26.63</v>
          </cell>
          <cell r="I61">
            <v>570.39</v>
          </cell>
          <cell r="J61">
            <v>379.29</v>
          </cell>
          <cell r="K61">
            <v>921.21</v>
          </cell>
          <cell r="L61">
            <v>918.11</v>
          </cell>
          <cell r="M61">
            <v>0.05</v>
          </cell>
          <cell r="N61">
            <v>0.17</v>
          </cell>
          <cell r="W61">
            <v>299.99</v>
          </cell>
        </row>
        <row r="62">
          <cell r="F62">
            <v>7255.17</v>
          </cell>
          <cell r="G62">
            <v>-0.99</v>
          </cell>
          <cell r="H62">
            <v>26.56</v>
          </cell>
          <cell r="I62">
            <v>581.52</v>
          </cell>
          <cell r="J62">
            <v>293.07</v>
          </cell>
          <cell r="K62">
            <v>877.88</v>
          </cell>
          <cell r="L62">
            <v>892.72</v>
          </cell>
          <cell r="M62">
            <v>0.05</v>
          </cell>
          <cell r="N62">
            <v>0</v>
          </cell>
          <cell r="W62">
            <v>147.96</v>
          </cell>
        </row>
        <row r="63">
          <cell r="F63">
            <v>7304.28</v>
          </cell>
          <cell r="G63">
            <v>-0.62</v>
          </cell>
          <cell r="H63">
            <v>0</v>
          </cell>
          <cell r="I63">
            <v>659.66</v>
          </cell>
          <cell r="J63">
            <v>168.81</v>
          </cell>
          <cell r="K63">
            <v>845.9</v>
          </cell>
          <cell r="L63">
            <v>834.08</v>
          </cell>
          <cell r="M63">
            <v>0.05</v>
          </cell>
          <cell r="N63">
            <v>0</v>
          </cell>
          <cell r="W63">
            <v>252.64</v>
          </cell>
        </row>
        <row r="64">
          <cell r="F64">
            <v>7304.57</v>
          </cell>
          <cell r="G64">
            <v>-0.75</v>
          </cell>
          <cell r="H64">
            <v>0</v>
          </cell>
          <cell r="I64">
            <v>579.75</v>
          </cell>
          <cell r="J64">
            <v>33.909999999999997</v>
          </cell>
          <cell r="K64">
            <v>759.83</v>
          </cell>
          <cell r="L64">
            <v>773.64</v>
          </cell>
          <cell r="M64">
            <v>0.05</v>
          </cell>
          <cell r="N64">
            <v>0</v>
          </cell>
          <cell r="W64">
            <v>139.18</v>
          </cell>
        </row>
        <row r="65">
          <cell r="F65">
            <v>7305.94</v>
          </cell>
          <cell r="G65">
            <v>-1.31</v>
          </cell>
          <cell r="H65">
            <v>0</v>
          </cell>
          <cell r="I65">
            <v>496.44</v>
          </cell>
          <cell r="J65">
            <v>2.81</v>
          </cell>
          <cell r="K65">
            <v>763.22</v>
          </cell>
          <cell r="L65">
            <v>612.73</v>
          </cell>
          <cell r="M65">
            <v>0.05</v>
          </cell>
          <cell r="N65">
            <v>0</v>
          </cell>
          <cell r="W65">
            <v>112.18</v>
          </cell>
        </row>
        <row r="66">
          <cell r="F66">
            <v>7345.75</v>
          </cell>
          <cell r="G66">
            <v>-0.97</v>
          </cell>
          <cell r="H66">
            <v>0</v>
          </cell>
          <cell r="I66">
            <v>273.85000000000002</v>
          </cell>
          <cell r="J66">
            <v>6.24</v>
          </cell>
          <cell r="K66">
            <v>598.26</v>
          </cell>
          <cell r="L66">
            <v>613.29999999999995</v>
          </cell>
          <cell r="M66">
            <v>0.05</v>
          </cell>
          <cell r="N66">
            <v>0</v>
          </cell>
          <cell r="W66">
            <v>100.02</v>
          </cell>
        </row>
        <row r="67">
          <cell r="F67">
            <v>7322.64</v>
          </cell>
          <cell r="G67">
            <v>-1.25</v>
          </cell>
          <cell r="H67">
            <v>0</v>
          </cell>
          <cell r="I67">
            <v>43.6</v>
          </cell>
          <cell r="J67">
            <v>2.4500000000000002</v>
          </cell>
          <cell r="K67">
            <v>397.99</v>
          </cell>
          <cell r="L67">
            <v>679.39</v>
          </cell>
          <cell r="M67">
            <v>0.05</v>
          </cell>
          <cell r="N67">
            <v>0</v>
          </cell>
          <cell r="W67">
            <v>88.68</v>
          </cell>
        </row>
        <row r="68">
          <cell r="F68">
            <v>7337.44</v>
          </cell>
          <cell r="G68">
            <v>-1.28</v>
          </cell>
          <cell r="H68">
            <v>0</v>
          </cell>
          <cell r="I68">
            <v>43.97</v>
          </cell>
          <cell r="J68">
            <v>1.79</v>
          </cell>
          <cell r="K68">
            <v>272.16000000000003</v>
          </cell>
          <cell r="L68">
            <v>731.77</v>
          </cell>
          <cell r="M68">
            <v>0.05</v>
          </cell>
          <cell r="N68">
            <v>0</v>
          </cell>
          <cell r="W68">
            <v>87.25</v>
          </cell>
        </row>
        <row r="69">
          <cell r="F69">
            <v>7279.91</v>
          </cell>
          <cell r="G69">
            <v>-1.21</v>
          </cell>
          <cell r="H69">
            <v>0</v>
          </cell>
          <cell r="I69">
            <v>43.78</v>
          </cell>
          <cell r="J69">
            <v>5.14</v>
          </cell>
          <cell r="K69">
            <v>231.98</v>
          </cell>
          <cell r="L69">
            <v>696.27</v>
          </cell>
          <cell r="M69">
            <v>0.05</v>
          </cell>
          <cell r="N69">
            <v>0</v>
          </cell>
          <cell r="W69">
            <v>79.02</v>
          </cell>
        </row>
        <row r="70">
          <cell r="F70">
            <v>7283.77</v>
          </cell>
          <cell r="G70">
            <v>-1.43</v>
          </cell>
          <cell r="H70">
            <v>0</v>
          </cell>
          <cell r="I70">
            <v>43.82</v>
          </cell>
          <cell r="J70">
            <v>11.09</v>
          </cell>
          <cell r="K70">
            <v>277.70999999999998</v>
          </cell>
          <cell r="L70">
            <v>658.89</v>
          </cell>
          <cell r="M70">
            <v>0.05</v>
          </cell>
          <cell r="N70">
            <v>0</v>
          </cell>
          <cell r="W70">
            <v>100.02</v>
          </cell>
        </row>
        <row r="71">
          <cell r="F71">
            <v>7263.7</v>
          </cell>
          <cell r="G71">
            <v>-1.1299999999999999</v>
          </cell>
          <cell r="H71">
            <v>0</v>
          </cell>
          <cell r="I71">
            <v>43.54</v>
          </cell>
          <cell r="J71">
            <v>2.0299999999999998</v>
          </cell>
          <cell r="K71">
            <v>264.23</v>
          </cell>
          <cell r="L71">
            <v>637.21</v>
          </cell>
          <cell r="M71">
            <v>0.05</v>
          </cell>
          <cell r="N71">
            <v>0</v>
          </cell>
          <cell r="W71">
            <v>102.76</v>
          </cell>
        </row>
        <row r="72">
          <cell r="F72">
            <v>7253.23</v>
          </cell>
          <cell r="G72">
            <v>-1.45</v>
          </cell>
          <cell r="H72">
            <v>0</v>
          </cell>
          <cell r="I72">
            <v>43.46</v>
          </cell>
          <cell r="J72">
            <v>2.25</v>
          </cell>
          <cell r="K72">
            <v>127.67</v>
          </cell>
          <cell r="L72">
            <v>532.70000000000005</v>
          </cell>
          <cell r="M72">
            <v>0.05</v>
          </cell>
          <cell r="N72">
            <v>0</v>
          </cell>
          <cell r="W72">
            <v>100.02</v>
          </cell>
        </row>
        <row r="73">
          <cell r="F73">
            <v>7003.96</v>
          </cell>
          <cell r="G73">
            <v>-1.01</v>
          </cell>
          <cell r="H73">
            <v>0</v>
          </cell>
          <cell r="I73">
            <v>43.51</v>
          </cell>
          <cell r="J73">
            <v>0.25</v>
          </cell>
          <cell r="K73">
            <v>84.64</v>
          </cell>
          <cell r="L73">
            <v>502.98</v>
          </cell>
          <cell r="M73">
            <v>0.05</v>
          </cell>
          <cell r="N73">
            <v>0</v>
          </cell>
          <cell r="W73">
            <v>81.67</v>
          </cell>
        </row>
        <row r="74">
          <cell r="F74">
            <v>6735.58</v>
          </cell>
          <cell r="G74">
            <v>-1.24</v>
          </cell>
          <cell r="H74">
            <v>0</v>
          </cell>
          <cell r="I74">
            <v>43.54</v>
          </cell>
          <cell r="J74">
            <v>1.57</v>
          </cell>
          <cell r="K74">
            <v>69.61</v>
          </cell>
          <cell r="L74">
            <v>492.94</v>
          </cell>
          <cell r="M74">
            <v>0.05</v>
          </cell>
          <cell r="N74">
            <v>0</v>
          </cell>
          <cell r="W74">
            <v>88.84</v>
          </cell>
        </row>
        <row r="75">
          <cell r="F75">
            <v>6466.19</v>
          </cell>
          <cell r="G75">
            <v>-3.77</v>
          </cell>
          <cell r="H75">
            <v>0</v>
          </cell>
          <cell r="I75">
            <v>43.1</v>
          </cell>
          <cell r="J75">
            <v>1.5</v>
          </cell>
          <cell r="K75">
            <v>42.89</v>
          </cell>
          <cell r="L75">
            <v>516.82000000000005</v>
          </cell>
          <cell r="M75">
            <v>0.05</v>
          </cell>
          <cell r="N75">
            <v>0</v>
          </cell>
          <cell r="W75">
            <v>86.23</v>
          </cell>
        </row>
        <row r="76">
          <cell r="F76">
            <v>6103.18</v>
          </cell>
          <cell r="G76">
            <v>-1.63</v>
          </cell>
          <cell r="H76">
            <v>0</v>
          </cell>
          <cell r="I76">
            <v>43.18</v>
          </cell>
          <cell r="J76">
            <v>2.14</v>
          </cell>
          <cell r="K76">
            <v>30.59</v>
          </cell>
          <cell r="L76">
            <v>616.01</v>
          </cell>
          <cell r="M76">
            <v>0.05</v>
          </cell>
          <cell r="N76">
            <v>0</v>
          </cell>
          <cell r="W76">
            <v>76.58</v>
          </cell>
        </row>
        <row r="77">
          <cell r="F77">
            <v>5914.4</v>
          </cell>
          <cell r="G77">
            <v>-1.05</v>
          </cell>
          <cell r="H77">
            <v>0</v>
          </cell>
          <cell r="I77">
            <v>42.7</v>
          </cell>
          <cell r="J77">
            <v>2.73</v>
          </cell>
          <cell r="K77">
            <v>30.71</v>
          </cell>
          <cell r="L77">
            <v>587.45000000000005</v>
          </cell>
          <cell r="M77">
            <v>0.05</v>
          </cell>
          <cell r="N77">
            <v>0</v>
          </cell>
          <cell r="W77">
            <v>76.58</v>
          </cell>
        </row>
        <row r="78">
          <cell r="F78">
            <v>5907.53</v>
          </cell>
          <cell r="G78">
            <v>-1.07</v>
          </cell>
          <cell r="H78">
            <v>0</v>
          </cell>
          <cell r="I78">
            <v>42.92</v>
          </cell>
          <cell r="J78">
            <v>1.41</v>
          </cell>
          <cell r="K78">
            <v>30.6</v>
          </cell>
          <cell r="L78">
            <v>458.51</v>
          </cell>
          <cell r="M78">
            <v>0.05</v>
          </cell>
          <cell r="N78">
            <v>0</v>
          </cell>
          <cell r="W78">
            <v>76.8</v>
          </cell>
        </row>
        <row r="79">
          <cell r="F79">
            <v>5740.51</v>
          </cell>
          <cell r="G79">
            <v>-2.63</v>
          </cell>
          <cell r="H79">
            <v>0</v>
          </cell>
          <cell r="I79">
            <v>42.79</v>
          </cell>
          <cell r="J79">
            <v>2.25</v>
          </cell>
          <cell r="K79">
            <v>30.61</v>
          </cell>
          <cell r="L79">
            <v>495.65</v>
          </cell>
          <cell r="M79">
            <v>0.05</v>
          </cell>
          <cell r="N79">
            <v>0</v>
          </cell>
          <cell r="W79">
            <v>76.42</v>
          </cell>
        </row>
        <row r="80">
          <cell r="F80">
            <v>5590.23</v>
          </cell>
          <cell r="G80">
            <v>-0.85</v>
          </cell>
          <cell r="H80">
            <v>0</v>
          </cell>
          <cell r="I80">
            <v>42.66</v>
          </cell>
          <cell r="J80">
            <v>0.73</v>
          </cell>
          <cell r="K80">
            <v>30.61</v>
          </cell>
          <cell r="L80">
            <v>560.57000000000005</v>
          </cell>
          <cell r="M80">
            <v>0.05</v>
          </cell>
          <cell r="N80">
            <v>0</v>
          </cell>
          <cell r="W80">
            <v>76.58</v>
          </cell>
        </row>
        <row r="81">
          <cell r="F81">
            <v>5569.67</v>
          </cell>
          <cell r="G81">
            <v>-1.02</v>
          </cell>
          <cell r="H81">
            <v>0</v>
          </cell>
          <cell r="I81">
            <v>42.41</v>
          </cell>
          <cell r="J81">
            <v>1</v>
          </cell>
          <cell r="K81">
            <v>25.51</v>
          </cell>
          <cell r="L81">
            <v>565.66999999999996</v>
          </cell>
          <cell r="M81">
            <v>0.05</v>
          </cell>
          <cell r="N81">
            <v>0</v>
          </cell>
          <cell r="W81">
            <v>75.84</v>
          </cell>
        </row>
        <row r="82">
          <cell r="F82">
            <v>5769.39</v>
          </cell>
          <cell r="G82">
            <v>-1.77</v>
          </cell>
          <cell r="H82">
            <v>0</v>
          </cell>
          <cell r="I82">
            <v>43.34</v>
          </cell>
          <cell r="J82">
            <v>1.95</v>
          </cell>
          <cell r="K82">
            <v>-0.32</v>
          </cell>
          <cell r="L82">
            <v>572.49</v>
          </cell>
          <cell r="M82">
            <v>0.05</v>
          </cell>
          <cell r="N82">
            <v>0</v>
          </cell>
          <cell r="W82">
            <v>72.2</v>
          </cell>
        </row>
        <row r="83">
          <cell r="F83">
            <v>5952.8</v>
          </cell>
          <cell r="G83">
            <v>-0.21</v>
          </cell>
          <cell r="H83">
            <v>0</v>
          </cell>
          <cell r="I83">
            <v>44.17</v>
          </cell>
          <cell r="J83">
            <v>1.82</v>
          </cell>
          <cell r="K83">
            <v>-0.28000000000000003</v>
          </cell>
          <cell r="L83">
            <v>561.38</v>
          </cell>
          <cell r="M83">
            <v>0.05</v>
          </cell>
          <cell r="N83">
            <v>0</v>
          </cell>
          <cell r="W83">
            <v>75.760000000000005</v>
          </cell>
        </row>
        <row r="84">
          <cell r="F84">
            <v>6074.21</v>
          </cell>
          <cell r="G84">
            <v>-0.14000000000000001</v>
          </cell>
          <cell r="H84">
            <v>0</v>
          </cell>
          <cell r="I84">
            <v>44.79</v>
          </cell>
          <cell r="J84">
            <v>3.8</v>
          </cell>
          <cell r="K84">
            <v>-0.34</v>
          </cell>
          <cell r="L84">
            <v>539.91999999999996</v>
          </cell>
          <cell r="M84">
            <v>0.05</v>
          </cell>
          <cell r="N84">
            <v>0</v>
          </cell>
          <cell r="W84">
            <v>76.58</v>
          </cell>
        </row>
        <row r="85">
          <cell r="F85">
            <v>6290</v>
          </cell>
          <cell r="G85">
            <v>-2.2200000000000002</v>
          </cell>
          <cell r="H85">
            <v>0</v>
          </cell>
          <cell r="I85">
            <v>44.89</v>
          </cell>
          <cell r="J85">
            <v>2.5099999999999998</v>
          </cell>
          <cell r="K85">
            <v>-0.32</v>
          </cell>
          <cell r="L85">
            <v>529.91</v>
          </cell>
          <cell r="M85">
            <v>0.05</v>
          </cell>
          <cell r="N85">
            <v>0</v>
          </cell>
          <cell r="W85">
            <v>76.89</v>
          </cell>
        </row>
        <row r="86">
          <cell r="F86">
            <v>6564.67</v>
          </cell>
          <cell r="G86">
            <v>-0.64</v>
          </cell>
          <cell r="H86">
            <v>0</v>
          </cell>
          <cell r="I86">
            <v>44.66</v>
          </cell>
          <cell r="J86">
            <v>1.74</v>
          </cell>
          <cell r="K86">
            <v>6.56</v>
          </cell>
          <cell r="L86">
            <v>542.15</v>
          </cell>
          <cell r="M86">
            <v>0.05</v>
          </cell>
          <cell r="N86">
            <v>0.13</v>
          </cell>
          <cell r="W86">
            <v>81.209999999999994</v>
          </cell>
        </row>
        <row r="87">
          <cell r="F87">
            <v>6830.02</v>
          </cell>
          <cell r="G87">
            <v>-0.47</v>
          </cell>
          <cell r="H87">
            <v>0</v>
          </cell>
          <cell r="I87">
            <v>44.76</v>
          </cell>
          <cell r="J87">
            <v>0</v>
          </cell>
          <cell r="K87">
            <v>44.21</v>
          </cell>
          <cell r="L87">
            <v>548.48</v>
          </cell>
          <cell r="M87">
            <v>6.71</v>
          </cell>
          <cell r="N87">
            <v>7.75</v>
          </cell>
          <cell r="W87">
            <v>93.02</v>
          </cell>
        </row>
        <row r="88">
          <cell r="F88">
            <v>6744.1</v>
          </cell>
          <cell r="G88">
            <v>-1.1599999999999999</v>
          </cell>
          <cell r="H88">
            <v>0</v>
          </cell>
          <cell r="I88">
            <v>44.81</v>
          </cell>
          <cell r="J88">
            <v>0.14000000000000001</v>
          </cell>
          <cell r="K88">
            <v>23.47</v>
          </cell>
          <cell r="L88">
            <v>650.45000000000005</v>
          </cell>
          <cell r="M88">
            <v>119.9</v>
          </cell>
          <cell r="N88">
            <v>88.96</v>
          </cell>
          <cell r="W88">
            <v>81.73</v>
          </cell>
        </row>
        <row r="89">
          <cell r="F89">
            <v>5955.03</v>
          </cell>
          <cell r="G89">
            <v>-0.05</v>
          </cell>
          <cell r="H89">
            <v>0</v>
          </cell>
          <cell r="I89">
            <v>42.18</v>
          </cell>
          <cell r="J89">
            <v>1.99</v>
          </cell>
          <cell r="K89">
            <v>-0.22</v>
          </cell>
          <cell r="L89">
            <v>815.1</v>
          </cell>
          <cell r="M89">
            <v>569.92999999999995</v>
          </cell>
          <cell r="N89">
            <v>350.51</v>
          </cell>
          <cell r="W89">
            <v>57.01</v>
          </cell>
        </row>
        <row r="90">
          <cell r="F90">
            <v>4894.42</v>
          </cell>
          <cell r="G90">
            <v>-0.27</v>
          </cell>
          <cell r="H90">
            <v>0</v>
          </cell>
          <cell r="I90">
            <v>37.869999999999997</v>
          </cell>
          <cell r="J90">
            <v>2.16</v>
          </cell>
          <cell r="K90">
            <v>0</v>
          </cell>
          <cell r="L90">
            <v>909.3</v>
          </cell>
          <cell r="M90">
            <v>1379.32</v>
          </cell>
          <cell r="N90">
            <v>837.43</v>
          </cell>
          <cell r="W90">
            <v>-11.86</v>
          </cell>
        </row>
        <row r="91">
          <cell r="F91">
            <v>4349.53</v>
          </cell>
          <cell r="G91">
            <v>0.14000000000000001</v>
          </cell>
          <cell r="H91">
            <v>0</v>
          </cell>
          <cell r="I91">
            <v>37.840000000000003</v>
          </cell>
          <cell r="J91">
            <v>6.16</v>
          </cell>
          <cell r="K91">
            <v>0</v>
          </cell>
          <cell r="L91">
            <v>852.04</v>
          </cell>
          <cell r="M91">
            <v>2080.34</v>
          </cell>
          <cell r="N91">
            <v>1337.7</v>
          </cell>
          <cell r="W91">
            <v>0</v>
          </cell>
        </row>
        <row r="92">
          <cell r="F92">
            <v>4108.16</v>
          </cell>
          <cell r="G92">
            <v>9.33</v>
          </cell>
          <cell r="H92">
            <v>0</v>
          </cell>
          <cell r="I92">
            <v>37.83</v>
          </cell>
          <cell r="J92">
            <v>2.61</v>
          </cell>
          <cell r="K92">
            <v>0</v>
          </cell>
          <cell r="L92">
            <v>822.65</v>
          </cell>
          <cell r="M92">
            <v>2160.31</v>
          </cell>
          <cell r="N92">
            <v>1856.04</v>
          </cell>
          <cell r="W92">
            <v>76.58</v>
          </cell>
        </row>
        <row r="93">
          <cell r="F93">
            <v>3656.04</v>
          </cell>
          <cell r="G93">
            <v>9.5399999999999991</v>
          </cell>
          <cell r="H93">
            <v>0</v>
          </cell>
          <cell r="I93">
            <v>37.89</v>
          </cell>
          <cell r="J93">
            <v>7.44</v>
          </cell>
          <cell r="K93">
            <v>0</v>
          </cell>
          <cell r="L93">
            <v>862.94</v>
          </cell>
          <cell r="M93">
            <v>2277.1799999999998</v>
          </cell>
          <cell r="N93">
            <v>2278.65</v>
          </cell>
          <cell r="W93">
            <v>24</v>
          </cell>
        </row>
        <row r="94">
          <cell r="F94">
            <v>2964.61</v>
          </cell>
          <cell r="G94">
            <v>9.11</v>
          </cell>
          <cell r="H94">
            <v>0</v>
          </cell>
          <cell r="I94">
            <v>37.880000000000003</v>
          </cell>
          <cell r="J94">
            <v>3.18</v>
          </cell>
          <cell r="K94">
            <v>0</v>
          </cell>
          <cell r="L94">
            <v>914.75</v>
          </cell>
          <cell r="M94">
            <v>2061.91</v>
          </cell>
          <cell r="N94">
            <v>2658.7</v>
          </cell>
          <cell r="W94">
            <v>-16.54</v>
          </cell>
        </row>
        <row r="95">
          <cell r="F95">
            <v>2519.48</v>
          </cell>
          <cell r="G95">
            <v>7.68</v>
          </cell>
          <cell r="H95">
            <v>0</v>
          </cell>
          <cell r="I95">
            <v>37.83</v>
          </cell>
          <cell r="J95">
            <v>3.99</v>
          </cell>
          <cell r="K95">
            <v>0</v>
          </cell>
          <cell r="L95">
            <v>981.91</v>
          </cell>
          <cell r="M95">
            <v>2155.25</v>
          </cell>
          <cell r="N95">
            <v>2927</v>
          </cell>
          <cell r="W95">
            <v>-16.54</v>
          </cell>
        </row>
        <row r="96">
          <cell r="F96">
            <v>2448.65</v>
          </cell>
          <cell r="G96">
            <v>4.12</v>
          </cell>
          <cell r="H96">
            <v>0</v>
          </cell>
          <cell r="I96">
            <v>37.840000000000003</v>
          </cell>
          <cell r="J96">
            <v>0.74</v>
          </cell>
          <cell r="K96">
            <v>0</v>
          </cell>
          <cell r="L96">
            <v>968.43</v>
          </cell>
          <cell r="M96">
            <v>2332.9499999999998</v>
          </cell>
          <cell r="N96">
            <v>3166.39</v>
          </cell>
          <cell r="W96">
            <v>-16.18</v>
          </cell>
        </row>
        <row r="97">
          <cell r="F97">
            <v>2458.89</v>
          </cell>
          <cell r="G97">
            <v>1.95</v>
          </cell>
          <cell r="H97">
            <v>0</v>
          </cell>
          <cell r="I97">
            <v>37.89</v>
          </cell>
          <cell r="J97">
            <v>1.59</v>
          </cell>
          <cell r="K97">
            <v>0</v>
          </cell>
          <cell r="L97">
            <v>1108.4000000000001</v>
          </cell>
          <cell r="M97">
            <v>2353.9499999999998</v>
          </cell>
          <cell r="N97">
            <v>3250.92</v>
          </cell>
          <cell r="W97">
            <v>-14.71</v>
          </cell>
        </row>
        <row r="98">
          <cell r="F98">
            <v>2389.2800000000002</v>
          </cell>
          <cell r="G98">
            <v>0.11</v>
          </cell>
          <cell r="H98">
            <v>0</v>
          </cell>
          <cell r="I98">
            <v>37.840000000000003</v>
          </cell>
          <cell r="J98">
            <v>0.3</v>
          </cell>
          <cell r="K98">
            <v>0</v>
          </cell>
          <cell r="L98">
            <v>1244.3499999999999</v>
          </cell>
          <cell r="M98">
            <v>2246.4699999999998</v>
          </cell>
          <cell r="N98">
            <v>3236.69</v>
          </cell>
          <cell r="W98">
            <v>-14.01</v>
          </cell>
        </row>
        <row r="99">
          <cell r="F99">
            <v>2388.5500000000002</v>
          </cell>
          <cell r="G99">
            <v>-0.12</v>
          </cell>
          <cell r="H99">
            <v>0</v>
          </cell>
          <cell r="I99">
            <v>37.81</v>
          </cell>
          <cell r="J99">
            <v>0.96</v>
          </cell>
          <cell r="K99">
            <v>0</v>
          </cell>
          <cell r="L99">
            <v>1347.9</v>
          </cell>
          <cell r="M99">
            <v>2265.35</v>
          </cell>
          <cell r="N99">
            <v>3104.69</v>
          </cell>
          <cell r="W99">
            <v>-14.01</v>
          </cell>
        </row>
        <row r="100">
          <cell r="F100">
            <v>2374.46</v>
          </cell>
          <cell r="G100">
            <v>-0.39</v>
          </cell>
          <cell r="H100">
            <v>0</v>
          </cell>
          <cell r="I100">
            <v>37.82</v>
          </cell>
          <cell r="J100">
            <v>0.4</v>
          </cell>
          <cell r="K100">
            <v>0</v>
          </cell>
          <cell r="L100">
            <v>1414.94</v>
          </cell>
          <cell r="M100">
            <v>2192.02</v>
          </cell>
          <cell r="N100">
            <v>2834.4</v>
          </cell>
          <cell r="W100">
            <v>-15.17</v>
          </cell>
        </row>
        <row r="101">
          <cell r="F101">
            <v>2492.27</v>
          </cell>
          <cell r="G101">
            <v>-0.02</v>
          </cell>
          <cell r="H101">
            <v>0</v>
          </cell>
          <cell r="I101">
            <v>37.880000000000003</v>
          </cell>
          <cell r="J101">
            <v>0.48</v>
          </cell>
          <cell r="K101">
            <v>0</v>
          </cell>
          <cell r="L101">
            <v>1447.94</v>
          </cell>
          <cell r="M101">
            <v>2011.07</v>
          </cell>
          <cell r="N101">
            <v>2495.69</v>
          </cell>
          <cell r="W101">
            <v>-17.28</v>
          </cell>
        </row>
        <row r="102">
          <cell r="F102">
            <v>2708.77</v>
          </cell>
          <cell r="G102">
            <v>-0.12</v>
          </cell>
          <cell r="H102">
            <v>0</v>
          </cell>
          <cell r="I102">
            <v>37.82</v>
          </cell>
          <cell r="J102">
            <v>1.42</v>
          </cell>
          <cell r="K102">
            <v>0</v>
          </cell>
          <cell r="L102">
            <v>1471.44</v>
          </cell>
          <cell r="M102">
            <v>2257.34</v>
          </cell>
          <cell r="N102">
            <v>1969.91</v>
          </cell>
          <cell r="W102">
            <v>24</v>
          </cell>
        </row>
        <row r="103">
          <cell r="F103">
            <v>3432.06</v>
          </cell>
          <cell r="G103">
            <v>-0.49</v>
          </cell>
          <cell r="H103">
            <v>0</v>
          </cell>
          <cell r="I103">
            <v>37.83</v>
          </cell>
          <cell r="J103">
            <v>0.95</v>
          </cell>
          <cell r="K103">
            <v>0</v>
          </cell>
          <cell r="L103">
            <v>1450.15</v>
          </cell>
          <cell r="M103">
            <v>2138.2399999999998</v>
          </cell>
          <cell r="N103">
            <v>1472.47</v>
          </cell>
          <cell r="W103">
            <v>4.71</v>
          </cell>
        </row>
        <row r="104">
          <cell r="F104">
            <v>4114.53</v>
          </cell>
          <cell r="G104">
            <v>0.55000000000000004</v>
          </cell>
          <cell r="H104">
            <v>0</v>
          </cell>
          <cell r="I104">
            <v>37.869999999999997</v>
          </cell>
          <cell r="J104">
            <v>1.91</v>
          </cell>
          <cell r="K104">
            <v>0</v>
          </cell>
          <cell r="L104">
            <v>1513.1</v>
          </cell>
          <cell r="M104">
            <v>1908.83</v>
          </cell>
          <cell r="N104">
            <v>1077.3599999999999</v>
          </cell>
          <cell r="W104">
            <v>-0.02</v>
          </cell>
        </row>
        <row r="105">
          <cell r="F105">
            <v>4724.3100000000004</v>
          </cell>
          <cell r="G105">
            <v>7.25</v>
          </cell>
          <cell r="H105">
            <v>0</v>
          </cell>
          <cell r="I105">
            <v>39.4</v>
          </cell>
          <cell r="J105">
            <v>1.72</v>
          </cell>
          <cell r="K105">
            <v>-0.06</v>
          </cell>
          <cell r="L105">
            <v>1592.88</v>
          </cell>
          <cell r="M105">
            <v>1459.36</v>
          </cell>
          <cell r="N105">
            <v>694.37</v>
          </cell>
          <cell r="W105">
            <v>21.26</v>
          </cell>
        </row>
        <row r="106">
          <cell r="F106">
            <v>5543.33</v>
          </cell>
          <cell r="G106">
            <v>3.33</v>
          </cell>
          <cell r="H106">
            <v>0</v>
          </cell>
          <cell r="I106">
            <v>42.78</v>
          </cell>
          <cell r="J106">
            <v>4.62</v>
          </cell>
          <cell r="K106">
            <v>48.43</v>
          </cell>
          <cell r="L106">
            <v>1627.76</v>
          </cell>
          <cell r="M106">
            <v>790.13</v>
          </cell>
          <cell r="N106">
            <v>354.66</v>
          </cell>
          <cell r="W106">
            <v>57.01</v>
          </cell>
        </row>
        <row r="107">
          <cell r="F107">
            <v>6377.1</v>
          </cell>
          <cell r="G107">
            <v>-1.0900000000000001</v>
          </cell>
          <cell r="H107">
            <v>0</v>
          </cell>
          <cell r="I107">
            <v>42.55</v>
          </cell>
          <cell r="J107">
            <v>207.02</v>
          </cell>
          <cell r="K107">
            <v>248.33</v>
          </cell>
          <cell r="L107">
            <v>1637.74</v>
          </cell>
          <cell r="M107">
            <v>175.55</v>
          </cell>
          <cell r="N107">
            <v>107.74</v>
          </cell>
          <cell r="W107">
            <v>125.69</v>
          </cell>
        </row>
        <row r="108">
          <cell r="F108">
            <v>6798.69</v>
          </cell>
          <cell r="G108">
            <v>-2.9</v>
          </cell>
          <cell r="H108">
            <v>0</v>
          </cell>
          <cell r="I108">
            <v>71.83</v>
          </cell>
          <cell r="J108">
            <v>309.89999999999998</v>
          </cell>
          <cell r="K108">
            <v>604.82000000000005</v>
          </cell>
          <cell r="L108">
            <v>1641.12</v>
          </cell>
          <cell r="M108">
            <v>5.61</v>
          </cell>
          <cell r="N108">
            <v>12.89</v>
          </cell>
          <cell r="W108">
            <v>138.72999999999999</v>
          </cell>
        </row>
        <row r="109">
          <cell r="F109">
            <v>6926.95</v>
          </cell>
          <cell r="G109">
            <v>-3.66</v>
          </cell>
          <cell r="H109">
            <v>0</v>
          </cell>
          <cell r="I109">
            <v>341.22</v>
          </cell>
          <cell r="J109">
            <v>420.47</v>
          </cell>
          <cell r="K109">
            <v>654.4</v>
          </cell>
          <cell r="L109">
            <v>1690.78</v>
          </cell>
          <cell r="M109">
            <v>0.05</v>
          </cell>
          <cell r="N109">
            <v>0.17</v>
          </cell>
          <cell r="W109">
            <v>140.03</v>
          </cell>
        </row>
        <row r="110">
          <cell r="F110">
            <v>6945.25</v>
          </cell>
          <cell r="G110">
            <v>-2.25</v>
          </cell>
          <cell r="H110">
            <v>0</v>
          </cell>
          <cell r="I110">
            <v>354.04</v>
          </cell>
          <cell r="J110">
            <v>352.46</v>
          </cell>
          <cell r="K110">
            <v>667.13</v>
          </cell>
          <cell r="L110">
            <v>1801.5</v>
          </cell>
          <cell r="M110">
            <v>0.05</v>
          </cell>
          <cell r="N110">
            <v>0</v>
          </cell>
          <cell r="W110">
            <v>185.01</v>
          </cell>
        </row>
        <row r="111">
          <cell r="F111">
            <v>6942.21</v>
          </cell>
          <cell r="G111">
            <v>-2.2599999999999998</v>
          </cell>
          <cell r="H111">
            <v>0</v>
          </cell>
          <cell r="I111">
            <v>353.65</v>
          </cell>
          <cell r="J111">
            <v>293.27</v>
          </cell>
          <cell r="K111">
            <v>512.80999999999995</v>
          </cell>
          <cell r="L111">
            <v>1949.97</v>
          </cell>
          <cell r="M111">
            <v>0.05</v>
          </cell>
          <cell r="N111">
            <v>0</v>
          </cell>
          <cell r="W111">
            <v>138.06</v>
          </cell>
        </row>
        <row r="112">
          <cell r="F112">
            <v>6938.83</v>
          </cell>
          <cell r="G112">
            <v>-2.15</v>
          </cell>
          <cell r="H112">
            <v>0</v>
          </cell>
          <cell r="I112">
            <v>330.67</v>
          </cell>
          <cell r="J112">
            <v>168.55</v>
          </cell>
          <cell r="K112">
            <v>516.33000000000004</v>
          </cell>
          <cell r="L112">
            <v>2046.18</v>
          </cell>
          <cell r="M112">
            <v>0.05</v>
          </cell>
          <cell r="N112">
            <v>0</v>
          </cell>
          <cell r="W112">
            <v>136.86000000000001</v>
          </cell>
        </row>
        <row r="113">
          <cell r="F113">
            <v>6935.89</v>
          </cell>
          <cell r="G113">
            <v>-0.85</v>
          </cell>
          <cell r="H113">
            <v>0</v>
          </cell>
          <cell r="I113">
            <v>305.45</v>
          </cell>
          <cell r="J113">
            <v>43.64</v>
          </cell>
          <cell r="K113">
            <v>485.39</v>
          </cell>
          <cell r="L113">
            <v>2096.2800000000002</v>
          </cell>
          <cell r="M113">
            <v>0.05</v>
          </cell>
          <cell r="N113">
            <v>0</v>
          </cell>
          <cell r="W113">
            <v>110.96</v>
          </cell>
        </row>
        <row r="114">
          <cell r="F114">
            <v>6948.12</v>
          </cell>
          <cell r="G114">
            <v>-0.95</v>
          </cell>
          <cell r="H114">
            <v>0</v>
          </cell>
          <cell r="I114">
            <v>187.96</v>
          </cell>
          <cell r="J114">
            <v>21.47</v>
          </cell>
          <cell r="K114">
            <v>418.43</v>
          </cell>
          <cell r="L114">
            <v>2138.23</v>
          </cell>
          <cell r="M114">
            <v>0.05</v>
          </cell>
          <cell r="N114">
            <v>0</v>
          </cell>
          <cell r="W114">
            <v>140.03</v>
          </cell>
        </row>
        <row r="115">
          <cell r="F115">
            <v>6973.47</v>
          </cell>
          <cell r="G115">
            <v>-1.49</v>
          </cell>
          <cell r="H115">
            <v>0</v>
          </cell>
          <cell r="I115">
            <v>42.95</v>
          </cell>
          <cell r="J115">
            <v>10.91</v>
          </cell>
          <cell r="K115">
            <v>210.94</v>
          </cell>
          <cell r="L115">
            <v>2158.5300000000002</v>
          </cell>
          <cell r="M115">
            <v>0.05</v>
          </cell>
          <cell r="N115">
            <v>0</v>
          </cell>
          <cell r="W115">
            <v>100.01</v>
          </cell>
        </row>
        <row r="116">
          <cell r="F116">
            <v>6949.76</v>
          </cell>
          <cell r="G116">
            <v>-0.97</v>
          </cell>
          <cell r="H116">
            <v>0</v>
          </cell>
          <cell r="I116">
            <v>43.15</v>
          </cell>
          <cell r="J116">
            <v>2.4300000000000002</v>
          </cell>
          <cell r="K116">
            <v>48.35</v>
          </cell>
          <cell r="L116">
            <v>2151.7600000000002</v>
          </cell>
          <cell r="M116">
            <v>0.05</v>
          </cell>
          <cell r="N116">
            <v>0</v>
          </cell>
          <cell r="W116">
            <v>76.8</v>
          </cell>
        </row>
        <row r="117">
          <cell r="F117">
            <v>6692.86</v>
          </cell>
          <cell r="G117">
            <v>-0.57999999999999996</v>
          </cell>
          <cell r="H117">
            <v>0</v>
          </cell>
          <cell r="I117">
            <v>43.14</v>
          </cell>
          <cell r="J117">
            <v>1.77</v>
          </cell>
          <cell r="K117">
            <v>30.8</v>
          </cell>
          <cell r="L117">
            <v>2106.94</v>
          </cell>
          <cell r="M117">
            <v>0.05</v>
          </cell>
          <cell r="N117">
            <v>0</v>
          </cell>
          <cell r="W117">
            <v>49.78</v>
          </cell>
        </row>
        <row r="118">
          <cell r="F118">
            <v>6625.97</v>
          </cell>
          <cell r="G118">
            <v>-0.85</v>
          </cell>
          <cell r="H118">
            <v>0</v>
          </cell>
          <cell r="I118">
            <v>42.51</v>
          </cell>
          <cell r="J118">
            <v>3.37</v>
          </cell>
          <cell r="K118">
            <v>31.03</v>
          </cell>
          <cell r="L118">
            <v>2065.66</v>
          </cell>
          <cell r="M118">
            <v>0.05</v>
          </cell>
          <cell r="N118">
            <v>0</v>
          </cell>
          <cell r="W118">
            <v>65.23</v>
          </cell>
        </row>
        <row r="119">
          <cell r="F119">
            <v>6276.39</v>
          </cell>
          <cell r="G119">
            <v>1.53</v>
          </cell>
          <cell r="H119">
            <v>0</v>
          </cell>
          <cell r="I119">
            <v>42.52</v>
          </cell>
          <cell r="J119">
            <v>1.39</v>
          </cell>
          <cell r="K119">
            <v>30.94</v>
          </cell>
          <cell r="L119">
            <v>2095.64</v>
          </cell>
          <cell r="M119">
            <v>0.05</v>
          </cell>
          <cell r="N119">
            <v>0</v>
          </cell>
          <cell r="W119">
            <v>58.83</v>
          </cell>
        </row>
        <row r="120">
          <cell r="F120">
            <v>5983.07</v>
          </cell>
          <cell r="G120">
            <v>2.4</v>
          </cell>
          <cell r="H120">
            <v>0</v>
          </cell>
          <cell r="I120">
            <v>43.16</v>
          </cell>
          <cell r="J120">
            <v>1.05</v>
          </cell>
          <cell r="K120">
            <v>30.87</v>
          </cell>
          <cell r="L120">
            <v>2144.85</v>
          </cell>
          <cell r="M120">
            <v>0.05</v>
          </cell>
          <cell r="N120">
            <v>0</v>
          </cell>
          <cell r="W120">
            <v>53.54</v>
          </cell>
        </row>
        <row r="121">
          <cell r="F121">
            <v>5820.55</v>
          </cell>
          <cell r="G121">
            <v>1.32</v>
          </cell>
          <cell r="H121">
            <v>0</v>
          </cell>
          <cell r="I121">
            <v>43.36</v>
          </cell>
          <cell r="J121">
            <v>0.6</v>
          </cell>
          <cell r="K121">
            <v>30.93</v>
          </cell>
          <cell r="L121">
            <v>2190.79</v>
          </cell>
          <cell r="M121">
            <v>0.05</v>
          </cell>
          <cell r="N121">
            <v>0</v>
          </cell>
          <cell r="W121">
            <v>65.36</v>
          </cell>
        </row>
        <row r="122">
          <cell r="F122">
            <v>5517.03</v>
          </cell>
          <cell r="G122">
            <v>-0.23</v>
          </cell>
          <cell r="H122">
            <v>0</v>
          </cell>
          <cell r="I122">
            <v>43.19</v>
          </cell>
          <cell r="J122">
            <v>0.18</v>
          </cell>
          <cell r="K122">
            <v>25.74</v>
          </cell>
          <cell r="L122">
            <v>2233.4299999999998</v>
          </cell>
          <cell r="M122">
            <v>0.05</v>
          </cell>
          <cell r="N122">
            <v>0</v>
          </cell>
          <cell r="W122">
            <v>57.01</v>
          </cell>
        </row>
        <row r="123">
          <cell r="F123">
            <v>5349.02</v>
          </cell>
          <cell r="G123">
            <v>0.21</v>
          </cell>
          <cell r="H123">
            <v>0</v>
          </cell>
          <cell r="I123">
            <v>42.53</v>
          </cell>
          <cell r="J123">
            <v>1.05</v>
          </cell>
          <cell r="K123">
            <v>0</v>
          </cell>
          <cell r="L123">
            <v>2282.92</v>
          </cell>
          <cell r="M123">
            <v>0.05</v>
          </cell>
          <cell r="N123">
            <v>0</v>
          </cell>
          <cell r="W123">
            <v>64.89</v>
          </cell>
        </row>
        <row r="124">
          <cell r="F124">
            <v>5143.7</v>
          </cell>
          <cell r="G124">
            <v>0.69</v>
          </cell>
          <cell r="H124">
            <v>0</v>
          </cell>
          <cell r="I124">
            <v>42.41</v>
          </cell>
          <cell r="J124">
            <v>0.28999999999999998</v>
          </cell>
          <cell r="K124">
            <v>0</v>
          </cell>
          <cell r="L124">
            <v>2301.21</v>
          </cell>
          <cell r="M124">
            <v>0.05</v>
          </cell>
          <cell r="N124">
            <v>0</v>
          </cell>
          <cell r="W124">
            <v>68.540000000000006</v>
          </cell>
        </row>
        <row r="125">
          <cell r="F125">
            <v>4920.88</v>
          </cell>
          <cell r="G125">
            <v>0.38</v>
          </cell>
          <cell r="H125">
            <v>0</v>
          </cell>
          <cell r="I125">
            <v>42.87</v>
          </cell>
          <cell r="J125">
            <v>0.35</v>
          </cell>
          <cell r="K125">
            <v>0</v>
          </cell>
          <cell r="L125">
            <v>2267.08</v>
          </cell>
          <cell r="M125">
            <v>0.05</v>
          </cell>
          <cell r="N125">
            <v>0</v>
          </cell>
          <cell r="W125">
            <v>69.52</v>
          </cell>
        </row>
        <row r="126">
          <cell r="F126">
            <v>4781.75</v>
          </cell>
          <cell r="G126">
            <v>0.89</v>
          </cell>
          <cell r="H126">
            <v>0</v>
          </cell>
          <cell r="I126">
            <v>43.16</v>
          </cell>
          <cell r="J126">
            <v>1.51</v>
          </cell>
          <cell r="K126">
            <v>0</v>
          </cell>
          <cell r="L126">
            <v>2249.91</v>
          </cell>
          <cell r="M126">
            <v>0.05</v>
          </cell>
          <cell r="N126">
            <v>0</v>
          </cell>
          <cell r="W126">
            <v>51.17</v>
          </cell>
        </row>
        <row r="127">
          <cell r="F127">
            <v>4703</v>
          </cell>
          <cell r="G127">
            <v>-0.04</v>
          </cell>
          <cell r="H127">
            <v>0</v>
          </cell>
          <cell r="I127">
            <v>43.29</v>
          </cell>
          <cell r="J127">
            <v>1.01</v>
          </cell>
          <cell r="K127">
            <v>0</v>
          </cell>
          <cell r="L127">
            <v>2264.0500000000002</v>
          </cell>
          <cell r="M127">
            <v>0.05</v>
          </cell>
          <cell r="N127">
            <v>0</v>
          </cell>
          <cell r="W127">
            <v>56.71</v>
          </cell>
        </row>
        <row r="128">
          <cell r="F128">
            <v>4627.54</v>
          </cell>
          <cell r="G128">
            <v>-0.24</v>
          </cell>
          <cell r="H128">
            <v>0</v>
          </cell>
          <cell r="I128">
            <v>43.32</v>
          </cell>
          <cell r="J128">
            <v>1.59</v>
          </cell>
          <cell r="K128">
            <v>0</v>
          </cell>
          <cell r="L128">
            <v>2116.71</v>
          </cell>
          <cell r="M128">
            <v>0.05</v>
          </cell>
          <cell r="N128">
            <v>0</v>
          </cell>
          <cell r="W128">
            <v>56.98</v>
          </cell>
        </row>
        <row r="129">
          <cell r="F129">
            <v>4765.43</v>
          </cell>
          <cell r="G129">
            <v>-1.26</v>
          </cell>
          <cell r="H129">
            <v>0</v>
          </cell>
          <cell r="I129">
            <v>43.3</v>
          </cell>
          <cell r="J129">
            <v>11.02</v>
          </cell>
          <cell r="K129">
            <v>-0.05</v>
          </cell>
          <cell r="L129">
            <v>2004.46</v>
          </cell>
          <cell r="M129">
            <v>0.05</v>
          </cell>
          <cell r="N129">
            <v>0</v>
          </cell>
          <cell r="W129">
            <v>57.01</v>
          </cell>
        </row>
        <row r="130">
          <cell r="F130">
            <v>5265.24</v>
          </cell>
          <cell r="G130">
            <v>-0.54</v>
          </cell>
          <cell r="H130">
            <v>0</v>
          </cell>
          <cell r="I130">
            <v>43.4</v>
          </cell>
          <cell r="J130">
            <v>0.69</v>
          </cell>
          <cell r="K130">
            <v>0</v>
          </cell>
          <cell r="L130">
            <v>1914.67</v>
          </cell>
          <cell r="M130">
            <v>0.05</v>
          </cell>
          <cell r="N130">
            <v>0</v>
          </cell>
          <cell r="W130">
            <v>72.489999999999995</v>
          </cell>
        </row>
        <row r="131">
          <cell r="F131">
            <v>5618.82</v>
          </cell>
          <cell r="G131">
            <v>0.56999999999999995</v>
          </cell>
          <cell r="H131">
            <v>0</v>
          </cell>
          <cell r="I131">
            <v>42.88</v>
          </cell>
          <cell r="J131">
            <v>5.82</v>
          </cell>
          <cell r="K131">
            <v>0</v>
          </cell>
          <cell r="L131">
            <v>1963.07</v>
          </cell>
          <cell r="M131">
            <v>0.05</v>
          </cell>
          <cell r="N131">
            <v>0</v>
          </cell>
          <cell r="W131">
            <v>69.599999999999994</v>
          </cell>
        </row>
        <row r="132">
          <cell r="F132">
            <v>6309.23</v>
          </cell>
          <cell r="G132">
            <v>-0.28999999999999998</v>
          </cell>
          <cell r="H132">
            <v>0</v>
          </cell>
          <cell r="I132">
            <v>42.53</v>
          </cell>
          <cell r="J132">
            <v>4.59</v>
          </cell>
          <cell r="K132">
            <v>57.01</v>
          </cell>
          <cell r="L132">
            <v>1767.6</v>
          </cell>
          <cell r="M132">
            <v>0.05</v>
          </cell>
          <cell r="N132">
            <v>0</v>
          </cell>
          <cell r="W132">
            <v>77.510000000000005</v>
          </cell>
        </row>
        <row r="133">
          <cell r="F133">
            <v>6751.5</v>
          </cell>
          <cell r="G133">
            <v>-1.1299999999999999</v>
          </cell>
          <cell r="H133">
            <v>0</v>
          </cell>
          <cell r="I133">
            <v>43</v>
          </cell>
          <cell r="J133">
            <v>83.72</v>
          </cell>
          <cell r="K133">
            <v>233.36</v>
          </cell>
          <cell r="L133">
            <v>1750.97</v>
          </cell>
          <cell r="M133">
            <v>0.05</v>
          </cell>
          <cell r="N133">
            <v>0</v>
          </cell>
          <cell r="W133">
            <v>93.14</v>
          </cell>
        </row>
        <row r="134">
          <cell r="F134">
            <v>7123.99</v>
          </cell>
          <cell r="G134">
            <v>-3.58</v>
          </cell>
          <cell r="H134">
            <v>0</v>
          </cell>
          <cell r="I134">
            <v>43.75</v>
          </cell>
          <cell r="J134">
            <v>146.22999999999999</v>
          </cell>
          <cell r="K134">
            <v>190.83</v>
          </cell>
          <cell r="L134">
            <v>1760.49</v>
          </cell>
          <cell r="M134">
            <v>0.05</v>
          </cell>
          <cell r="N134">
            <v>0.12</v>
          </cell>
          <cell r="W134">
            <v>153.1</v>
          </cell>
        </row>
        <row r="135">
          <cell r="F135">
            <v>7297.42</v>
          </cell>
          <cell r="G135">
            <v>-1.92</v>
          </cell>
          <cell r="H135">
            <v>0</v>
          </cell>
          <cell r="I135">
            <v>43.23</v>
          </cell>
          <cell r="J135">
            <v>240.67</v>
          </cell>
          <cell r="K135">
            <v>358.43</v>
          </cell>
          <cell r="L135">
            <v>1750.08</v>
          </cell>
          <cell r="M135">
            <v>5.23</v>
          </cell>
          <cell r="N135">
            <v>7.84</v>
          </cell>
          <cell r="W135">
            <v>147.21</v>
          </cell>
        </row>
        <row r="136">
          <cell r="F136">
            <v>7328.85</v>
          </cell>
          <cell r="G136">
            <v>-3.31</v>
          </cell>
          <cell r="H136">
            <v>0</v>
          </cell>
          <cell r="I136">
            <v>43.32</v>
          </cell>
          <cell r="J136">
            <v>89.95</v>
          </cell>
          <cell r="K136">
            <v>577.28</v>
          </cell>
          <cell r="L136">
            <v>1818.48</v>
          </cell>
          <cell r="M136">
            <v>136.53</v>
          </cell>
          <cell r="N136">
            <v>94.14</v>
          </cell>
          <cell r="W136">
            <v>154.78</v>
          </cell>
        </row>
        <row r="137">
          <cell r="F137">
            <v>6969.81</v>
          </cell>
          <cell r="G137">
            <v>-3.44</v>
          </cell>
          <cell r="H137">
            <v>0</v>
          </cell>
          <cell r="I137">
            <v>43.3</v>
          </cell>
          <cell r="J137">
            <v>80.38</v>
          </cell>
          <cell r="K137">
            <v>298.17</v>
          </cell>
          <cell r="L137">
            <v>1670.48</v>
          </cell>
          <cell r="M137">
            <v>735.66</v>
          </cell>
          <cell r="N137">
            <v>389.47</v>
          </cell>
          <cell r="W137">
            <v>81.06</v>
          </cell>
        </row>
        <row r="138">
          <cell r="F138">
            <v>5979.68</v>
          </cell>
          <cell r="G138">
            <v>-3.45</v>
          </cell>
          <cell r="H138">
            <v>0</v>
          </cell>
          <cell r="I138">
            <v>43.44</v>
          </cell>
          <cell r="J138">
            <v>1.1599999999999999</v>
          </cell>
          <cell r="K138">
            <v>0</v>
          </cell>
          <cell r="L138">
            <v>1447.65</v>
          </cell>
          <cell r="M138">
            <v>1700.98</v>
          </cell>
          <cell r="N138">
            <v>873.76</v>
          </cell>
          <cell r="W138">
            <v>-14.01</v>
          </cell>
        </row>
        <row r="139">
          <cell r="F139">
            <v>5028.6499999999996</v>
          </cell>
          <cell r="G139">
            <v>0.96</v>
          </cell>
          <cell r="H139">
            <v>0</v>
          </cell>
          <cell r="I139">
            <v>42.44</v>
          </cell>
          <cell r="J139">
            <v>0.81</v>
          </cell>
          <cell r="K139">
            <v>0</v>
          </cell>
          <cell r="L139">
            <v>1171.56</v>
          </cell>
          <cell r="M139">
            <v>2574.77</v>
          </cell>
          <cell r="N139">
            <v>1457.97</v>
          </cell>
          <cell r="W139">
            <v>16.04</v>
          </cell>
        </row>
        <row r="140">
          <cell r="F140">
            <v>4242.24</v>
          </cell>
          <cell r="G140">
            <v>11.53</v>
          </cell>
          <cell r="H140">
            <v>0</v>
          </cell>
          <cell r="I140">
            <v>40.770000000000003</v>
          </cell>
          <cell r="J140">
            <v>1.08</v>
          </cell>
          <cell r="K140">
            <v>0</v>
          </cell>
          <cell r="L140">
            <v>1027.68</v>
          </cell>
          <cell r="M140">
            <v>2910.9</v>
          </cell>
          <cell r="N140">
            <v>2056.14</v>
          </cell>
          <cell r="W140">
            <v>50.35</v>
          </cell>
        </row>
        <row r="141">
          <cell r="F141">
            <v>3632.09</v>
          </cell>
          <cell r="G141">
            <v>13.54</v>
          </cell>
          <cell r="H141">
            <v>0</v>
          </cell>
          <cell r="I141">
            <v>38.119999999999997</v>
          </cell>
          <cell r="J141">
            <v>2.21</v>
          </cell>
          <cell r="K141">
            <v>0</v>
          </cell>
          <cell r="L141">
            <v>960.08</v>
          </cell>
          <cell r="M141">
            <v>3022.31</v>
          </cell>
          <cell r="N141">
            <v>2593.56</v>
          </cell>
          <cell r="W141">
            <v>24</v>
          </cell>
        </row>
        <row r="142">
          <cell r="F142">
            <v>3455.68</v>
          </cell>
          <cell r="G142">
            <v>13.92</v>
          </cell>
          <cell r="H142">
            <v>0</v>
          </cell>
          <cell r="I142">
            <v>40.619999999999997</v>
          </cell>
          <cell r="J142">
            <v>1.74</v>
          </cell>
          <cell r="K142">
            <v>0</v>
          </cell>
          <cell r="L142">
            <v>905.81</v>
          </cell>
          <cell r="M142">
            <v>3084.05</v>
          </cell>
          <cell r="N142">
            <v>3022.73</v>
          </cell>
          <cell r="W142">
            <v>45</v>
          </cell>
        </row>
        <row r="143">
          <cell r="F143">
            <v>3370.09</v>
          </cell>
          <cell r="G143">
            <v>13.54</v>
          </cell>
          <cell r="H143">
            <v>0</v>
          </cell>
          <cell r="I143">
            <v>38.700000000000003</v>
          </cell>
          <cell r="J143">
            <v>0.02</v>
          </cell>
          <cell r="K143">
            <v>0</v>
          </cell>
          <cell r="L143">
            <v>892.28</v>
          </cell>
          <cell r="M143">
            <v>2987.13</v>
          </cell>
          <cell r="N143">
            <v>3352.07</v>
          </cell>
          <cell r="W143">
            <v>-9.5</v>
          </cell>
        </row>
        <row r="144">
          <cell r="F144">
            <v>3416</v>
          </cell>
          <cell r="G144">
            <v>13.34</v>
          </cell>
          <cell r="H144">
            <v>0</v>
          </cell>
          <cell r="I144">
            <v>38.369999999999997</v>
          </cell>
          <cell r="J144">
            <v>0.31</v>
          </cell>
          <cell r="K144">
            <v>0</v>
          </cell>
          <cell r="L144">
            <v>952.99</v>
          </cell>
          <cell r="M144">
            <v>2926.51</v>
          </cell>
          <cell r="N144">
            <v>3570.13</v>
          </cell>
          <cell r="W144">
            <v>22.93</v>
          </cell>
        </row>
        <row r="145">
          <cell r="F145">
            <v>3325.91</v>
          </cell>
          <cell r="G145">
            <v>9.8000000000000007</v>
          </cell>
          <cell r="H145">
            <v>0</v>
          </cell>
          <cell r="I145">
            <v>38.18</v>
          </cell>
          <cell r="J145">
            <v>275.94</v>
          </cell>
          <cell r="K145">
            <v>0</v>
          </cell>
          <cell r="L145">
            <v>940.11</v>
          </cell>
          <cell r="M145">
            <v>2611.9499999999998</v>
          </cell>
          <cell r="N145">
            <v>3687.66</v>
          </cell>
          <cell r="W145">
            <v>-18</v>
          </cell>
        </row>
        <row r="146">
          <cell r="F146">
            <v>3347.89</v>
          </cell>
          <cell r="G146">
            <v>7.17</v>
          </cell>
          <cell r="H146">
            <v>0</v>
          </cell>
          <cell r="I146">
            <v>37.9</v>
          </cell>
          <cell r="J146">
            <v>47.4</v>
          </cell>
          <cell r="K146">
            <v>0</v>
          </cell>
          <cell r="L146">
            <v>1044</v>
          </cell>
          <cell r="M146">
            <v>2359.9499999999998</v>
          </cell>
          <cell r="N146">
            <v>3701.36</v>
          </cell>
          <cell r="W146">
            <v>-19.690000000000001</v>
          </cell>
        </row>
        <row r="147">
          <cell r="F147">
            <v>3353.05</v>
          </cell>
          <cell r="G147">
            <v>6.59</v>
          </cell>
          <cell r="H147">
            <v>0</v>
          </cell>
          <cell r="I147">
            <v>37.869999999999997</v>
          </cell>
          <cell r="J147">
            <v>1.51</v>
          </cell>
          <cell r="K147">
            <v>0</v>
          </cell>
          <cell r="L147">
            <v>1128.8499999999999</v>
          </cell>
          <cell r="M147">
            <v>2382.64</v>
          </cell>
          <cell r="N147">
            <v>3594.25</v>
          </cell>
          <cell r="W147">
            <v>-14.01</v>
          </cell>
        </row>
        <row r="148">
          <cell r="F148">
            <v>3321.31</v>
          </cell>
          <cell r="G148">
            <v>6.74</v>
          </cell>
          <cell r="H148">
            <v>0</v>
          </cell>
          <cell r="I148">
            <v>37.799999999999997</v>
          </cell>
          <cell r="J148">
            <v>0.09</v>
          </cell>
          <cell r="K148">
            <v>0</v>
          </cell>
          <cell r="L148">
            <v>1011.38</v>
          </cell>
          <cell r="M148">
            <v>2442.44</v>
          </cell>
          <cell r="N148">
            <v>3387.69</v>
          </cell>
          <cell r="W148">
            <v>-14.01</v>
          </cell>
        </row>
        <row r="149">
          <cell r="F149">
            <v>3353.2</v>
          </cell>
          <cell r="G149">
            <v>6.09</v>
          </cell>
          <cell r="H149">
            <v>1.33</v>
          </cell>
          <cell r="I149">
            <v>37.9</v>
          </cell>
          <cell r="J149">
            <v>0.33</v>
          </cell>
          <cell r="K149">
            <v>0</v>
          </cell>
          <cell r="L149">
            <v>910.82</v>
          </cell>
          <cell r="M149">
            <v>2422.38</v>
          </cell>
          <cell r="N149">
            <v>3085.14</v>
          </cell>
          <cell r="W149">
            <v>-18</v>
          </cell>
        </row>
        <row r="150">
          <cell r="F150">
            <v>3396.13</v>
          </cell>
          <cell r="G150">
            <v>6.7</v>
          </cell>
          <cell r="H150">
            <v>14.5</v>
          </cell>
          <cell r="I150">
            <v>37.86</v>
          </cell>
          <cell r="J150">
            <v>143.33000000000001</v>
          </cell>
          <cell r="K150">
            <v>0</v>
          </cell>
          <cell r="L150">
            <v>911.78</v>
          </cell>
          <cell r="M150">
            <v>2449.9299999999998</v>
          </cell>
          <cell r="N150">
            <v>2714.41</v>
          </cell>
          <cell r="W150">
            <v>-17.5</v>
          </cell>
        </row>
        <row r="151">
          <cell r="F151">
            <v>3611.65</v>
          </cell>
          <cell r="G151">
            <v>6.89</v>
          </cell>
          <cell r="H151">
            <v>17.329999999999998</v>
          </cell>
          <cell r="I151">
            <v>37.880000000000003</v>
          </cell>
          <cell r="J151">
            <v>281.5</v>
          </cell>
          <cell r="K151">
            <v>0</v>
          </cell>
          <cell r="L151">
            <v>948.64</v>
          </cell>
          <cell r="M151">
            <v>2426.56</v>
          </cell>
          <cell r="N151">
            <v>2221.29</v>
          </cell>
          <cell r="W151">
            <v>-14.99</v>
          </cell>
        </row>
        <row r="152">
          <cell r="F152">
            <v>4298.8100000000004</v>
          </cell>
          <cell r="G152">
            <v>8.69</v>
          </cell>
          <cell r="H152">
            <v>37</v>
          </cell>
          <cell r="I152">
            <v>37.799999999999997</v>
          </cell>
          <cell r="J152">
            <v>245.71</v>
          </cell>
          <cell r="K152">
            <v>0</v>
          </cell>
          <cell r="L152">
            <v>981.61</v>
          </cell>
          <cell r="M152">
            <v>2378.91</v>
          </cell>
          <cell r="N152">
            <v>1656.36</v>
          </cell>
          <cell r="W152">
            <v>-14.05</v>
          </cell>
        </row>
        <row r="153">
          <cell r="F153">
            <v>5171.8599999999997</v>
          </cell>
          <cell r="G153">
            <v>0.46</v>
          </cell>
          <cell r="H153">
            <v>181.67</v>
          </cell>
          <cell r="I153">
            <v>39.65</v>
          </cell>
          <cell r="J153">
            <v>15.72</v>
          </cell>
          <cell r="K153">
            <v>0</v>
          </cell>
          <cell r="L153">
            <v>954.63</v>
          </cell>
          <cell r="M153">
            <v>2025.63</v>
          </cell>
          <cell r="N153">
            <v>1067.83</v>
          </cell>
          <cell r="W153">
            <v>38.6</v>
          </cell>
        </row>
        <row r="154">
          <cell r="F154">
            <v>6325.23</v>
          </cell>
          <cell r="G154">
            <v>-1.73</v>
          </cell>
          <cell r="H154">
            <v>199.5</v>
          </cell>
          <cell r="I154">
            <v>47.35</v>
          </cell>
          <cell r="J154">
            <v>8.73</v>
          </cell>
          <cell r="K154">
            <v>0</v>
          </cell>
          <cell r="L154">
            <v>873.6</v>
          </cell>
          <cell r="M154">
            <v>1067.3399999999999</v>
          </cell>
          <cell r="N154">
            <v>535.07000000000005</v>
          </cell>
          <cell r="W154">
            <v>61.64</v>
          </cell>
        </row>
        <row r="155">
          <cell r="F155">
            <v>7169.81</v>
          </cell>
          <cell r="G155">
            <v>-1.71</v>
          </cell>
          <cell r="H155">
            <v>400</v>
          </cell>
          <cell r="I155">
            <v>475.02</v>
          </cell>
          <cell r="J155">
            <v>19.29</v>
          </cell>
          <cell r="K155">
            <v>340.54</v>
          </cell>
          <cell r="L155">
            <v>806.58</v>
          </cell>
          <cell r="M155">
            <v>212.16</v>
          </cell>
          <cell r="N155">
            <v>156.63</v>
          </cell>
          <cell r="W155">
            <v>174.6</v>
          </cell>
        </row>
        <row r="156">
          <cell r="F156">
            <v>7371.24</v>
          </cell>
          <cell r="G156">
            <v>-1.51</v>
          </cell>
          <cell r="H156">
            <v>443.83</v>
          </cell>
          <cell r="I156">
            <v>980.74</v>
          </cell>
          <cell r="J156">
            <v>80.709999999999994</v>
          </cell>
          <cell r="K156">
            <v>532.32000000000005</v>
          </cell>
          <cell r="L156">
            <v>735.13</v>
          </cell>
          <cell r="M156">
            <v>5.21</v>
          </cell>
          <cell r="N156">
            <v>18.329999999999998</v>
          </cell>
          <cell r="W156">
            <v>173.02</v>
          </cell>
        </row>
        <row r="157">
          <cell r="F157">
            <v>7437.64</v>
          </cell>
          <cell r="G157">
            <v>-1.55</v>
          </cell>
          <cell r="H157">
            <v>442.83</v>
          </cell>
          <cell r="I157">
            <v>1022.08</v>
          </cell>
          <cell r="J157">
            <v>147.34</v>
          </cell>
          <cell r="K157">
            <v>581.86</v>
          </cell>
          <cell r="L157">
            <v>698.01</v>
          </cell>
          <cell r="M157">
            <v>0.04</v>
          </cell>
          <cell r="N157">
            <v>0.27</v>
          </cell>
          <cell r="W157">
            <v>210.1</v>
          </cell>
        </row>
        <row r="158">
          <cell r="F158">
            <v>7437.2</v>
          </cell>
          <cell r="G158">
            <v>-1.6</v>
          </cell>
          <cell r="H158">
            <v>441.83</v>
          </cell>
          <cell r="I158">
            <v>1039.98</v>
          </cell>
          <cell r="J158">
            <v>232.35</v>
          </cell>
          <cell r="K158">
            <v>607.35</v>
          </cell>
          <cell r="L158">
            <v>757.01</v>
          </cell>
          <cell r="M158">
            <v>0.04</v>
          </cell>
          <cell r="N158">
            <v>0</v>
          </cell>
          <cell r="W158">
            <v>226.15</v>
          </cell>
        </row>
        <row r="159">
          <cell r="F159">
            <v>7414.18</v>
          </cell>
          <cell r="G159">
            <v>-1.92</v>
          </cell>
          <cell r="H159">
            <v>442.33</v>
          </cell>
          <cell r="I159">
            <v>1035.82</v>
          </cell>
          <cell r="J159">
            <v>158.43</v>
          </cell>
          <cell r="K159">
            <v>606.84</v>
          </cell>
          <cell r="L159">
            <v>899.33</v>
          </cell>
          <cell r="M159">
            <v>0.04</v>
          </cell>
          <cell r="N159">
            <v>0</v>
          </cell>
          <cell r="W159">
            <v>155.22999999999999</v>
          </cell>
        </row>
        <row r="160">
          <cell r="F160">
            <v>7423.35</v>
          </cell>
          <cell r="G160">
            <v>-1.74</v>
          </cell>
          <cell r="H160">
            <v>443.83</v>
          </cell>
          <cell r="I160">
            <v>1023.49</v>
          </cell>
          <cell r="J160">
            <v>98.18</v>
          </cell>
          <cell r="K160">
            <v>607.63</v>
          </cell>
          <cell r="L160">
            <v>982.25</v>
          </cell>
          <cell r="M160">
            <v>0.04</v>
          </cell>
          <cell r="N160">
            <v>0</v>
          </cell>
          <cell r="W160">
            <v>153.5</v>
          </cell>
        </row>
        <row r="161">
          <cell r="F161">
            <v>7430.95</v>
          </cell>
          <cell r="G161">
            <v>-2.23</v>
          </cell>
          <cell r="H161">
            <v>451.17</v>
          </cell>
          <cell r="I161">
            <v>963.58</v>
          </cell>
          <cell r="J161">
            <v>17.59</v>
          </cell>
          <cell r="K161">
            <v>566.23</v>
          </cell>
          <cell r="L161">
            <v>906.66</v>
          </cell>
          <cell r="M161">
            <v>0.04</v>
          </cell>
          <cell r="N161">
            <v>0</v>
          </cell>
          <cell r="W161">
            <v>150.07</v>
          </cell>
        </row>
        <row r="162">
          <cell r="F162">
            <v>7436</v>
          </cell>
          <cell r="G162">
            <v>-0.23</v>
          </cell>
          <cell r="H162">
            <v>451.83</v>
          </cell>
          <cell r="I162">
            <v>822.62</v>
          </cell>
          <cell r="J162">
            <v>2</v>
          </cell>
          <cell r="K162">
            <v>360.47</v>
          </cell>
          <cell r="L162">
            <v>958.46</v>
          </cell>
          <cell r="M162">
            <v>0.04</v>
          </cell>
          <cell r="N162">
            <v>0</v>
          </cell>
          <cell r="W162">
            <v>140.38</v>
          </cell>
        </row>
        <row r="163">
          <cell r="F163">
            <v>7435.9</v>
          </cell>
          <cell r="G163">
            <v>-0.18</v>
          </cell>
          <cell r="H163">
            <v>451.83</v>
          </cell>
          <cell r="I163">
            <v>641.17999999999995</v>
          </cell>
          <cell r="J163">
            <v>2.0699999999999998</v>
          </cell>
          <cell r="K163">
            <v>385.38</v>
          </cell>
          <cell r="L163">
            <v>938.8</v>
          </cell>
          <cell r="M163">
            <v>0.04</v>
          </cell>
          <cell r="N163">
            <v>0</v>
          </cell>
          <cell r="W163">
            <v>150.07</v>
          </cell>
        </row>
        <row r="164">
          <cell r="F164">
            <v>7432.86</v>
          </cell>
          <cell r="G164">
            <v>-0.37</v>
          </cell>
          <cell r="H164">
            <v>448.17</v>
          </cell>
          <cell r="I164">
            <v>359.13</v>
          </cell>
          <cell r="J164">
            <v>0.06</v>
          </cell>
          <cell r="K164">
            <v>505.2</v>
          </cell>
          <cell r="L164">
            <v>1015.38</v>
          </cell>
          <cell r="M164">
            <v>0.04</v>
          </cell>
          <cell r="N164">
            <v>0</v>
          </cell>
          <cell r="W164">
            <v>124.24</v>
          </cell>
        </row>
        <row r="165">
          <cell r="F165">
            <v>7398.19</v>
          </cell>
          <cell r="G165">
            <v>0.05</v>
          </cell>
          <cell r="H165">
            <v>449.5</v>
          </cell>
          <cell r="I165">
            <v>340.06</v>
          </cell>
          <cell r="J165">
            <v>1.25</v>
          </cell>
          <cell r="K165">
            <v>317.8</v>
          </cell>
          <cell r="L165">
            <v>1087.1199999999999</v>
          </cell>
          <cell r="M165">
            <v>0.04</v>
          </cell>
          <cell r="N165">
            <v>0</v>
          </cell>
          <cell r="W165">
            <v>100.02</v>
          </cell>
        </row>
        <row r="166">
          <cell r="F166">
            <v>7405.01</v>
          </cell>
          <cell r="G166">
            <v>-0.48</v>
          </cell>
          <cell r="H166">
            <v>450.83</v>
          </cell>
          <cell r="I166">
            <v>56.61</v>
          </cell>
          <cell r="J166">
            <v>0.87</v>
          </cell>
          <cell r="K166">
            <v>486.3</v>
          </cell>
          <cell r="L166">
            <v>1082.3599999999999</v>
          </cell>
          <cell r="M166">
            <v>0.04</v>
          </cell>
          <cell r="N166">
            <v>0</v>
          </cell>
          <cell r="W166">
            <v>110.83</v>
          </cell>
        </row>
        <row r="167">
          <cell r="F167">
            <v>7391.56</v>
          </cell>
          <cell r="G167">
            <v>-0.56000000000000005</v>
          </cell>
          <cell r="H167">
            <v>446.17</v>
          </cell>
          <cell r="I167">
            <v>44.47</v>
          </cell>
          <cell r="J167">
            <v>0.96</v>
          </cell>
          <cell r="K167">
            <v>255.87</v>
          </cell>
          <cell r="L167">
            <v>1114.56</v>
          </cell>
          <cell r="M167">
            <v>0.04</v>
          </cell>
          <cell r="N167">
            <v>0</v>
          </cell>
          <cell r="W167">
            <v>95.27</v>
          </cell>
        </row>
        <row r="168">
          <cell r="F168">
            <v>7296.79</v>
          </cell>
          <cell r="G168">
            <v>-0.33</v>
          </cell>
          <cell r="H168">
            <v>440</v>
          </cell>
          <cell r="I168">
            <v>44.39</v>
          </cell>
          <cell r="J168">
            <v>0.49</v>
          </cell>
          <cell r="K168">
            <v>158.85</v>
          </cell>
          <cell r="L168">
            <v>1073.1500000000001</v>
          </cell>
          <cell r="M168">
            <v>0.04</v>
          </cell>
          <cell r="N168">
            <v>0</v>
          </cell>
          <cell r="W168">
            <v>100.02</v>
          </cell>
        </row>
        <row r="169">
          <cell r="F169">
            <v>7146.93</v>
          </cell>
          <cell r="G169">
            <v>-0.41</v>
          </cell>
          <cell r="H169">
            <v>308.5</v>
          </cell>
          <cell r="I169">
            <v>44.6</v>
          </cell>
          <cell r="J169">
            <v>0.34</v>
          </cell>
          <cell r="K169">
            <v>122.72</v>
          </cell>
          <cell r="L169">
            <v>1072.5999999999999</v>
          </cell>
          <cell r="M169">
            <v>0.04</v>
          </cell>
          <cell r="N169">
            <v>0</v>
          </cell>
          <cell r="W169">
            <v>85.21</v>
          </cell>
        </row>
        <row r="170">
          <cell r="F170">
            <v>7147.07</v>
          </cell>
          <cell r="G170">
            <v>-0.94</v>
          </cell>
          <cell r="H170">
            <v>195.33</v>
          </cell>
          <cell r="I170">
            <v>44.65</v>
          </cell>
          <cell r="J170">
            <v>0.37</v>
          </cell>
          <cell r="K170">
            <v>119.14</v>
          </cell>
          <cell r="L170">
            <v>911.54</v>
          </cell>
          <cell r="M170">
            <v>0.04</v>
          </cell>
          <cell r="N170">
            <v>0</v>
          </cell>
          <cell r="W170">
            <v>85.12</v>
          </cell>
        </row>
        <row r="171">
          <cell r="F171">
            <v>7127.96</v>
          </cell>
          <cell r="G171">
            <v>-0.92</v>
          </cell>
          <cell r="H171">
            <v>190</v>
          </cell>
          <cell r="I171">
            <v>44.75</v>
          </cell>
          <cell r="J171">
            <v>0.54</v>
          </cell>
          <cell r="K171">
            <v>110.71</v>
          </cell>
          <cell r="L171">
            <v>777.82</v>
          </cell>
          <cell r="M171">
            <v>0.04</v>
          </cell>
          <cell r="N171">
            <v>0</v>
          </cell>
          <cell r="W171">
            <v>86.24</v>
          </cell>
        </row>
        <row r="172">
          <cell r="F172">
            <v>7094.64</v>
          </cell>
          <cell r="G172">
            <v>-0.83</v>
          </cell>
          <cell r="H172">
            <v>190.17</v>
          </cell>
          <cell r="I172">
            <v>44.91</v>
          </cell>
          <cell r="J172">
            <v>0.25</v>
          </cell>
          <cell r="K172">
            <v>103.52</v>
          </cell>
          <cell r="L172">
            <v>699.34</v>
          </cell>
          <cell r="M172">
            <v>0.04</v>
          </cell>
          <cell r="N172">
            <v>0</v>
          </cell>
          <cell r="W172">
            <v>86.45</v>
          </cell>
        </row>
        <row r="173">
          <cell r="F173">
            <v>6718.34</v>
          </cell>
          <cell r="G173">
            <v>-0.88</v>
          </cell>
          <cell r="H173">
            <v>190.5</v>
          </cell>
          <cell r="I173">
            <v>44.97</v>
          </cell>
          <cell r="J173">
            <v>0.28999999999999998</v>
          </cell>
          <cell r="K173">
            <v>43.12</v>
          </cell>
          <cell r="L173">
            <v>808.09</v>
          </cell>
          <cell r="M173">
            <v>0.04</v>
          </cell>
          <cell r="N173">
            <v>0</v>
          </cell>
          <cell r="W173">
            <v>75.13</v>
          </cell>
        </row>
        <row r="174">
          <cell r="F174">
            <v>6540.19</v>
          </cell>
          <cell r="G174">
            <v>-0.84</v>
          </cell>
          <cell r="H174">
            <v>190.17</v>
          </cell>
          <cell r="I174">
            <v>45.02</v>
          </cell>
          <cell r="J174">
            <v>3.79</v>
          </cell>
          <cell r="K174">
            <v>14.02</v>
          </cell>
          <cell r="L174">
            <v>800.59</v>
          </cell>
          <cell r="M174">
            <v>0.04</v>
          </cell>
          <cell r="N174">
            <v>0</v>
          </cell>
          <cell r="W174">
            <v>76.8</v>
          </cell>
        </row>
        <row r="175">
          <cell r="F175">
            <v>6419.66</v>
          </cell>
          <cell r="G175">
            <v>-0.62</v>
          </cell>
          <cell r="H175">
            <v>190.17</v>
          </cell>
          <cell r="I175">
            <v>44.9</v>
          </cell>
          <cell r="J175">
            <v>3.86</v>
          </cell>
          <cell r="K175">
            <v>14.05</v>
          </cell>
          <cell r="L175">
            <v>717.32</v>
          </cell>
          <cell r="M175">
            <v>0.04</v>
          </cell>
          <cell r="N175">
            <v>0</v>
          </cell>
          <cell r="W175">
            <v>76.8</v>
          </cell>
        </row>
        <row r="176">
          <cell r="F176">
            <v>6256.13</v>
          </cell>
          <cell r="G176">
            <v>-0.88</v>
          </cell>
          <cell r="H176">
            <v>190.17</v>
          </cell>
          <cell r="I176">
            <v>44.78</v>
          </cell>
          <cell r="J176">
            <v>0.03</v>
          </cell>
          <cell r="K176">
            <v>17.57</v>
          </cell>
          <cell r="L176">
            <v>700.78</v>
          </cell>
          <cell r="M176">
            <v>0.04</v>
          </cell>
          <cell r="N176">
            <v>0</v>
          </cell>
          <cell r="W176">
            <v>76.3</v>
          </cell>
        </row>
        <row r="177">
          <cell r="F177">
            <v>6318.02</v>
          </cell>
          <cell r="G177">
            <v>-0.7</v>
          </cell>
          <cell r="H177">
            <v>190.17</v>
          </cell>
          <cell r="I177">
            <v>43.49</v>
          </cell>
          <cell r="J177">
            <v>0.57999999999999996</v>
          </cell>
          <cell r="K177">
            <v>0</v>
          </cell>
          <cell r="L177">
            <v>777.11</v>
          </cell>
          <cell r="M177">
            <v>0.04</v>
          </cell>
          <cell r="N177">
            <v>0</v>
          </cell>
          <cell r="W177">
            <v>76.58</v>
          </cell>
        </row>
        <row r="178">
          <cell r="F178">
            <v>6334.44</v>
          </cell>
          <cell r="G178">
            <v>-0.88</v>
          </cell>
          <cell r="H178">
            <v>190.17</v>
          </cell>
          <cell r="I178">
            <v>43.71</v>
          </cell>
          <cell r="J178">
            <v>4.05</v>
          </cell>
          <cell r="K178">
            <v>0</v>
          </cell>
          <cell r="L178">
            <v>955.64</v>
          </cell>
          <cell r="M178">
            <v>0.04</v>
          </cell>
          <cell r="N178">
            <v>0</v>
          </cell>
          <cell r="W178">
            <v>74.790000000000006</v>
          </cell>
        </row>
        <row r="179">
          <cell r="F179">
            <v>6376.07</v>
          </cell>
          <cell r="G179">
            <v>-0.74</v>
          </cell>
          <cell r="H179">
            <v>198.17</v>
          </cell>
          <cell r="I179">
            <v>44.22</v>
          </cell>
          <cell r="J179">
            <v>1.85</v>
          </cell>
          <cell r="K179">
            <v>28.8</v>
          </cell>
          <cell r="L179">
            <v>1134.6600000000001</v>
          </cell>
          <cell r="M179">
            <v>0.04</v>
          </cell>
          <cell r="N179">
            <v>0</v>
          </cell>
          <cell r="W179">
            <v>73.25</v>
          </cell>
        </row>
        <row r="180">
          <cell r="F180">
            <v>6874.18</v>
          </cell>
          <cell r="G180">
            <v>-0.11</v>
          </cell>
          <cell r="H180">
            <v>297.67</v>
          </cell>
          <cell r="I180">
            <v>44.19</v>
          </cell>
          <cell r="J180">
            <v>0.38</v>
          </cell>
          <cell r="K180">
            <v>135.81</v>
          </cell>
          <cell r="L180">
            <v>1342.23</v>
          </cell>
          <cell r="M180">
            <v>0.04</v>
          </cell>
          <cell r="N180">
            <v>0</v>
          </cell>
          <cell r="W180">
            <v>83.87</v>
          </cell>
        </row>
        <row r="181">
          <cell r="F181">
            <v>7283</v>
          </cell>
          <cell r="G181">
            <v>-0.3</v>
          </cell>
          <cell r="H181">
            <v>306.83</v>
          </cell>
          <cell r="I181">
            <v>42.77</v>
          </cell>
          <cell r="J181">
            <v>6.6</v>
          </cell>
          <cell r="K181">
            <v>261.24</v>
          </cell>
          <cell r="L181">
            <v>1525.44</v>
          </cell>
          <cell r="M181">
            <v>0.04</v>
          </cell>
          <cell r="N181">
            <v>0</v>
          </cell>
          <cell r="W181">
            <v>90.66</v>
          </cell>
        </row>
        <row r="182">
          <cell r="F182">
            <v>7400.33</v>
          </cell>
          <cell r="G182">
            <v>-2.27</v>
          </cell>
          <cell r="H182">
            <v>443.83</v>
          </cell>
          <cell r="I182">
            <v>173.25</v>
          </cell>
          <cell r="J182">
            <v>40.520000000000003</v>
          </cell>
          <cell r="K182">
            <v>705.19</v>
          </cell>
          <cell r="L182">
            <v>1567.48</v>
          </cell>
          <cell r="M182">
            <v>0.04</v>
          </cell>
          <cell r="N182">
            <v>0.18</v>
          </cell>
          <cell r="W182">
            <v>113.84</v>
          </cell>
        </row>
        <row r="183">
          <cell r="F183">
            <v>7453.31</v>
          </cell>
          <cell r="G183">
            <v>-1.19</v>
          </cell>
          <cell r="H183">
            <v>450</v>
          </cell>
          <cell r="I183">
            <v>389.81</v>
          </cell>
          <cell r="J183">
            <v>139.94</v>
          </cell>
          <cell r="K183">
            <v>771.76</v>
          </cell>
          <cell r="L183">
            <v>1591.65</v>
          </cell>
          <cell r="M183">
            <v>1.56</v>
          </cell>
          <cell r="N183">
            <v>4.2699999999999996</v>
          </cell>
          <cell r="W183">
            <v>144.66</v>
          </cell>
        </row>
        <row r="184">
          <cell r="F184">
            <v>7456.8</v>
          </cell>
          <cell r="G184">
            <v>-0.82</v>
          </cell>
          <cell r="H184">
            <v>450</v>
          </cell>
          <cell r="I184">
            <v>526.04999999999995</v>
          </cell>
          <cell r="J184">
            <v>266.73</v>
          </cell>
          <cell r="K184">
            <v>780.94</v>
          </cell>
          <cell r="L184">
            <v>1593.9</v>
          </cell>
          <cell r="M184">
            <v>31.01</v>
          </cell>
          <cell r="N184">
            <v>34.81</v>
          </cell>
          <cell r="W184">
            <v>130.34</v>
          </cell>
        </row>
        <row r="185">
          <cell r="F185">
            <v>7457.68</v>
          </cell>
          <cell r="G185">
            <v>-0.18</v>
          </cell>
          <cell r="H185">
            <v>449.67</v>
          </cell>
          <cell r="I185">
            <v>525.49</v>
          </cell>
          <cell r="J185">
            <v>194.55</v>
          </cell>
          <cell r="K185">
            <v>741.74</v>
          </cell>
          <cell r="L185">
            <v>1578.1</v>
          </cell>
          <cell r="M185">
            <v>266.44</v>
          </cell>
          <cell r="N185">
            <v>126.03</v>
          </cell>
          <cell r="W185">
            <v>136.08000000000001</v>
          </cell>
        </row>
        <row r="186">
          <cell r="F186">
            <v>7406.16</v>
          </cell>
          <cell r="G186">
            <v>-2.0099999999999998</v>
          </cell>
          <cell r="H186">
            <v>449.83</v>
          </cell>
          <cell r="I186">
            <v>430.01</v>
          </cell>
          <cell r="J186">
            <v>146.44999999999999</v>
          </cell>
          <cell r="K186">
            <v>193.41</v>
          </cell>
          <cell r="L186">
            <v>1422.89</v>
          </cell>
          <cell r="M186">
            <v>634.34</v>
          </cell>
          <cell r="N186">
            <v>286.56</v>
          </cell>
          <cell r="W186">
            <v>134.16999999999999</v>
          </cell>
        </row>
        <row r="187">
          <cell r="F187">
            <v>7310.86</v>
          </cell>
          <cell r="G187">
            <v>-3.12</v>
          </cell>
          <cell r="H187">
            <v>442.5</v>
          </cell>
          <cell r="I187">
            <v>322.52999999999997</v>
          </cell>
          <cell r="J187">
            <v>30.23</v>
          </cell>
          <cell r="K187">
            <v>72.650000000000006</v>
          </cell>
          <cell r="L187">
            <v>1308.97</v>
          </cell>
          <cell r="M187">
            <v>1091.93</v>
          </cell>
          <cell r="N187">
            <v>518.02</v>
          </cell>
          <cell r="W187">
            <v>134.69</v>
          </cell>
        </row>
        <row r="188">
          <cell r="F188">
            <v>7183.54</v>
          </cell>
          <cell r="G188">
            <v>4.5</v>
          </cell>
          <cell r="H188">
            <v>448.83</v>
          </cell>
          <cell r="I188">
            <v>202.9</v>
          </cell>
          <cell r="J188">
            <v>2.73</v>
          </cell>
          <cell r="K188">
            <v>0</v>
          </cell>
          <cell r="L188">
            <v>1227.52</v>
          </cell>
          <cell r="M188">
            <v>1213.27</v>
          </cell>
          <cell r="N188">
            <v>716.74</v>
          </cell>
          <cell r="W188">
            <v>105.74</v>
          </cell>
        </row>
        <row r="189">
          <cell r="F189">
            <v>7298.68</v>
          </cell>
          <cell r="G189">
            <v>10.39</v>
          </cell>
          <cell r="H189">
            <v>449.67</v>
          </cell>
          <cell r="I189">
            <v>57.49</v>
          </cell>
          <cell r="J189">
            <v>32.299999999999997</v>
          </cell>
          <cell r="K189">
            <v>0</v>
          </cell>
          <cell r="L189">
            <v>1129.9100000000001</v>
          </cell>
          <cell r="M189">
            <v>1122.7</v>
          </cell>
          <cell r="N189">
            <v>893.4</v>
          </cell>
          <cell r="W189">
            <v>190.2</v>
          </cell>
        </row>
        <row r="190">
          <cell r="F190">
            <v>7071.56</v>
          </cell>
          <cell r="G190">
            <v>13.03</v>
          </cell>
          <cell r="H190">
            <v>448.5</v>
          </cell>
          <cell r="I190">
            <v>41.71</v>
          </cell>
          <cell r="J190">
            <v>14.56</v>
          </cell>
          <cell r="K190">
            <v>0</v>
          </cell>
          <cell r="L190">
            <v>1128.6500000000001</v>
          </cell>
          <cell r="M190">
            <v>1278.72</v>
          </cell>
          <cell r="N190">
            <v>1046.19</v>
          </cell>
          <cell r="W190">
            <v>118.95</v>
          </cell>
        </row>
        <row r="191">
          <cell r="F191">
            <v>6796.41</v>
          </cell>
          <cell r="G191">
            <v>10.81</v>
          </cell>
          <cell r="H191">
            <v>442.17</v>
          </cell>
          <cell r="I191">
            <v>41.62</v>
          </cell>
          <cell r="J191">
            <v>186.4</v>
          </cell>
          <cell r="K191">
            <v>0</v>
          </cell>
          <cell r="L191">
            <v>1198.98</v>
          </cell>
          <cell r="M191">
            <v>1638.2</v>
          </cell>
          <cell r="N191">
            <v>1204.76</v>
          </cell>
          <cell r="W191">
            <v>100.48</v>
          </cell>
        </row>
        <row r="192">
          <cell r="F192">
            <v>6706.88</v>
          </cell>
          <cell r="G192">
            <v>8.76</v>
          </cell>
          <cell r="H192">
            <v>271.83</v>
          </cell>
          <cell r="I192">
            <v>41.34</v>
          </cell>
          <cell r="J192">
            <v>276.32</v>
          </cell>
          <cell r="K192">
            <v>0</v>
          </cell>
          <cell r="L192">
            <v>1211.49</v>
          </cell>
          <cell r="M192">
            <v>1456.71</v>
          </cell>
          <cell r="N192">
            <v>1330.27</v>
          </cell>
          <cell r="W192">
            <v>99.44</v>
          </cell>
        </row>
        <row r="193">
          <cell r="F193">
            <v>6683.2</v>
          </cell>
          <cell r="G193">
            <v>10.55</v>
          </cell>
          <cell r="H193">
            <v>151.83000000000001</v>
          </cell>
          <cell r="I193">
            <v>42.69</v>
          </cell>
          <cell r="J193">
            <v>140.53</v>
          </cell>
          <cell r="K193">
            <v>0</v>
          </cell>
          <cell r="L193">
            <v>1184.02</v>
          </cell>
          <cell r="M193">
            <v>1517.83</v>
          </cell>
          <cell r="N193">
            <v>1531.68</v>
          </cell>
          <cell r="W193">
            <v>99.93</v>
          </cell>
        </row>
        <row r="194">
          <cell r="F194">
            <v>6809.4</v>
          </cell>
          <cell r="G194">
            <v>11.8</v>
          </cell>
          <cell r="H194">
            <v>199.17</v>
          </cell>
          <cell r="I194">
            <v>43.52</v>
          </cell>
          <cell r="J194">
            <v>1.1000000000000001</v>
          </cell>
          <cell r="K194">
            <v>0</v>
          </cell>
          <cell r="L194">
            <v>1205.7</v>
          </cell>
          <cell r="M194">
            <v>1423.55</v>
          </cell>
          <cell r="N194">
            <v>1862.29</v>
          </cell>
          <cell r="W194">
            <v>103.73</v>
          </cell>
        </row>
        <row r="195">
          <cell r="F195">
            <v>6867.09</v>
          </cell>
          <cell r="G195">
            <v>10.96</v>
          </cell>
          <cell r="H195">
            <v>190.17</v>
          </cell>
          <cell r="I195">
            <v>43.74</v>
          </cell>
          <cell r="J195">
            <v>1.71</v>
          </cell>
          <cell r="K195">
            <v>0</v>
          </cell>
          <cell r="L195">
            <v>1253.3800000000001</v>
          </cell>
          <cell r="M195">
            <v>1435.14</v>
          </cell>
          <cell r="N195">
            <v>2085.71</v>
          </cell>
          <cell r="W195">
            <v>92.31</v>
          </cell>
        </row>
        <row r="196">
          <cell r="F196">
            <v>6861.4</v>
          </cell>
          <cell r="G196">
            <v>8.0399999999999991</v>
          </cell>
          <cell r="H196">
            <v>190</v>
          </cell>
          <cell r="I196">
            <v>44.38</v>
          </cell>
          <cell r="J196">
            <v>0.14000000000000001</v>
          </cell>
          <cell r="K196">
            <v>0</v>
          </cell>
          <cell r="L196">
            <v>1200.22</v>
          </cell>
          <cell r="M196">
            <v>1227.99</v>
          </cell>
          <cell r="N196">
            <v>2080.25</v>
          </cell>
          <cell r="W196">
            <v>90.24</v>
          </cell>
        </row>
        <row r="197">
          <cell r="F197">
            <v>6880.14</v>
          </cell>
          <cell r="G197">
            <v>8.73</v>
          </cell>
          <cell r="H197">
            <v>190.17</v>
          </cell>
          <cell r="I197">
            <v>43.81</v>
          </cell>
          <cell r="J197">
            <v>48.38</v>
          </cell>
          <cell r="K197">
            <v>0</v>
          </cell>
          <cell r="L197">
            <v>1089.4000000000001</v>
          </cell>
          <cell r="M197">
            <v>1249.6300000000001</v>
          </cell>
          <cell r="N197">
            <v>1862.76</v>
          </cell>
          <cell r="W197">
            <v>85.68</v>
          </cell>
        </row>
        <row r="198">
          <cell r="F198">
            <v>6908.09</v>
          </cell>
          <cell r="G198">
            <v>8.48</v>
          </cell>
          <cell r="H198">
            <v>190.17</v>
          </cell>
          <cell r="I198">
            <v>44.02</v>
          </cell>
          <cell r="J198">
            <v>49.75</v>
          </cell>
          <cell r="K198">
            <v>0</v>
          </cell>
          <cell r="L198">
            <v>1085.81</v>
          </cell>
          <cell r="M198">
            <v>1174.49</v>
          </cell>
          <cell r="N198">
            <v>1496.72</v>
          </cell>
          <cell r="W198">
            <v>85.72</v>
          </cell>
        </row>
        <row r="199">
          <cell r="F199">
            <v>6977.79</v>
          </cell>
          <cell r="G199">
            <v>8.2899999999999991</v>
          </cell>
          <cell r="H199">
            <v>198.17</v>
          </cell>
          <cell r="I199">
            <v>43.92</v>
          </cell>
          <cell r="J199">
            <v>18.43</v>
          </cell>
          <cell r="K199">
            <v>0</v>
          </cell>
          <cell r="L199">
            <v>1100.31</v>
          </cell>
          <cell r="M199">
            <v>1044.1500000000001</v>
          </cell>
          <cell r="N199">
            <v>1198.3900000000001</v>
          </cell>
          <cell r="W199">
            <v>93.83</v>
          </cell>
        </row>
        <row r="200">
          <cell r="F200">
            <v>7024.53</v>
          </cell>
          <cell r="G200">
            <v>8.23</v>
          </cell>
          <cell r="H200">
            <v>317.17</v>
          </cell>
          <cell r="I200">
            <v>43.44</v>
          </cell>
          <cell r="J200">
            <v>144.30000000000001</v>
          </cell>
          <cell r="K200">
            <v>48.93</v>
          </cell>
          <cell r="L200">
            <v>1028.5</v>
          </cell>
          <cell r="M200">
            <v>866.41</v>
          </cell>
          <cell r="N200">
            <v>916.53</v>
          </cell>
          <cell r="W200">
            <v>85.8</v>
          </cell>
        </row>
        <row r="201">
          <cell r="F201">
            <v>7192.34</v>
          </cell>
          <cell r="G201">
            <v>5.2</v>
          </cell>
          <cell r="H201">
            <v>447.5</v>
          </cell>
          <cell r="I201">
            <v>87.34</v>
          </cell>
          <cell r="J201">
            <v>18.46</v>
          </cell>
          <cell r="K201">
            <v>369.14</v>
          </cell>
          <cell r="L201">
            <v>1116.44</v>
          </cell>
          <cell r="M201">
            <v>636.95000000000005</v>
          </cell>
          <cell r="N201">
            <v>585.77</v>
          </cell>
          <cell r="W201">
            <v>122.68</v>
          </cell>
        </row>
        <row r="202">
          <cell r="F202">
            <v>7361.76</v>
          </cell>
          <cell r="G202">
            <v>-2.56</v>
          </cell>
          <cell r="H202">
            <v>450</v>
          </cell>
          <cell r="I202">
            <v>435.09</v>
          </cell>
          <cell r="J202">
            <v>126.24</v>
          </cell>
          <cell r="K202">
            <v>658.29</v>
          </cell>
          <cell r="L202">
            <v>1114.25</v>
          </cell>
          <cell r="M202">
            <v>384.5</v>
          </cell>
          <cell r="N202">
            <v>329.56</v>
          </cell>
          <cell r="W202">
            <v>137.57</v>
          </cell>
        </row>
        <row r="203">
          <cell r="F203">
            <v>7430.85</v>
          </cell>
          <cell r="G203">
            <v>-1.78</v>
          </cell>
          <cell r="H203">
            <v>449.33</v>
          </cell>
          <cell r="I203">
            <v>861.28</v>
          </cell>
          <cell r="J203">
            <v>116.18</v>
          </cell>
          <cell r="K203">
            <v>975.56</v>
          </cell>
          <cell r="L203">
            <v>1027.3699999999999</v>
          </cell>
          <cell r="M203">
            <v>98.8</v>
          </cell>
          <cell r="N203">
            <v>103.2</v>
          </cell>
          <cell r="W203">
            <v>175.84</v>
          </cell>
        </row>
        <row r="204">
          <cell r="F204">
            <v>7425.79</v>
          </cell>
          <cell r="G204">
            <v>-2.58</v>
          </cell>
          <cell r="H204">
            <v>451.67</v>
          </cell>
          <cell r="I204">
            <v>1037.73</v>
          </cell>
          <cell r="J204">
            <v>186.82</v>
          </cell>
          <cell r="K204">
            <v>1210.01</v>
          </cell>
          <cell r="L204">
            <v>1008.6</v>
          </cell>
          <cell r="M204">
            <v>6.32</v>
          </cell>
          <cell r="N204">
            <v>11.91</v>
          </cell>
          <cell r="W204">
            <v>208.37</v>
          </cell>
        </row>
        <row r="205">
          <cell r="F205">
            <v>7285.92</v>
          </cell>
          <cell r="G205">
            <v>-2.46</v>
          </cell>
          <cell r="H205">
            <v>450.33</v>
          </cell>
          <cell r="I205">
            <v>1035.6199999999999</v>
          </cell>
          <cell r="J205">
            <v>172.06</v>
          </cell>
          <cell r="K205">
            <v>1262.2</v>
          </cell>
          <cell r="L205">
            <v>1065.6500000000001</v>
          </cell>
          <cell r="M205">
            <v>0.03</v>
          </cell>
          <cell r="N205">
            <v>0.11</v>
          </cell>
          <cell r="W205">
            <v>269.77999999999997</v>
          </cell>
        </row>
        <row r="206">
          <cell r="F206">
            <v>7043.9</v>
          </cell>
          <cell r="G206">
            <v>-1.97</v>
          </cell>
          <cell r="H206">
            <v>451.83</v>
          </cell>
          <cell r="I206">
            <v>1038.24</v>
          </cell>
          <cell r="J206">
            <v>228.5</v>
          </cell>
          <cell r="K206">
            <v>1389.42</v>
          </cell>
          <cell r="L206">
            <v>1164.3399999999999</v>
          </cell>
          <cell r="M206">
            <v>0.03</v>
          </cell>
          <cell r="N206">
            <v>0</v>
          </cell>
          <cell r="W206">
            <v>203.88</v>
          </cell>
        </row>
        <row r="207">
          <cell r="F207">
            <v>7031.93</v>
          </cell>
          <cell r="G207">
            <v>-2.2599999999999998</v>
          </cell>
          <cell r="H207">
            <v>450.83</v>
          </cell>
          <cell r="I207">
            <v>1037.17</v>
          </cell>
          <cell r="J207">
            <v>115.27</v>
          </cell>
          <cell r="K207">
            <v>1339.39</v>
          </cell>
          <cell r="L207">
            <v>1239.46</v>
          </cell>
          <cell r="M207">
            <v>0.03</v>
          </cell>
          <cell r="N207">
            <v>0</v>
          </cell>
          <cell r="W207">
            <v>153.72</v>
          </cell>
        </row>
        <row r="208">
          <cell r="F208">
            <v>7010.03</v>
          </cell>
          <cell r="G208">
            <v>-1.56</v>
          </cell>
          <cell r="H208">
            <v>450.83</v>
          </cell>
          <cell r="I208">
            <v>1036</v>
          </cell>
          <cell r="J208">
            <v>26.49</v>
          </cell>
          <cell r="K208">
            <v>1225.48</v>
          </cell>
          <cell r="L208">
            <v>1337.7</v>
          </cell>
          <cell r="M208">
            <v>0.03</v>
          </cell>
          <cell r="N208">
            <v>0</v>
          </cell>
          <cell r="W208">
            <v>193.27</v>
          </cell>
        </row>
        <row r="209">
          <cell r="F209">
            <v>6974.25</v>
          </cell>
          <cell r="G209">
            <v>-2.63</v>
          </cell>
          <cell r="H209">
            <v>453</v>
          </cell>
          <cell r="I209">
            <v>1028.56</v>
          </cell>
          <cell r="J209">
            <v>2.1800000000000002</v>
          </cell>
          <cell r="K209">
            <v>1143.6500000000001</v>
          </cell>
          <cell r="L209">
            <v>1383.15</v>
          </cell>
          <cell r="M209">
            <v>0.03</v>
          </cell>
          <cell r="N209">
            <v>0</v>
          </cell>
          <cell r="W209">
            <v>146.05000000000001</v>
          </cell>
        </row>
        <row r="210">
          <cell r="F210">
            <v>7001.03</v>
          </cell>
          <cell r="G210">
            <v>-2.11</v>
          </cell>
          <cell r="H210">
            <v>454.33</v>
          </cell>
          <cell r="I210">
            <v>1028.19</v>
          </cell>
          <cell r="J210">
            <v>51.99</v>
          </cell>
          <cell r="K210">
            <v>1059.47</v>
          </cell>
          <cell r="L210">
            <v>1214.76</v>
          </cell>
          <cell r="M210">
            <v>0.03</v>
          </cell>
          <cell r="N210">
            <v>0</v>
          </cell>
          <cell r="W210">
            <v>128.78</v>
          </cell>
        </row>
        <row r="211">
          <cell r="F211">
            <v>6981.95</v>
          </cell>
          <cell r="G211">
            <v>-2.66</v>
          </cell>
          <cell r="H211">
            <v>454.33</v>
          </cell>
          <cell r="I211">
            <v>998.64</v>
          </cell>
          <cell r="J211">
            <v>38.4</v>
          </cell>
          <cell r="K211">
            <v>927.6</v>
          </cell>
          <cell r="L211">
            <v>1100</v>
          </cell>
          <cell r="M211">
            <v>0.03</v>
          </cell>
          <cell r="N211">
            <v>0</v>
          </cell>
          <cell r="W211">
            <v>153.12</v>
          </cell>
        </row>
        <row r="212">
          <cell r="F212">
            <v>6969.56</v>
          </cell>
          <cell r="G212">
            <v>-2.46</v>
          </cell>
          <cell r="H212">
            <v>453</v>
          </cell>
          <cell r="I212">
            <v>656.22</v>
          </cell>
          <cell r="J212">
            <v>9.33</v>
          </cell>
          <cell r="K212">
            <v>870.78</v>
          </cell>
          <cell r="L212">
            <v>983.93</v>
          </cell>
          <cell r="M212">
            <v>0.03</v>
          </cell>
          <cell r="N212">
            <v>0</v>
          </cell>
          <cell r="W212">
            <v>163.04</v>
          </cell>
        </row>
        <row r="213">
          <cell r="F213">
            <v>6924.38</v>
          </cell>
          <cell r="G213">
            <v>-1.59</v>
          </cell>
          <cell r="H213">
            <v>430.83</v>
          </cell>
          <cell r="I213">
            <v>551.91999999999996</v>
          </cell>
          <cell r="J213">
            <v>0.96</v>
          </cell>
          <cell r="K213">
            <v>623.46</v>
          </cell>
          <cell r="L213">
            <v>917.71</v>
          </cell>
          <cell r="M213">
            <v>0.03</v>
          </cell>
          <cell r="N213">
            <v>0</v>
          </cell>
          <cell r="W213">
            <v>119.99</v>
          </cell>
        </row>
        <row r="214">
          <cell r="F214">
            <v>6895.02</v>
          </cell>
          <cell r="G214">
            <v>-2.08</v>
          </cell>
          <cell r="H214">
            <v>455</v>
          </cell>
          <cell r="I214">
            <v>334.57</v>
          </cell>
          <cell r="J214">
            <v>88.99</v>
          </cell>
          <cell r="K214">
            <v>600.72</v>
          </cell>
          <cell r="L214">
            <v>828.47</v>
          </cell>
          <cell r="M214">
            <v>0.03</v>
          </cell>
          <cell r="N214">
            <v>0</v>
          </cell>
          <cell r="W214">
            <v>158.80000000000001</v>
          </cell>
        </row>
        <row r="215">
          <cell r="F215">
            <v>6891.76</v>
          </cell>
          <cell r="G215">
            <v>-1.45</v>
          </cell>
          <cell r="H215">
            <v>422.83</v>
          </cell>
          <cell r="I215">
            <v>67.81</v>
          </cell>
          <cell r="J215">
            <v>19.87</v>
          </cell>
          <cell r="K215">
            <v>538.44000000000005</v>
          </cell>
          <cell r="L215">
            <v>879.75</v>
          </cell>
          <cell r="M215">
            <v>0.03</v>
          </cell>
          <cell r="N215">
            <v>0</v>
          </cell>
          <cell r="W215">
            <v>142</v>
          </cell>
        </row>
        <row r="216">
          <cell r="F216">
            <v>6848.61</v>
          </cell>
          <cell r="G216">
            <v>-2.06</v>
          </cell>
          <cell r="H216">
            <v>302.17</v>
          </cell>
          <cell r="I216">
            <v>45.33</v>
          </cell>
          <cell r="J216">
            <v>0.57999999999999996</v>
          </cell>
          <cell r="K216">
            <v>372.84</v>
          </cell>
          <cell r="L216">
            <v>979.2</v>
          </cell>
          <cell r="M216">
            <v>0.03</v>
          </cell>
          <cell r="N216">
            <v>0</v>
          </cell>
          <cell r="W216">
            <v>87.28</v>
          </cell>
        </row>
        <row r="217">
          <cell r="F217">
            <v>6764.92</v>
          </cell>
          <cell r="G217">
            <v>-2.4500000000000002</v>
          </cell>
          <cell r="H217">
            <v>291</v>
          </cell>
          <cell r="I217">
            <v>45.1</v>
          </cell>
          <cell r="J217">
            <v>1.87</v>
          </cell>
          <cell r="K217">
            <v>302.93</v>
          </cell>
          <cell r="L217">
            <v>933.73</v>
          </cell>
          <cell r="M217">
            <v>0.03</v>
          </cell>
          <cell r="N217">
            <v>0</v>
          </cell>
          <cell r="W217">
            <v>80.03</v>
          </cell>
        </row>
        <row r="218">
          <cell r="F218">
            <v>6589.13</v>
          </cell>
          <cell r="G218">
            <v>-0.92</v>
          </cell>
          <cell r="H218">
            <v>194</v>
          </cell>
          <cell r="I218">
            <v>44.54</v>
          </cell>
          <cell r="J218">
            <v>0.11</v>
          </cell>
          <cell r="K218">
            <v>226.89</v>
          </cell>
          <cell r="L218">
            <v>954.46</v>
          </cell>
          <cell r="M218">
            <v>0.03</v>
          </cell>
          <cell r="N218">
            <v>0</v>
          </cell>
          <cell r="W218">
            <v>83.72</v>
          </cell>
        </row>
        <row r="219">
          <cell r="F219">
            <v>6365.28</v>
          </cell>
          <cell r="G219">
            <v>-0.75</v>
          </cell>
          <cell r="H219">
            <v>190</v>
          </cell>
          <cell r="I219">
            <v>44.21</v>
          </cell>
          <cell r="J219">
            <v>1.17</v>
          </cell>
          <cell r="K219">
            <v>74.290000000000006</v>
          </cell>
          <cell r="L219">
            <v>985.39</v>
          </cell>
          <cell r="M219">
            <v>0.03</v>
          </cell>
          <cell r="N219">
            <v>0</v>
          </cell>
          <cell r="W219">
            <v>75.25</v>
          </cell>
        </row>
        <row r="220">
          <cell r="F220">
            <v>6234.07</v>
          </cell>
          <cell r="G220">
            <v>-2.37</v>
          </cell>
          <cell r="H220">
            <v>189.83</v>
          </cell>
          <cell r="I220">
            <v>42.96</v>
          </cell>
          <cell r="J220">
            <v>3.33</v>
          </cell>
          <cell r="K220">
            <v>76.22</v>
          </cell>
          <cell r="L220">
            <v>1041.4000000000001</v>
          </cell>
          <cell r="M220">
            <v>0.03</v>
          </cell>
          <cell r="N220">
            <v>0</v>
          </cell>
          <cell r="W220">
            <v>76.58</v>
          </cell>
        </row>
        <row r="221">
          <cell r="F221">
            <v>6096.22</v>
          </cell>
          <cell r="G221">
            <v>-4.2699999999999996</v>
          </cell>
          <cell r="H221">
            <v>190</v>
          </cell>
          <cell r="I221">
            <v>43</v>
          </cell>
          <cell r="J221">
            <v>3.31</v>
          </cell>
          <cell r="K221">
            <v>59.41</v>
          </cell>
          <cell r="L221">
            <v>1014.4</v>
          </cell>
          <cell r="M221">
            <v>0.03</v>
          </cell>
          <cell r="N221">
            <v>0</v>
          </cell>
          <cell r="W221">
            <v>60.26</v>
          </cell>
        </row>
        <row r="222">
          <cell r="F222">
            <v>6098.62</v>
          </cell>
          <cell r="G222">
            <v>-4.49</v>
          </cell>
          <cell r="H222">
            <v>190.33</v>
          </cell>
          <cell r="I222">
            <v>43.36</v>
          </cell>
          <cell r="J222">
            <v>3.86</v>
          </cell>
          <cell r="K222">
            <v>27.58</v>
          </cell>
          <cell r="L222">
            <v>918.22</v>
          </cell>
          <cell r="M222">
            <v>0.03</v>
          </cell>
          <cell r="N222">
            <v>0</v>
          </cell>
          <cell r="W222">
            <v>76.8</v>
          </cell>
        </row>
        <row r="223">
          <cell r="F223">
            <v>5986.73</v>
          </cell>
          <cell r="G223">
            <v>-4.3600000000000003</v>
          </cell>
          <cell r="H223">
            <v>190</v>
          </cell>
          <cell r="I223">
            <v>43.2</v>
          </cell>
          <cell r="J223">
            <v>3.74</v>
          </cell>
          <cell r="K223">
            <v>4.97</v>
          </cell>
          <cell r="L223">
            <v>822.27</v>
          </cell>
          <cell r="M223">
            <v>0.03</v>
          </cell>
          <cell r="N223">
            <v>0</v>
          </cell>
          <cell r="W223">
            <v>76.8</v>
          </cell>
        </row>
        <row r="224">
          <cell r="F224">
            <v>5813.57</v>
          </cell>
          <cell r="G224">
            <v>-4.25</v>
          </cell>
          <cell r="H224">
            <v>190</v>
          </cell>
          <cell r="I224">
            <v>43.31</v>
          </cell>
          <cell r="J224">
            <v>0.05</v>
          </cell>
          <cell r="K224">
            <v>0.28000000000000003</v>
          </cell>
          <cell r="L224">
            <v>831.72</v>
          </cell>
          <cell r="M224">
            <v>0.03</v>
          </cell>
          <cell r="N224">
            <v>0</v>
          </cell>
          <cell r="W224">
            <v>64.89</v>
          </cell>
        </row>
        <row r="225">
          <cell r="F225">
            <v>5836.79</v>
          </cell>
          <cell r="G225">
            <v>5.95</v>
          </cell>
          <cell r="H225">
            <v>190.33</v>
          </cell>
          <cell r="I225">
            <v>42.78</v>
          </cell>
          <cell r="J225">
            <v>0.6</v>
          </cell>
          <cell r="K225">
            <v>39.700000000000003</v>
          </cell>
          <cell r="L225">
            <v>880.97</v>
          </cell>
          <cell r="M225">
            <v>0.03</v>
          </cell>
          <cell r="N225">
            <v>0</v>
          </cell>
          <cell r="W225">
            <v>77.97</v>
          </cell>
        </row>
        <row r="226">
          <cell r="F226">
            <v>5783.17</v>
          </cell>
          <cell r="G226">
            <v>21.02</v>
          </cell>
          <cell r="H226">
            <v>189.83</v>
          </cell>
          <cell r="I226">
            <v>42.48</v>
          </cell>
          <cell r="J226">
            <v>0.59</v>
          </cell>
          <cell r="K226">
            <v>50.75</v>
          </cell>
          <cell r="L226">
            <v>947.86</v>
          </cell>
          <cell r="M226">
            <v>0.03</v>
          </cell>
          <cell r="N226">
            <v>0</v>
          </cell>
          <cell r="W226">
            <v>76.58</v>
          </cell>
        </row>
        <row r="227">
          <cell r="F227">
            <v>5928.17</v>
          </cell>
          <cell r="G227">
            <v>20.59</v>
          </cell>
          <cell r="H227">
            <v>190.33</v>
          </cell>
          <cell r="I227">
            <v>41.28</v>
          </cell>
          <cell r="J227">
            <v>1.36</v>
          </cell>
          <cell r="K227">
            <v>74.22</v>
          </cell>
          <cell r="L227">
            <v>980.55</v>
          </cell>
          <cell r="M227">
            <v>0.03</v>
          </cell>
          <cell r="N227">
            <v>0</v>
          </cell>
          <cell r="W227">
            <v>76.58</v>
          </cell>
        </row>
        <row r="228">
          <cell r="F228">
            <v>6183.11</v>
          </cell>
          <cell r="G228">
            <v>20.440000000000001</v>
          </cell>
          <cell r="H228">
            <v>198.33</v>
          </cell>
          <cell r="I228">
            <v>40.58</v>
          </cell>
          <cell r="J228">
            <v>2.0299999999999998</v>
          </cell>
          <cell r="K228">
            <v>221.8</v>
          </cell>
          <cell r="L228">
            <v>995.76</v>
          </cell>
          <cell r="M228">
            <v>0.03</v>
          </cell>
          <cell r="N228">
            <v>0</v>
          </cell>
          <cell r="W228">
            <v>80.010000000000005</v>
          </cell>
        </row>
        <row r="229">
          <cell r="F229">
            <v>6584.98</v>
          </cell>
          <cell r="G229">
            <v>21.97</v>
          </cell>
          <cell r="H229">
            <v>400.33</v>
          </cell>
          <cell r="I229">
            <v>62.36</v>
          </cell>
          <cell r="J229">
            <v>19.12</v>
          </cell>
          <cell r="K229">
            <v>478.8</v>
          </cell>
          <cell r="L229">
            <v>991.43</v>
          </cell>
          <cell r="M229">
            <v>0.03</v>
          </cell>
          <cell r="N229">
            <v>0</v>
          </cell>
          <cell r="W229">
            <v>118.95</v>
          </cell>
        </row>
        <row r="230">
          <cell r="F230">
            <v>6800.91</v>
          </cell>
          <cell r="G230">
            <v>22.15</v>
          </cell>
          <cell r="H230">
            <v>450.5</v>
          </cell>
          <cell r="I230">
            <v>353.98</v>
          </cell>
          <cell r="J230">
            <v>96.17</v>
          </cell>
          <cell r="K230">
            <v>789.86</v>
          </cell>
          <cell r="L230">
            <v>984.67</v>
          </cell>
          <cell r="M230">
            <v>0.03</v>
          </cell>
          <cell r="N230">
            <v>0.12</v>
          </cell>
          <cell r="W230">
            <v>120.01</v>
          </cell>
        </row>
        <row r="231">
          <cell r="F231">
            <v>6816.89</v>
          </cell>
          <cell r="G231">
            <v>23.93</v>
          </cell>
          <cell r="H231">
            <v>451</v>
          </cell>
          <cell r="I231">
            <v>795.02</v>
          </cell>
          <cell r="J231">
            <v>167.76</v>
          </cell>
          <cell r="K231">
            <v>983.02</v>
          </cell>
          <cell r="L231">
            <v>904.96</v>
          </cell>
          <cell r="M231">
            <v>1.18</v>
          </cell>
          <cell r="N231">
            <v>7.98</v>
          </cell>
          <cell r="W231">
            <v>150.07</v>
          </cell>
        </row>
        <row r="232">
          <cell r="F232">
            <v>6875.66</v>
          </cell>
          <cell r="G232">
            <v>26.83</v>
          </cell>
          <cell r="H232">
            <v>451.5</v>
          </cell>
          <cell r="I232">
            <v>871.8</v>
          </cell>
          <cell r="J232">
            <v>125.37</v>
          </cell>
          <cell r="K232">
            <v>1089.02</v>
          </cell>
          <cell r="L232">
            <v>842.58</v>
          </cell>
          <cell r="M232">
            <v>67.34</v>
          </cell>
          <cell r="N232">
            <v>96.5</v>
          </cell>
          <cell r="W232">
            <v>176.21</v>
          </cell>
        </row>
        <row r="233">
          <cell r="F233">
            <v>6884.99</v>
          </cell>
          <cell r="G233">
            <v>28.03</v>
          </cell>
          <cell r="H233">
            <v>451.33</v>
          </cell>
          <cell r="I233">
            <v>852.25</v>
          </cell>
          <cell r="J233">
            <v>133.88999999999999</v>
          </cell>
          <cell r="K233">
            <v>843.08</v>
          </cell>
          <cell r="L233">
            <v>786.68</v>
          </cell>
          <cell r="M233">
            <v>434.25</v>
          </cell>
          <cell r="N233">
            <v>401.36</v>
          </cell>
          <cell r="W233">
            <v>143.37</v>
          </cell>
        </row>
        <row r="234">
          <cell r="F234">
            <v>6740.14</v>
          </cell>
          <cell r="G234">
            <v>28.17</v>
          </cell>
          <cell r="H234">
            <v>380.33</v>
          </cell>
          <cell r="I234">
            <v>609.87</v>
          </cell>
          <cell r="J234">
            <v>77.94</v>
          </cell>
          <cell r="K234">
            <v>243.18</v>
          </cell>
          <cell r="L234">
            <v>728.07</v>
          </cell>
          <cell r="M234">
            <v>1038.1199999999999</v>
          </cell>
          <cell r="N234">
            <v>889.76</v>
          </cell>
          <cell r="W234">
            <v>134.05000000000001</v>
          </cell>
        </row>
        <row r="235">
          <cell r="F235">
            <v>6353.45</v>
          </cell>
          <cell r="G235">
            <v>26.62</v>
          </cell>
          <cell r="H235">
            <v>120.67</v>
          </cell>
          <cell r="I235">
            <v>370.52</v>
          </cell>
          <cell r="J235">
            <v>37.97</v>
          </cell>
          <cell r="K235">
            <v>80</v>
          </cell>
          <cell r="L235">
            <v>577.47</v>
          </cell>
          <cell r="M235">
            <v>1505.56</v>
          </cell>
          <cell r="N235">
            <v>1469.23</v>
          </cell>
          <cell r="W235">
            <v>76.8</v>
          </cell>
        </row>
        <row r="236">
          <cell r="F236">
            <v>6027.26</v>
          </cell>
          <cell r="G236">
            <v>7.14</v>
          </cell>
          <cell r="H236">
            <v>0</v>
          </cell>
          <cell r="I236">
            <v>71.680000000000007</v>
          </cell>
          <cell r="J236">
            <v>6.25</v>
          </cell>
          <cell r="K236">
            <v>32.31</v>
          </cell>
          <cell r="L236">
            <v>520.59</v>
          </cell>
          <cell r="M236">
            <v>1840.47</v>
          </cell>
          <cell r="N236">
            <v>2052.06</v>
          </cell>
          <cell r="W236">
            <v>63.76</v>
          </cell>
        </row>
        <row r="237">
          <cell r="F237">
            <v>5381.56</v>
          </cell>
          <cell r="G237">
            <v>-0.23</v>
          </cell>
          <cell r="H237">
            <v>0</v>
          </cell>
          <cell r="I237">
            <v>36.799999999999997</v>
          </cell>
          <cell r="J237">
            <v>0.53</v>
          </cell>
          <cell r="K237">
            <v>34.25</v>
          </cell>
          <cell r="L237">
            <v>506.81</v>
          </cell>
          <cell r="M237">
            <v>2087.0500000000002</v>
          </cell>
          <cell r="N237">
            <v>2591.34</v>
          </cell>
          <cell r="W237">
            <v>-0.01</v>
          </cell>
        </row>
        <row r="238">
          <cell r="F238">
            <v>4791.59</v>
          </cell>
          <cell r="G238">
            <v>-0.13</v>
          </cell>
          <cell r="H238">
            <v>0</v>
          </cell>
          <cell r="I238">
            <v>36.56</v>
          </cell>
          <cell r="J238">
            <v>0.03</v>
          </cell>
          <cell r="K238">
            <v>0</v>
          </cell>
          <cell r="L238">
            <v>457.49</v>
          </cell>
          <cell r="M238">
            <v>2175.84</v>
          </cell>
          <cell r="N238">
            <v>3025.77</v>
          </cell>
          <cell r="W238">
            <v>56.98</v>
          </cell>
        </row>
        <row r="239">
          <cell r="F239">
            <v>4094.45</v>
          </cell>
          <cell r="G239">
            <v>-0.03</v>
          </cell>
          <cell r="H239">
            <v>0</v>
          </cell>
          <cell r="I239">
            <v>36.17</v>
          </cell>
          <cell r="J239">
            <v>137.94999999999999</v>
          </cell>
          <cell r="K239">
            <v>0</v>
          </cell>
          <cell r="L239">
            <v>466.01</v>
          </cell>
          <cell r="M239">
            <v>2357.94</v>
          </cell>
          <cell r="N239">
            <v>3358.54</v>
          </cell>
          <cell r="W239">
            <v>-14.01</v>
          </cell>
        </row>
        <row r="240">
          <cell r="F240">
            <v>3594.12</v>
          </cell>
          <cell r="G240">
            <v>-0.05</v>
          </cell>
          <cell r="H240">
            <v>0</v>
          </cell>
          <cell r="I240">
            <v>35.770000000000003</v>
          </cell>
          <cell r="J240">
            <v>129.59</v>
          </cell>
          <cell r="K240">
            <v>0</v>
          </cell>
          <cell r="L240">
            <v>437.97</v>
          </cell>
          <cell r="M240">
            <v>2518.3200000000002</v>
          </cell>
          <cell r="N240">
            <v>3578.98</v>
          </cell>
          <cell r="W240">
            <v>35.880000000000003</v>
          </cell>
        </row>
        <row r="241">
          <cell r="F241">
            <v>3480.66</v>
          </cell>
          <cell r="G241">
            <v>-0.81</v>
          </cell>
          <cell r="H241">
            <v>0</v>
          </cell>
          <cell r="I241">
            <v>35.65</v>
          </cell>
          <cell r="J241">
            <v>0.75</v>
          </cell>
          <cell r="K241">
            <v>0</v>
          </cell>
          <cell r="L241">
            <v>394.03</v>
          </cell>
          <cell r="M241">
            <v>2607.6</v>
          </cell>
          <cell r="N241">
            <v>3698.06</v>
          </cell>
          <cell r="W241">
            <v>-9.5</v>
          </cell>
        </row>
        <row r="242">
          <cell r="F242">
            <v>3401.49</v>
          </cell>
          <cell r="G242">
            <v>-0.89</v>
          </cell>
          <cell r="H242">
            <v>0</v>
          </cell>
          <cell r="I242">
            <v>36.44</v>
          </cell>
          <cell r="J242">
            <v>1.18</v>
          </cell>
          <cell r="K242">
            <v>0</v>
          </cell>
          <cell r="L242">
            <v>418.58</v>
          </cell>
          <cell r="M242">
            <v>2571.08</v>
          </cell>
          <cell r="N242">
            <v>3708.24</v>
          </cell>
          <cell r="W242">
            <v>56.98</v>
          </cell>
        </row>
        <row r="243">
          <cell r="F243">
            <v>3382.89</v>
          </cell>
          <cell r="G243">
            <v>5.98</v>
          </cell>
          <cell r="H243">
            <v>0</v>
          </cell>
          <cell r="I243">
            <v>37.31</v>
          </cell>
          <cell r="J243">
            <v>0.42</v>
          </cell>
          <cell r="K243">
            <v>0</v>
          </cell>
          <cell r="L243">
            <v>507.13</v>
          </cell>
          <cell r="M243">
            <v>2446.92</v>
          </cell>
          <cell r="N243">
            <v>3593.2</v>
          </cell>
          <cell r="W243">
            <v>-14.99</v>
          </cell>
        </row>
        <row r="244">
          <cell r="F244">
            <v>3391.47</v>
          </cell>
          <cell r="G244">
            <v>17.32</v>
          </cell>
          <cell r="H244">
            <v>0</v>
          </cell>
          <cell r="I244">
            <v>36.93</v>
          </cell>
          <cell r="J244">
            <v>17.059999999999999</v>
          </cell>
          <cell r="K244">
            <v>0</v>
          </cell>
          <cell r="L244">
            <v>550.49</v>
          </cell>
          <cell r="M244">
            <v>2344.6</v>
          </cell>
          <cell r="N244">
            <v>3386.53</v>
          </cell>
          <cell r="W244">
            <v>-18</v>
          </cell>
        </row>
        <row r="245">
          <cell r="F245">
            <v>3393.65</v>
          </cell>
          <cell r="G245">
            <v>16.13</v>
          </cell>
          <cell r="H245">
            <v>0</v>
          </cell>
          <cell r="I245">
            <v>36.880000000000003</v>
          </cell>
          <cell r="J245">
            <v>1.87</v>
          </cell>
          <cell r="K245">
            <v>0</v>
          </cell>
          <cell r="L245">
            <v>618.38</v>
          </cell>
          <cell r="M245">
            <v>2393.77</v>
          </cell>
          <cell r="N245">
            <v>3096.16</v>
          </cell>
          <cell r="W245">
            <v>-9.5</v>
          </cell>
        </row>
        <row r="246">
          <cell r="F246">
            <v>3576.46</v>
          </cell>
          <cell r="G246">
            <v>14.86</v>
          </cell>
          <cell r="H246">
            <v>0</v>
          </cell>
          <cell r="I246">
            <v>37.08</v>
          </cell>
          <cell r="J246">
            <v>1.87</v>
          </cell>
          <cell r="K246">
            <v>0</v>
          </cell>
          <cell r="L246">
            <v>660.47</v>
          </cell>
          <cell r="M246">
            <v>2390.09</v>
          </cell>
          <cell r="N246">
            <v>2720.09</v>
          </cell>
          <cell r="W246">
            <v>-14.99</v>
          </cell>
        </row>
        <row r="247">
          <cell r="F247">
            <v>3890.8</v>
          </cell>
          <cell r="G247">
            <v>14.82</v>
          </cell>
          <cell r="H247">
            <v>3.83</v>
          </cell>
          <cell r="I247">
            <v>37.17</v>
          </cell>
          <cell r="J247">
            <v>6.61</v>
          </cell>
          <cell r="K247">
            <v>0</v>
          </cell>
          <cell r="L247">
            <v>663.22</v>
          </cell>
          <cell r="M247">
            <v>2312.6</v>
          </cell>
          <cell r="N247">
            <v>2242.0500000000002</v>
          </cell>
          <cell r="W247">
            <v>35.880000000000003</v>
          </cell>
        </row>
        <row r="248">
          <cell r="F248">
            <v>4338.79</v>
          </cell>
          <cell r="G248">
            <v>15.96</v>
          </cell>
          <cell r="H248">
            <v>101.33</v>
          </cell>
          <cell r="I248">
            <v>37.840000000000003</v>
          </cell>
          <cell r="J248">
            <v>32.04</v>
          </cell>
          <cell r="K248">
            <v>0</v>
          </cell>
          <cell r="L248">
            <v>642.19000000000005</v>
          </cell>
          <cell r="M248">
            <v>2153.73</v>
          </cell>
          <cell r="N248">
            <v>1667.16</v>
          </cell>
          <cell r="W248">
            <v>0</v>
          </cell>
        </row>
        <row r="249">
          <cell r="F249">
            <v>5004.04</v>
          </cell>
          <cell r="G249">
            <v>15.33</v>
          </cell>
          <cell r="H249">
            <v>233.17</v>
          </cell>
          <cell r="I249">
            <v>103.98</v>
          </cell>
          <cell r="J249">
            <v>46.69</v>
          </cell>
          <cell r="K249">
            <v>0</v>
          </cell>
          <cell r="L249">
            <v>613.4</v>
          </cell>
          <cell r="M249">
            <v>1732.88</v>
          </cell>
          <cell r="N249">
            <v>1077.18</v>
          </cell>
          <cell r="W249">
            <v>102.78</v>
          </cell>
        </row>
        <row r="250">
          <cell r="F250">
            <v>6023.8</v>
          </cell>
          <cell r="G250">
            <v>5.85</v>
          </cell>
          <cell r="H250">
            <v>401.83</v>
          </cell>
          <cell r="I250">
            <v>544.23</v>
          </cell>
          <cell r="J250">
            <v>117.61</v>
          </cell>
          <cell r="K250">
            <v>360.59</v>
          </cell>
          <cell r="L250">
            <v>600.11</v>
          </cell>
          <cell r="M250">
            <v>1049.21</v>
          </cell>
          <cell r="N250">
            <v>544.84</v>
          </cell>
          <cell r="W250">
            <v>97.87</v>
          </cell>
        </row>
        <row r="251">
          <cell r="F251">
            <v>6450.83</v>
          </cell>
          <cell r="G251">
            <v>-4.87</v>
          </cell>
          <cell r="H251">
            <v>441.5</v>
          </cell>
          <cell r="I251">
            <v>727.54</v>
          </cell>
          <cell r="J251">
            <v>269.66000000000003</v>
          </cell>
          <cell r="K251">
            <v>873.38</v>
          </cell>
          <cell r="L251">
            <v>555.47</v>
          </cell>
          <cell r="M251">
            <v>294.99</v>
          </cell>
          <cell r="N251">
            <v>161.56</v>
          </cell>
          <cell r="W251">
            <v>173.64</v>
          </cell>
        </row>
        <row r="252">
          <cell r="F252">
            <v>6796.95</v>
          </cell>
          <cell r="G252">
            <v>-6.02</v>
          </cell>
          <cell r="H252">
            <v>449</v>
          </cell>
          <cell r="I252">
            <v>1026.98</v>
          </cell>
          <cell r="J252">
            <v>307.17</v>
          </cell>
          <cell r="K252">
            <v>1086.53</v>
          </cell>
          <cell r="L252">
            <v>513.66999999999996</v>
          </cell>
          <cell r="M252">
            <v>12.64</v>
          </cell>
          <cell r="N252">
            <v>18.989999999999998</v>
          </cell>
          <cell r="W252">
            <v>158.97999999999999</v>
          </cell>
        </row>
        <row r="253">
          <cell r="F253">
            <v>6879</v>
          </cell>
          <cell r="G253">
            <v>-4.0199999999999996</v>
          </cell>
          <cell r="H253">
            <v>476.23</v>
          </cell>
          <cell r="I253">
            <v>1039.6400000000001</v>
          </cell>
          <cell r="J253">
            <v>253.76</v>
          </cell>
          <cell r="K253">
            <v>1265.21</v>
          </cell>
          <cell r="L253">
            <v>530.42999999999995</v>
          </cell>
          <cell r="M253">
            <v>0.05</v>
          </cell>
          <cell r="N253">
            <v>0.26</v>
          </cell>
          <cell r="W253">
            <v>277.92</v>
          </cell>
        </row>
        <row r="254">
          <cell r="F254">
            <v>6902.17</v>
          </cell>
          <cell r="G254">
            <v>-2.09</v>
          </cell>
          <cell r="H254">
            <v>529.34</v>
          </cell>
          <cell r="I254">
            <v>1032.6600000000001</v>
          </cell>
          <cell r="J254">
            <v>241.43</v>
          </cell>
          <cell r="K254">
            <v>1389.06</v>
          </cell>
          <cell r="L254">
            <v>528.08000000000004</v>
          </cell>
          <cell r="M254">
            <v>0.05</v>
          </cell>
          <cell r="N254">
            <v>0</v>
          </cell>
          <cell r="W254">
            <v>261.18</v>
          </cell>
        </row>
        <row r="255">
          <cell r="F255">
            <v>6929.51</v>
          </cell>
          <cell r="G255">
            <v>-2.2000000000000002</v>
          </cell>
          <cell r="H255">
            <v>530.91999999999996</v>
          </cell>
          <cell r="I255">
            <v>1023.79</v>
          </cell>
          <cell r="J255">
            <v>186.71</v>
          </cell>
          <cell r="K255">
            <v>1433.19</v>
          </cell>
          <cell r="L255">
            <v>540.27</v>
          </cell>
          <cell r="M255">
            <v>0.05</v>
          </cell>
          <cell r="N255">
            <v>0</v>
          </cell>
          <cell r="W255">
            <v>299.99</v>
          </cell>
        </row>
        <row r="256">
          <cell r="F256">
            <v>6949.18</v>
          </cell>
          <cell r="G256">
            <v>-0.41</v>
          </cell>
          <cell r="H256">
            <v>530.16999999999996</v>
          </cell>
          <cell r="I256">
            <v>1042.5</v>
          </cell>
          <cell r="J256">
            <v>65.61</v>
          </cell>
          <cell r="K256">
            <v>1398.95</v>
          </cell>
          <cell r="L256">
            <v>466.98</v>
          </cell>
          <cell r="M256">
            <v>0.05</v>
          </cell>
          <cell r="N256">
            <v>0</v>
          </cell>
          <cell r="W256">
            <v>240.57</v>
          </cell>
        </row>
        <row r="257">
          <cell r="F257">
            <v>6958.2</v>
          </cell>
          <cell r="G257">
            <v>-1.6</v>
          </cell>
          <cell r="H257">
            <v>531.04999999999995</v>
          </cell>
          <cell r="I257">
            <v>1036.0999999999999</v>
          </cell>
          <cell r="J257">
            <v>38.51</v>
          </cell>
          <cell r="K257">
            <v>1178.3399999999999</v>
          </cell>
          <cell r="L257">
            <v>444.76</v>
          </cell>
          <cell r="M257">
            <v>0.05</v>
          </cell>
          <cell r="N257">
            <v>0</v>
          </cell>
          <cell r="W257">
            <v>207.34</v>
          </cell>
        </row>
        <row r="258">
          <cell r="F258">
            <v>6928.49</v>
          </cell>
          <cell r="G258">
            <v>-1.25</v>
          </cell>
          <cell r="H258">
            <v>517.71</v>
          </cell>
          <cell r="I258">
            <v>1030.04</v>
          </cell>
          <cell r="J258">
            <v>19.989999999999998</v>
          </cell>
          <cell r="K258">
            <v>1096.73</v>
          </cell>
          <cell r="L258">
            <v>427.13</v>
          </cell>
          <cell r="M258">
            <v>0.05</v>
          </cell>
          <cell r="N258">
            <v>0</v>
          </cell>
          <cell r="W258">
            <v>175.46</v>
          </cell>
        </row>
        <row r="259">
          <cell r="F259">
            <v>6979.48</v>
          </cell>
          <cell r="G259">
            <v>-0.04</v>
          </cell>
          <cell r="H259">
            <v>450</v>
          </cell>
          <cell r="I259">
            <v>855.34</v>
          </cell>
          <cell r="J259">
            <v>4.79</v>
          </cell>
          <cell r="K259">
            <v>1021.54</v>
          </cell>
          <cell r="L259">
            <v>419.54</v>
          </cell>
          <cell r="M259">
            <v>0.05</v>
          </cell>
          <cell r="N259">
            <v>0</v>
          </cell>
          <cell r="W259">
            <v>158.97999999999999</v>
          </cell>
        </row>
        <row r="260">
          <cell r="F260">
            <v>7052.77</v>
          </cell>
          <cell r="G260">
            <v>-1.1499999999999999</v>
          </cell>
          <cell r="H260">
            <v>451.33</v>
          </cell>
          <cell r="I260">
            <v>687.79</v>
          </cell>
          <cell r="J260">
            <v>0.43</v>
          </cell>
          <cell r="K260">
            <v>819.09</v>
          </cell>
          <cell r="L260">
            <v>389.36</v>
          </cell>
          <cell r="M260">
            <v>0.05</v>
          </cell>
          <cell r="N260">
            <v>0</v>
          </cell>
          <cell r="W260">
            <v>158.99</v>
          </cell>
        </row>
        <row r="261">
          <cell r="F261">
            <v>7089.3</v>
          </cell>
          <cell r="G261">
            <v>-0.57999999999999996</v>
          </cell>
          <cell r="H261">
            <v>449.17</v>
          </cell>
          <cell r="I261">
            <v>359.53</v>
          </cell>
          <cell r="J261">
            <v>5.94</v>
          </cell>
          <cell r="K261">
            <v>540.91</v>
          </cell>
          <cell r="L261">
            <v>384.31</v>
          </cell>
          <cell r="M261">
            <v>0.05</v>
          </cell>
          <cell r="N261">
            <v>0</v>
          </cell>
          <cell r="W261">
            <v>149.99</v>
          </cell>
        </row>
        <row r="262">
          <cell r="F262">
            <v>7103.07</v>
          </cell>
          <cell r="G262">
            <v>0.47</v>
          </cell>
          <cell r="H262">
            <v>451.83</v>
          </cell>
          <cell r="I262">
            <v>155.96</v>
          </cell>
          <cell r="J262">
            <v>6.51</v>
          </cell>
          <cell r="K262">
            <v>506.52</v>
          </cell>
          <cell r="L262">
            <v>350.06</v>
          </cell>
          <cell r="M262">
            <v>0.05</v>
          </cell>
          <cell r="N262">
            <v>0</v>
          </cell>
          <cell r="W262">
            <v>158.97999999999999</v>
          </cell>
        </row>
        <row r="263">
          <cell r="F263">
            <v>7103.03</v>
          </cell>
          <cell r="G263">
            <v>3.5</v>
          </cell>
          <cell r="H263">
            <v>451.5</v>
          </cell>
          <cell r="I263">
            <v>46.71</v>
          </cell>
          <cell r="J263">
            <v>0.17</v>
          </cell>
          <cell r="K263">
            <v>346.11</v>
          </cell>
          <cell r="L263">
            <v>323.37</v>
          </cell>
          <cell r="M263">
            <v>0.05</v>
          </cell>
          <cell r="N263">
            <v>0</v>
          </cell>
          <cell r="W263">
            <v>120.01</v>
          </cell>
        </row>
        <row r="264">
          <cell r="F264">
            <v>7075.44</v>
          </cell>
          <cell r="G264">
            <v>4.43</v>
          </cell>
          <cell r="H264">
            <v>409.5</v>
          </cell>
          <cell r="I264">
            <v>41.68</v>
          </cell>
          <cell r="J264">
            <v>0.15</v>
          </cell>
          <cell r="K264">
            <v>280.95999999999998</v>
          </cell>
          <cell r="L264">
            <v>322.82</v>
          </cell>
          <cell r="M264">
            <v>0.05</v>
          </cell>
          <cell r="N264">
            <v>0</v>
          </cell>
          <cell r="W264">
            <v>101.36</v>
          </cell>
        </row>
        <row r="265">
          <cell r="F265">
            <v>6928.5</v>
          </cell>
          <cell r="G265">
            <v>3.16</v>
          </cell>
          <cell r="H265">
            <v>253.83</v>
          </cell>
          <cell r="I265">
            <v>41.52</v>
          </cell>
          <cell r="J265">
            <v>1.59</v>
          </cell>
          <cell r="K265">
            <v>258.74</v>
          </cell>
          <cell r="L265">
            <v>381.32</v>
          </cell>
          <cell r="M265">
            <v>0.05</v>
          </cell>
          <cell r="N265">
            <v>0</v>
          </cell>
          <cell r="W265">
            <v>80.760000000000005</v>
          </cell>
        </row>
        <row r="266">
          <cell r="F266">
            <v>6704.77</v>
          </cell>
          <cell r="G266">
            <v>0.84</v>
          </cell>
          <cell r="H266">
            <v>50.17</v>
          </cell>
          <cell r="I266">
            <v>41.75</v>
          </cell>
          <cell r="J266">
            <v>3.05</v>
          </cell>
          <cell r="K266">
            <v>255.46</v>
          </cell>
          <cell r="L266">
            <v>431.06</v>
          </cell>
          <cell r="M266">
            <v>0.05</v>
          </cell>
          <cell r="N266">
            <v>0</v>
          </cell>
          <cell r="W266">
            <v>80.02</v>
          </cell>
        </row>
        <row r="267">
          <cell r="F267">
            <v>6563.28</v>
          </cell>
          <cell r="G267">
            <v>-1.02</v>
          </cell>
          <cell r="H267">
            <v>0</v>
          </cell>
          <cell r="I267">
            <v>41.97</v>
          </cell>
          <cell r="J267">
            <v>0.6</v>
          </cell>
          <cell r="K267">
            <v>244.72</v>
          </cell>
          <cell r="L267">
            <v>373.11</v>
          </cell>
          <cell r="M267">
            <v>0.05</v>
          </cell>
          <cell r="N267">
            <v>0</v>
          </cell>
          <cell r="W267">
            <v>84.19</v>
          </cell>
        </row>
        <row r="268">
          <cell r="F268">
            <v>6593.27</v>
          </cell>
          <cell r="G268">
            <v>-0.79</v>
          </cell>
          <cell r="H268">
            <v>0</v>
          </cell>
          <cell r="I268">
            <v>42.18</v>
          </cell>
          <cell r="J268">
            <v>1.62</v>
          </cell>
          <cell r="K268">
            <v>179.58</v>
          </cell>
          <cell r="L268">
            <v>327.67</v>
          </cell>
          <cell r="M268">
            <v>0.05</v>
          </cell>
          <cell r="N268">
            <v>0</v>
          </cell>
          <cell r="W268">
            <v>80.02</v>
          </cell>
        </row>
        <row r="269">
          <cell r="F269">
            <v>6335.81</v>
          </cell>
          <cell r="G269">
            <v>-1.03</v>
          </cell>
          <cell r="H269">
            <v>0</v>
          </cell>
          <cell r="I269">
            <v>41.86</v>
          </cell>
          <cell r="J269">
            <v>0.28999999999999998</v>
          </cell>
          <cell r="K269">
            <v>106.65</v>
          </cell>
          <cell r="L269">
            <v>358.86</v>
          </cell>
          <cell r="M269">
            <v>0.05</v>
          </cell>
          <cell r="N269">
            <v>0</v>
          </cell>
          <cell r="W269">
            <v>76.8</v>
          </cell>
        </row>
        <row r="270">
          <cell r="F270">
            <v>6186.98</v>
          </cell>
          <cell r="G270">
            <v>-0.9</v>
          </cell>
          <cell r="H270">
            <v>0</v>
          </cell>
          <cell r="I270">
            <v>41.82</v>
          </cell>
          <cell r="J270">
            <v>0.19</v>
          </cell>
          <cell r="K270">
            <v>99.53</v>
          </cell>
          <cell r="L270">
            <v>398.15</v>
          </cell>
          <cell r="M270">
            <v>0.05</v>
          </cell>
          <cell r="N270">
            <v>0</v>
          </cell>
          <cell r="W270">
            <v>76.8</v>
          </cell>
        </row>
        <row r="271">
          <cell r="F271">
            <v>6094.46</v>
          </cell>
          <cell r="G271">
            <v>-0.59</v>
          </cell>
          <cell r="H271">
            <v>0</v>
          </cell>
          <cell r="I271">
            <v>41.55</v>
          </cell>
          <cell r="J271">
            <v>0.42</v>
          </cell>
          <cell r="K271">
            <v>113.11</v>
          </cell>
          <cell r="L271">
            <v>366.58</v>
          </cell>
          <cell r="M271">
            <v>0.05</v>
          </cell>
          <cell r="N271">
            <v>0</v>
          </cell>
          <cell r="W271">
            <v>80.02</v>
          </cell>
        </row>
        <row r="272">
          <cell r="F272">
            <v>6042.81</v>
          </cell>
          <cell r="G272">
            <v>-0.97</v>
          </cell>
          <cell r="H272">
            <v>0</v>
          </cell>
          <cell r="I272">
            <v>41.79</v>
          </cell>
          <cell r="J272">
            <v>0.71</v>
          </cell>
          <cell r="K272">
            <v>85.95</v>
          </cell>
          <cell r="L272">
            <v>315.26</v>
          </cell>
          <cell r="M272">
            <v>0.05</v>
          </cell>
          <cell r="N272">
            <v>0</v>
          </cell>
          <cell r="W272">
            <v>80.02</v>
          </cell>
        </row>
        <row r="273">
          <cell r="F273">
            <v>6084.84</v>
          </cell>
          <cell r="G273">
            <v>-0.6</v>
          </cell>
          <cell r="H273">
            <v>0</v>
          </cell>
          <cell r="I273">
            <v>41.67</v>
          </cell>
          <cell r="J273">
            <v>0.53</v>
          </cell>
          <cell r="K273">
            <v>67.39</v>
          </cell>
          <cell r="L273">
            <v>346.46</v>
          </cell>
          <cell r="M273">
            <v>0.05</v>
          </cell>
          <cell r="N273">
            <v>0</v>
          </cell>
          <cell r="W273">
            <v>80.02</v>
          </cell>
        </row>
        <row r="274">
          <cell r="F274">
            <v>6235.52</v>
          </cell>
          <cell r="G274">
            <v>-1.36</v>
          </cell>
          <cell r="H274">
            <v>0</v>
          </cell>
          <cell r="I274">
            <v>41.39</v>
          </cell>
          <cell r="J274">
            <v>0.45</v>
          </cell>
          <cell r="K274">
            <v>181.98</v>
          </cell>
          <cell r="L274">
            <v>326.74</v>
          </cell>
          <cell r="M274">
            <v>0.05</v>
          </cell>
          <cell r="N274">
            <v>0</v>
          </cell>
          <cell r="W274">
            <v>84.85</v>
          </cell>
        </row>
        <row r="275">
          <cell r="F275">
            <v>6404.62</v>
          </cell>
          <cell r="G275">
            <v>-0.95</v>
          </cell>
          <cell r="H275">
            <v>0</v>
          </cell>
          <cell r="I275">
            <v>41.15</v>
          </cell>
          <cell r="J275">
            <v>0.62</v>
          </cell>
          <cell r="K275">
            <v>175.05</v>
          </cell>
          <cell r="L275">
            <v>315.12</v>
          </cell>
          <cell r="M275">
            <v>0.05</v>
          </cell>
          <cell r="N275">
            <v>0</v>
          </cell>
          <cell r="W275">
            <v>78.47</v>
          </cell>
        </row>
        <row r="276">
          <cell r="F276">
            <v>6728.24</v>
          </cell>
          <cell r="G276">
            <v>-1.57</v>
          </cell>
          <cell r="H276">
            <v>0</v>
          </cell>
          <cell r="I276">
            <v>41.32</v>
          </cell>
          <cell r="J276">
            <v>0.39</v>
          </cell>
          <cell r="K276">
            <v>195.19</v>
          </cell>
          <cell r="L276">
            <v>314.33</v>
          </cell>
          <cell r="M276">
            <v>0.05</v>
          </cell>
          <cell r="N276">
            <v>0</v>
          </cell>
          <cell r="W276">
            <v>80.010000000000005</v>
          </cell>
        </row>
        <row r="277">
          <cell r="F277">
            <v>7186.1</v>
          </cell>
          <cell r="G277">
            <v>-0.95</v>
          </cell>
          <cell r="H277">
            <v>0</v>
          </cell>
          <cell r="I277">
            <v>40.590000000000003</v>
          </cell>
          <cell r="J277">
            <v>6.89</v>
          </cell>
          <cell r="K277">
            <v>246.57</v>
          </cell>
          <cell r="L277">
            <v>354.1</v>
          </cell>
          <cell r="M277">
            <v>0.05</v>
          </cell>
          <cell r="N277">
            <v>0</v>
          </cell>
          <cell r="W277">
            <v>80.010000000000005</v>
          </cell>
        </row>
        <row r="278">
          <cell r="F278">
            <v>7720.06</v>
          </cell>
          <cell r="G278">
            <v>0.36</v>
          </cell>
          <cell r="H278">
            <v>0</v>
          </cell>
          <cell r="I278">
            <v>136.79</v>
          </cell>
          <cell r="J278">
            <v>40.200000000000003</v>
          </cell>
          <cell r="K278">
            <v>397.02</v>
          </cell>
          <cell r="L278">
            <v>374.29</v>
          </cell>
          <cell r="M278">
            <v>0.05</v>
          </cell>
          <cell r="N278">
            <v>0.09</v>
          </cell>
          <cell r="W278">
            <v>96.96</v>
          </cell>
        </row>
        <row r="279">
          <cell r="F279">
            <v>7916.34</v>
          </cell>
          <cell r="G279">
            <v>3.42</v>
          </cell>
          <cell r="H279">
            <v>0</v>
          </cell>
          <cell r="I279">
            <v>388.59</v>
          </cell>
          <cell r="J279">
            <v>114.13</v>
          </cell>
          <cell r="K279">
            <v>557.1</v>
          </cell>
          <cell r="L279">
            <v>393.91</v>
          </cell>
          <cell r="M279">
            <v>7.53</v>
          </cell>
          <cell r="N279">
            <v>9.4600000000000009</v>
          </cell>
          <cell r="W279">
            <v>158.97999999999999</v>
          </cell>
        </row>
        <row r="280">
          <cell r="F280">
            <v>7991.77</v>
          </cell>
          <cell r="G280">
            <v>1.62</v>
          </cell>
          <cell r="H280">
            <v>0</v>
          </cell>
          <cell r="I280">
            <v>374.39</v>
          </cell>
          <cell r="J280">
            <v>41.37</v>
          </cell>
          <cell r="K280">
            <v>679.26</v>
          </cell>
          <cell r="L280">
            <v>442.05</v>
          </cell>
          <cell r="M280">
            <v>167.44</v>
          </cell>
          <cell r="N280">
            <v>114.83</v>
          </cell>
          <cell r="W280">
            <v>107.41</v>
          </cell>
        </row>
        <row r="281">
          <cell r="F281">
            <v>7934.04</v>
          </cell>
          <cell r="G281">
            <v>-0.55000000000000004</v>
          </cell>
          <cell r="H281">
            <v>0</v>
          </cell>
          <cell r="I281">
            <v>374.46</v>
          </cell>
          <cell r="J281">
            <v>130</v>
          </cell>
          <cell r="K281">
            <v>395.6</v>
          </cell>
          <cell r="L281">
            <v>491.51</v>
          </cell>
          <cell r="M281">
            <v>626.09</v>
          </cell>
          <cell r="N281">
            <v>422.41</v>
          </cell>
          <cell r="W281">
            <v>105.89</v>
          </cell>
        </row>
        <row r="282">
          <cell r="F282">
            <v>7701.28</v>
          </cell>
          <cell r="G282">
            <v>1.71</v>
          </cell>
          <cell r="H282">
            <v>0</v>
          </cell>
          <cell r="I282">
            <v>256.95</v>
          </cell>
          <cell r="J282">
            <v>68.739999999999995</v>
          </cell>
          <cell r="K282">
            <v>218.88</v>
          </cell>
          <cell r="L282">
            <v>487.72</v>
          </cell>
          <cell r="M282">
            <v>1178.45</v>
          </cell>
          <cell r="N282">
            <v>822.95</v>
          </cell>
          <cell r="W282">
            <v>52.14</v>
          </cell>
        </row>
        <row r="283">
          <cell r="F283">
            <v>7238.66</v>
          </cell>
          <cell r="G283">
            <v>12.53</v>
          </cell>
          <cell r="H283">
            <v>0</v>
          </cell>
          <cell r="I283">
            <v>41.48</v>
          </cell>
          <cell r="J283">
            <v>240</v>
          </cell>
          <cell r="K283">
            <v>101.15</v>
          </cell>
          <cell r="L283">
            <v>463.52</v>
          </cell>
          <cell r="M283">
            <v>1704.69</v>
          </cell>
          <cell r="N283">
            <v>1286.24</v>
          </cell>
          <cell r="W283">
            <v>76.8</v>
          </cell>
        </row>
        <row r="284">
          <cell r="F284">
            <v>6365.08</v>
          </cell>
          <cell r="G284">
            <v>10.27</v>
          </cell>
          <cell r="H284">
            <v>0</v>
          </cell>
          <cell r="I284">
            <v>41.56</v>
          </cell>
          <cell r="J284">
            <v>278.85000000000002</v>
          </cell>
          <cell r="K284">
            <v>11.25</v>
          </cell>
          <cell r="L284">
            <v>423.89</v>
          </cell>
          <cell r="M284">
            <v>2013.7</v>
          </cell>
          <cell r="N284">
            <v>1870.36</v>
          </cell>
          <cell r="W284">
            <v>76.8</v>
          </cell>
        </row>
        <row r="285">
          <cell r="F285">
            <v>5709.09</v>
          </cell>
          <cell r="G285">
            <v>5.35</v>
          </cell>
          <cell r="H285">
            <v>0</v>
          </cell>
          <cell r="I285">
            <v>41.74</v>
          </cell>
          <cell r="J285">
            <v>37.770000000000003</v>
          </cell>
          <cell r="K285">
            <v>29.64</v>
          </cell>
          <cell r="L285">
            <v>343.03</v>
          </cell>
          <cell r="M285">
            <v>2277.38</v>
          </cell>
          <cell r="N285">
            <v>2385.1</v>
          </cell>
          <cell r="W285">
            <v>44.76</v>
          </cell>
        </row>
        <row r="286">
          <cell r="F286">
            <v>5334.09</v>
          </cell>
          <cell r="G286">
            <v>6.48</v>
          </cell>
          <cell r="H286">
            <v>0</v>
          </cell>
          <cell r="I286">
            <v>40.880000000000003</v>
          </cell>
          <cell r="J286">
            <v>2.42</v>
          </cell>
          <cell r="K286">
            <v>0</v>
          </cell>
          <cell r="L286">
            <v>299.51</v>
          </cell>
          <cell r="M286">
            <v>2201.2199999999998</v>
          </cell>
          <cell r="N286">
            <v>2805.63</v>
          </cell>
          <cell r="W286">
            <v>84.85</v>
          </cell>
        </row>
        <row r="287">
          <cell r="F287">
            <v>4956.08</v>
          </cell>
          <cell r="G287">
            <v>9.8800000000000008</v>
          </cell>
          <cell r="H287">
            <v>0</v>
          </cell>
          <cell r="I287">
            <v>40.71</v>
          </cell>
          <cell r="J287">
            <v>0.64</v>
          </cell>
          <cell r="K287">
            <v>0</v>
          </cell>
          <cell r="L287">
            <v>330.91</v>
          </cell>
          <cell r="M287">
            <v>2164.7600000000002</v>
          </cell>
          <cell r="N287">
            <v>3092</v>
          </cell>
          <cell r="W287">
            <v>57.01</v>
          </cell>
        </row>
        <row r="288">
          <cell r="F288">
            <v>4581.97</v>
          </cell>
          <cell r="G288">
            <v>9.6</v>
          </cell>
          <cell r="H288">
            <v>0</v>
          </cell>
          <cell r="I288">
            <v>39.68</v>
          </cell>
          <cell r="J288">
            <v>36.93</v>
          </cell>
          <cell r="K288">
            <v>0</v>
          </cell>
          <cell r="L288">
            <v>436.13</v>
          </cell>
          <cell r="M288">
            <v>2313.7600000000002</v>
          </cell>
          <cell r="N288">
            <v>3264.92</v>
          </cell>
          <cell r="W288">
            <v>0</v>
          </cell>
        </row>
        <row r="289">
          <cell r="F289">
            <v>4220.4799999999996</v>
          </cell>
          <cell r="G289">
            <v>9.5399999999999991</v>
          </cell>
          <cell r="H289">
            <v>0</v>
          </cell>
          <cell r="I289">
            <v>37.090000000000003</v>
          </cell>
          <cell r="J289">
            <v>9.25</v>
          </cell>
          <cell r="K289">
            <v>0</v>
          </cell>
          <cell r="L289">
            <v>535.34</v>
          </cell>
          <cell r="M289">
            <v>2350.3200000000002</v>
          </cell>
          <cell r="N289">
            <v>3402.32</v>
          </cell>
          <cell r="W289">
            <v>48.23</v>
          </cell>
        </row>
        <row r="290">
          <cell r="F290">
            <v>3998.16</v>
          </cell>
          <cell r="G290">
            <v>9.18</v>
          </cell>
          <cell r="H290">
            <v>0</v>
          </cell>
          <cell r="I290">
            <v>34.85</v>
          </cell>
          <cell r="J290">
            <v>0.38</v>
          </cell>
          <cell r="K290">
            <v>20.54</v>
          </cell>
          <cell r="L290">
            <v>600.41</v>
          </cell>
          <cell r="M290">
            <v>2352.5700000000002</v>
          </cell>
          <cell r="N290">
            <v>3411.24</v>
          </cell>
          <cell r="W290">
            <v>40.119999999999997</v>
          </cell>
        </row>
        <row r="291">
          <cell r="F291">
            <v>4020.32</v>
          </cell>
          <cell r="G291">
            <v>8.73</v>
          </cell>
          <cell r="H291">
            <v>0</v>
          </cell>
          <cell r="I291">
            <v>34.19</v>
          </cell>
          <cell r="J291">
            <v>0.51</v>
          </cell>
          <cell r="K291">
            <v>0</v>
          </cell>
          <cell r="L291">
            <v>595.41999999999996</v>
          </cell>
          <cell r="M291">
            <v>2336.7399999999998</v>
          </cell>
          <cell r="N291">
            <v>3346.16</v>
          </cell>
          <cell r="W291">
            <v>20.43</v>
          </cell>
        </row>
        <row r="292">
          <cell r="F292">
            <v>4073.91</v>
          </cell>
          <cell r="G292">
            <v>8.4</v>
          </cell>
          <cell r="H292">
            <v>0</v>
          </cell>
          <cell r="I292">
            <v>32.159999999999997</v>
          </cell>
          <cell r="J292">
            <v>4.05</v>
          </cell>
          <cell r="K292">
            <v>0</v>
          </cell>
          <cell r="L292">
            <v>541.29999999999995</v>
          </cell>
          <cell r="M292">
            <v>2308.9299999999998</v>
          </cell>
          <cell r="N292">
            <v>3132.37</v>
          </cell>
          <cell r="W292">
            <v>57.01</v>
          </cell>
        </row>
        <row r="293">
          <cell r="F293">
            <v>4130.7700000000004</v>
          </cell>
          <cell r="G293">
            <v>8.9700000000000006</v>
          </cell>
          <cell r="H293">
            <v>0</v>
          </cell>
          <cell r="I293">
            <v>30.94</v>
          </cell>
          <cell r="J293">
            <v>2.91</v>
          </cell>
          <cell r="K293">
            <v>0</v>
          </cell>
          <cell r="L293">
            <v>519.39</v>
          </cell>
          <cell r="M293">
            <v>2385.1</v>
          </cell>
          <cell r="N293">
            <v>2826.82</v>
          </cell>
          <cell r="W293">
            <v>1.65</v>
          </cell>
        </row>
        <row r="294">
          <cell r="F294">
            <v>4290.54</v>
          </cell>
          <cell r="G294">
            <v>9.51</v>
          </cell>
          <cell r="H294">
            <v>0</v>
          </cell>
          <cell r="I294">
            <v>32.28</v>
          </cell>
          <cell r="J294">
            <v>19.100000000000001</v>
          </cell>
          <cell r="K294">
            <v>0</v>
          </cell>
          <cell r="L294">
            <v>540.59</v>
          </cell>
          <cell r="M294">
            <v>2378.4299999999998</v>
          </cell>
          <cell r="N294">
            <v>2414.62</v>
          </cell>
          <cell r="W294">
            <v>57.01</v>
          </cell>
        </row>
        <row r="295">
          <cell r="F295">
            <v>4915.79</v>
          </cell>
          <cell r="G295">
            <v>9.5399999999999991</v>
          </cell>
          <cell r="H295">
            <v>0</v>
          </cell>
          <cell r="I295">
            <v>33.39</v>
          </cell>
          <cell r="J295">
            <v>5.82</v>
          </cell>
          <cell r="K295">
            <v>0</v>
          </cell>
          <cell r="L295">
            <v>524.08000000000004</v>
          </cell>
          <cell r="M295">
            <v>1984.17</v>
          </cell>
          <cell r="N295">
            <v>1945.37</v>
          </cell>
          <cell r="W295">
            <v>140.36000000000001</v>
          </cell>
        </row>
        <row r="296">
          <cell r="F296">
            <v>5674.82</v>
          </cell>
          <cell r="G296">
            <v>10.43</v>
          </cell>
          <cell r="H296">
            <v>1</v>
          </cell>
          <cell r="I296">
            <v>34.92</v>
          </cell>
          <cell r="J296">
            <v>6.11</v>
          </cell>
          <cell r="K296">
            <v>0</v>
          </cell>
          <cell r="L296">
            <v>492.07</v>
          </cell>
          <cell r="M296">
            <v>1801.47</v>
          </cell>
          <cell r="N296">
            <v>1469.53</v>
          </cell>
          <cell r="W296">
            <v>0</v>
          </cell>
        </row>
        <row r="297">
          <cell r="F297">
            <v>6816.53</v>
          </cell>
          <cell r="G297">
            <v>9.0299999999999994</v>
          </cell>
          <cell r="H297">
            <v>52.17</v>
          </cell>
          <cell r="I297">
            <v>36.58</v>
          </cell>
          <cell r="J297">
            <v>6.49</v>
          </cell>
          <cell r="K297">
            <v>0</v>
          </cell>
          <cell r="L297">
            <v>425.11</v>
          </cell>
          <cell r="M297">
            <v>1142.27</v>
          </cell>
          <cell r="N297">
            <v>1000.25</v>
          </cell>
          <cell r="W297">
            <v>106.28</v>
          </cell>
        </row>
        <row r="298">
          <cell r="F298">
            <v>7710.41</v>
          </cell>
          <cell r="G298">
            <v>-0.04</v>
          </cell>
          <cell r="H298">
            <v>189.67</v>
          </cell>
          <cell r="I298">
            <v>36.67</v>
          </cell>
          <cell r="J298">
            <v>0.78</v>
          </cell>
          <cell r="K298">
            <v>62.31</v>
          </cell>
          <cell r="L298">
            <v>383.55</v>
          </cell>
          <cell r="M298">
            <v>459.69</v>
          </cell>
          <cell r="N298">
            <v>542.21</v>
          </cell>
          <cell r="W298">
            <v>84.7</v>
          </cell>
        </row>
        <row r="299">
          <cell r="F299">
            <v>7965.6</v>
          </cell>
          <cell r="G299">
            <v>-0.95</v>
          </cell>
          <cell r="H299">
            <v>308.83</v>
          </cell>
          <cell r="I299">
            <v>163.5</v>
          </cell>
          <cell r="J299">
            <v>48.3</v>
          </cell>
          <cell r="K299">
            <v>528.14</v>
          </cell>
          <cell r="L299">
            <v>489.01</v>
          </cell>
          <cell r="M299">
            <v>115.34</v>
          </cell>
          <cell r="N299">
            <v>173.77</v>
          </cell>
          <cell r="W299">
            <v>165.24</v>
          </cell>
        </row>
        <row r="300">
          <cell r="F300">
            <v>7969.07</v>
          </cell>
          <cell r="G300">
            <v>-0.15</v>
          </cell>
          <cell r="H300">
            <v>443.33</v>
          </cell>
          <cell r="I300">
            <v>500.54</v>
          </cell>
          <cell r="J300">
            <v>148.81</v>
          </cell>
          <cell r="K300">
            <v>781.62</v>
          </cell>
          <cell r="L300">
            <v>446.51</v>
          </cell>
          <cell r="M300">
            <v>10.119999999999999</v>
          </cell>
          <cell r="N300">
            <v>21.45</v>
          </cell>
          <cell r="W300">
            <v>202.35</v>
          </cell>
        </row>
        <row r="301">
          <cell r="F301">
            <v>7997.94</v>
          </cell>
          <cell r="G301">
            <v>0.25</v>
          </cell>
          <cell r="H301">
            <v>441.67</v>
          </cell>
          <cell r="I301">
            <v>699.88</v>
          </cell>
          <cell r="J301">
            <v>225.61</v>
          </cell>
          <cell r="K301">
            <v>839.56</v>
          </cell>
          <cell r="L301">
            <v>463.5</v>
          </cell>
          <cell r="M301">
            <v>0.05</v>
          </cell>
          <cell r="N301">
            <v>0.27</v>
          </cell>
          <cell r="W301">
            <v>254.96</v>
          </cell>
        </row>
        <row r="302">
          <cell r="F302">
            <v>8078.78</v>
          </cell>
          <cell r="G302">
            <v>-0.3</v>
          </cell>
          <cell r="H302">
            <v>443.5</v>
          </cell>
          <cell r="I302">
            <v>701.87</v>
          </cell>
          <cell r="J302">
            <v>194.77</v>
          </cell>
          <cell r="K302">
            <v>863.3</v>
          </cell>
          <cell r="L302">
            <v>379.57</v>
          </cell>
          <cell r="M302">
            <v>0.05</v>
          </cell>
          <cell r="N302">
            <v>0</v>
          </cell>
          <cell r="W302">
            <v>186.83</v>
          </cell>
        </row>
        <row r="303">
          <cell r="F303">
            <v>8130.66</v>
          </cell>
          <cell r="G303">
            <v>-0.02</v>
          </cell>
          <cell r="H303">
            <v>450.33</v>
          </cell>
          <cell r="I303">
            <v>704.97</v>
          </cell>
          <cell r="J303">
            <v>175.64</v>
          </cell>
          <cell r="K303">
            <v>876.02</v>
          </cell>
          <cell r="L303">
            <v>361.17</v>
          </cell>
          <cell r="M303">
            <v>0.05</v>
          </cell>
          <cell r="N303">
            <v>0</v>
          </cell>
          <cell r="W303">
            <v>185.72</v>
          </cell>
        </row>
        <row r="304">
          <cell r="F304">
            <v>8129.35</v>
          </cell>
          <cell r="G304">
            <v>-0.18</v>
          </cell>
          <cell r="H304">
            <v>450.83</v>
          </cell>
          <cell r="I304">
            <v>703.35</v>
          </cell>
          <cell r="J304">
            <v>50.57</v>
          </cell>
          <cell r="K304">
            <v>876.66</v>
          </cell>
          <cell r="L304">
            <v>395.45</v>
          </cell>
          <cell r="M304">
            <v>0.05</v>
          </cell>
          <cell r="N304">
            <v>0</v>
          </cell>
          <cell r="W304">
            <v>239.65</v>
          </cell>
        </row>
        <row r="305">
          <cell r="F305">
            <v>8134.41</v>
          </cell>
          <cell r="G305">
            <v>0.51</v>
          </cell>
          <cell r="H305">
            <v>451.5</v>
          </cell>
          <cell r="I305">
            <v>703.88</v>
          </cell>
          <cell r="J305">
            <v>59.39</v>
          </cell>
          <cell r="K305">
            <v>866.48</v>
          </cell>
          <cell r="L305">
            <v>441.89</v>
          </cell>
          <cell r="M305">
            <v>0.05</v>
          </cell>
          <cell r="N305">
            <v>0</v>
          </cell>
          <cell r="W305">
            <v>154.57</v>
          </cell>
        </row>
        <row r="306">
          <cell r="F306">
            <v>8147.78</v>
          </cell>
          <cell r="G306">
            <v>0.03</v>
          </cell>
          <cell r="H306">
            <v>451.5</v>
          </cell>
          <cell r="I306">
            <v>704.96</v>
          </cell>
          <cell r="J306">
            <v>21.79</v>
          </cell>
          <cell r="K306">
            <v>837.13</v>
          </cell>
          <cell r="L306">
            <v>426.13</v>
          </cell>
          <cell r="M306">
            <v>0.05</v>
          </cell>
          <cell r="N306">
            <v>0</v>
          </cell>
          <cell r="W306">
            <v>163.07</v>
          </cell>
        </row>
        <row r="307">
          <cell r="F307">
            <v>8145.84</v>
          </cell>
          <cell r="G307">
            <v>-0.2</v>
          </cell>
          <cell r="H307">
            <v>450.17</v>
          </cell>
          <cell r="I307">
            <v>621.1</v>
          </cell>
          <cell r="J307">
            <v>44.87</v>
          </cell>
          <cell r="K307">
            <v>621.15</v>
          </cell>
          <cell r="L307">
            <v>441.88</v>
          </cell>
          <cell r="M307">
            <v>0.05</v>
          </cell>
          <cell r="N307">
            <v>0</v>
          </cell>
          <cell r="W307">
            <v>234.56</v>
          </cell>
        </row>
        <row r="308">
          <cell r="F308">
            <v>8129.83</v>
          </cell>
          <cell r="G308">
            <v>0.27</v>
          </cell>
          <cell r="H308">
            <v>450.67</v>
          </cell>
          <cell r="I308">
            <v>350.09</v>
          </cell>
          <cell r="J308">
            <v>18.8</v>
          </cell>
          <cell r="K308">
            <v>560</v>
          </cell>
          <cell r="L308">
            <v>434.36</v>
          </cell>
          <cell r="M308">
            <v>0.05</v>
          </cell>
          <cell r="N308">
            <v>0</v>
          </cell>
          <cell r="W308">
            <v>134.12</v>
          </cell>
        </row>
        <row r="309">
          <cell r="F309">
            <v>8061.09</v>
          </cell>
          <cell r="G309">
            <v>-2.5499999999999998</v>
          </cell>
          <cell r="H309">
            <v>449.83</v>
          </cell>
          <cell r="I309">
            <v>195.03</v>
          </cell>
          <cell r="J309">
            <v>5.35</v>
          </cell>
          <cell r="K309">
            <v>238.7</v>
          </cell>
          <cell r="L309">
            <v>457.35</v>
          </cell>
          <cell r="M309">
            <v>0.05</v>
          </cell>
          <cell r="N309">
            <v>0</v>
          </cell>
          <cell r="W309">
            <v>134.53</v>
          </cell>
        </row>
        <row r="310">
          <cell r="F310">
            <v>8073.74</v>
          </cell>
          <cell r="G310">
            <v>-2.5099999999999998</v>
          </cell>
          <cell r="H310">
            <v>453.17</v>
          </cell>
          <cell r="I310">
            <v>52.8</v>
          </cell>
          <cell r="J310">
            <v>3.78</v>
          </cell>
          <cell r="K310">
            <v>25.97</v>
          </cell>
          <cell r="L310">
            <v>522.1</v>
          </cell>
          <cell r="M310">
            <v>0.05</v>
          </cell>
          <cell r="N310">
            <v>0</v>
          </cell>
          <cell r="W310">
            <v>171.65</v>
          </cell>
        </row>
        <row r="311">
          <cell r="F311">
            <v>8119.62</v>
          </cell>
          <cell r="G311">
            <v>-0.33</v>
          </cell>
          <cell r="H311">
            <v>444.17</v>
          </cell>
          <cell r="I311">
            <v>42.55</v>
          </cell>
          <cell r="J311">
            <v>0.21</v>
          </cell>
          <cell r="K311">
            <v>0</v>
          </cell>
          <cell r="L311">
            <v>506.45</v>
          </cell>
          <cell r="M311">
            <v>0.05</v>
          </cell>
          <cell r="N311">
            <v>0</v>
          </cell>
          <cell r="W311">
            <v>140.94</v>
          </cell>
        </row>
        <row r="312">
          <cell r="F312">
            <v>8122.02</v>
          </cell>
          <cell r="G312">
            <v>-0.5</v>
          </cell>
          <cell r="H312">
            <v>305.17</v>
          </cell>
          <cell r="I312">
            <v>42.53</v>
          </cell>
          <cell r="J312">
            <v>0.72</v>
          </cell>
          <cell r="K312">
            <v>0</v>
          </cell>
          <cell r="L312">
            <v>421.67</v>
          </cell>
          <cell r="M312">
            <v>0.05</v>
          </cell>
          <cell r="N312">
            <v>0</v>
          </cell>
          <cell r="W312">
            <v>109.92</v>
          </cell>
        </row>
        <row r="313">
          <cell r="F313">
            <v>8067.67</v>
          </cell>
          <cell r="G313">
            <v>-0.74</v>
          </cell>
          <cell r="H313">
            <v>194.33</v>
          </cell>
          <cell r="I313">
            <v>42.68</v>
          </cell>
          <cell r="J313">
            <v>0.13</v>
          </cell>
          <cell r="K313">
            <v>0</v>
          </cell>
          <cell r="L313">
            <v>261.79000000000002</v>
          </cell>
          <cell r="M313">
            <v>0.05</v>
          </cell>
          <cell r="N313">
            <v>0</v>
          </cell>
          <cell r="W313">
            <v>127.6</v>
          </cell>
        </row>
        <row r="314">
          <cell r="F314">
            <v>7973.44</v>
          </cell>
          <cell r="G314">
            <v>-2.65</v>
          </cell>
          <cell r="H314">
            <v>190</v>
          </cell>
          <cell r="I314">
            <v>42.71</v>
          </cell>
          <cell r="J314">
            <v>0.28999999999999998</v>
          </cell>
          <cell r="K314">
            <v>0</v>
          </cell>
          <cell r="L314">
            <v>298.75</v>
          </cell>
          <cell r="M314">
            <v>0.05</v>
          </cell>
          <cell r="N314">
            <v>0</v>
          </cell>
          <cell r="W314">
            <v>98.1</v>
          </cell>
        </row>
        <row r="315">
          <cell r="F315">
            <v>7814.07</v>
          </cell>
          <cell r="G315">
            <v>-1.69</v>
          </cell>
          <cell r="H315">
            <v>189.83</v>
          </cell>
          <cell r="I315">
            <v>42.84</v>
          </cell>
          <cell r="J315">
            <v>0.1</v>
          </cell>
          <cell r="K315">
            <v>0</v>
          </cell>
          <cell r="L315">
            <v>353.75</v>
          </cell>
          <cell r="M315">
            <v>0.05</v>
          </cell>
          <cell r="N315">
            <v>0</v>
          </cell>
          <cell r="W315">
            <v>96.55</v>
          </cell>
        </row>
        <row r="316">
          <cell r="F316">
            <v>7627.58</v>
          </cell>
          <cell r="G316">
            <v>-1.04</v>
          </cell>
          <cell r="H316">
            <v>189.67</v>
          </cell>
          <cell r="I316">
            <v>42.78</v>
          </cell>
          <cell r="J316">
            <v>0.06</v>
          </cell>
          <cell r="K316">
            <v>0</v>
          </cell>
          <cell r="L316">
            <v>376.66</v>
          </cell>
          <cell r="M316">
            <v>0.05</v>
          </cell>
          <cell r="N316">
            <v>0</v>
          </cell>
          <cell r="W316">
            <v>90.63</v>
          </cell>
        </row>
        <row r="317">
          <cell r="F317">
            <v>7425.33</v>
          </cell>
          <cell r="G317">
            <v>-1.43</v>
          </cell>
          <cell r="H317">
            <v>190</v>
          </cell>
          <cell r="I317">
            <v>42.9</v>
          </cell>
          <cell r="J317">
            <v>0.16</v>
          </cell>
          <cell r="K317">
            <v>0</v>
          </cell>
          <cell r="L317">
            <v>465.77</v>
          </cell>
          <cell r="M317">
            <v>0.05</v>
          </cell>
          <cell r="N317">
            <v>0</v>
          </cell>
          <cell r="W317">
            <v>84.85</v>
          </cell>
        </row>
        <row r="318">
          <cell r="F318">
            <v>7290</v>
          </cell>
          <cell r="G318">
            <v>-2.1800000000000002</v>
          </cell>
          <cell r="H318">
            <v>190.17</v>
          </cell>
          <cell r="I318">
            <v>43.32</v>
          </cell>
          <cell r="J318">
            <v>0.13</v>
          </cell>
          <cell r="K318">
            <v>0</v>
          </cell>
          <cell r="L318">
            <v>453.06</v>
          </cell>
          <cell r="M318">
            <v>0.05</v>
          </cell>
          <cell r="N318">
            <v>0</v>
          </cell>
          <cell r="W318">
            <v>90.36</v>
          </cell>
        </row>
        <row r="319">
          <cell r="F319">
            <v>7203.53</v>
          </cell>
          <cell r="G319">
            <v>-2.29</v>
          </cell>
          <cell r="H319">
            <v>189.83</v>
          </cell>
          <cell r="I319">
            <v>43</v>
          </cell>
          <cell r="J319">
            <v>0.42</v>
          </cell>
          <cell r="K319">
            <v>0</v>
          </cell>
          <cell r="L319">
            <v>404.65</v>
          </cell>
          <cell r="M319">
            <v>0.05</v>
          </cell>
          <cell r="N319">
            <v>0</v>
          </cell>
          <cell r="W319">
            <v>81.17</v>
          </cell>
        </row>
        <row r="320">
          <cell r="F320">
            <v>7227.16</v>
          </cell>
          <cell r="G320">
            <v>-2.92</v>
          </cell>
          <cell r="H320">
            <v>189.67</v>
          </cell>
          <cell r="I320">
            <v>42.73</v>
          </cell>
          <cell r="J320">
            <v>0.75</v>
          </cell>
          <cell r="K320">
            <v>0</v>
          </cell>
          <cell r="L320">
            <v>332.93</v>
          </cell>
          <cell r="M320">
            <v>0.05</v>
          </cell>
          <cell r="N320">
            <v>0</v>
          </cell>
          <cell r="W320">
            <v>102.32</v>
          </cell>
        </row>
        <row r="321">
          <cell r="F321">
            <v>7270.43</v>
          </cell>
          <cell r="G321">
            <v>-2.83</v>
          </cell>
          <cell r="H321">
            <v>190</v>
          </cell>
          <cell r="I321">
            <v>43.12</v>
          </cell>
          <cell r="J321">
            <v>0.44</v>
          </cell>
          <cell r="K321">
            <v>0</v>
          </cell>
          <cell r="L321">
            <v>337.84</v>
          </cell>
          <cell r="M321">
            <v>0.05</v>
          </cell>
          <cell r="N321">
            <v>0</v>
          </cell>
          <cell r="W321">
            <v>85.84</v>
          </cell>
        </row>
        <row r="322">
          <cell r="F322">
            <v>7289.57</v>
          </cell>
          <cell r="G322">
            <v>-2.35</v>
          </cell>
          <cell r="H322">
            <v>189.83</v>
          </cell>
          <cell r="I322">
            <v>43.54</v>
          </cell>
          <cell r="J322">
            <v>0.42</v>
          </cell>
          <cell r="K322">
            <v>0</v>
          </cell>
          <cell r="L322">
            <v>327.20999999999998</v>
          </cell>
          <cell r="M322">
            <v>0.05</v>
          </cell>
          <cell r="N322">
            <v>0</v>
          </cell>
          <cell r="W322">
            <v>100.25</v>
          </cell>
        </row>
        <row r="323">
          <cell r="F323">
            <v>7449.21</v>
          </cell>
          <cell r="G323">
            <v>-3.22</v>
          </cell>
          <cell r="H323">
            <v>190.17</v>
          </cell>
          <cell r="I323">
            <v>43.19</v>
          </cell>
          <cell r="J323">
            <v>3</v>
          </cell>
          <cell r="K323">
            <v>0</v>
          </cell>
          <cell r="L323">
            <v>307.83</v>
          </cell>
          <cell r="M323">
            <v>0.05</v>
          </cell>
          <cell r="N323">
            <v>0</v>
          </cell>
          <cell r="W323">
            <v>112.24</v>
          </cell>
        </row>
        <row r="324">
          <cell r="F324">
            <v>7844.03</v>
          </cell>
          <cell r="G324">
            <v>-0.92</v>
          </cell>
          <cell r="H324">
            <v>208.17</v>
          </cell>
          <cell r="I324">
            <v>43.6</v>
          </cell>
          <cell r="J324">
            <v>0.28999999999999998</v>
          </cell>
          <cell r="K324">
            <v>43.07</v>
          </cell>
          <cell r="L324">
            <v>289.05</v>
          </cell>
          <cell r="M324">
            <v>0.05</v>
          </cell>
          <cell r="N324">
            <v>0</v>
          </cell>
          <cell r="W324">
            <v>122.82</v>
          </cell>
        </row>
        <row r="325">
          <cell r="F325">
            <v>8092.69</v>
          </cell>
          <cell r="G325">
            <v>-1.32</v>
          </cell>
          <cell r="H325">
            <v>376.17</v>
          </cell>
          <cell r="I325">
            <v>43.57</v>
          </cell>
          <cell r="J325">
            <v>6.73</v>
          </cell>
          <cell r="K325">
            <v>250.05</v>
          </cell>
          <cell r="L325">
            <v>281.88</v>
          </cell>
          <cell r="M325">
            <v>0.05</v>
          </cell>
          <cell r="N325">
            <v>0</v>
          </cell>
          <cell r="W325">
            <v>120.89</v>
          </cell>
        </row>
        <row r="326">
          <cell r="F326">
            <v>8143.84</v>
          </cell>
          <cell r="G326">
            <v>0.45</v>
          </cell>
          <cell r="H326">
            <v>457.92</v>
          </cell>
          <cell r="I326">
            <v>43.84</v>
          </cell>
          <cell r="J326">
            <v>0.49</v>
          </cell>
          <cell r="K326">
            <v>288.27999999999997</v>
          </cell>
          <cell r="L326">
            <v>290.02999999999997</v>
          </cell>
          <cell r="M326">
            <v>0.05</v>
          </cell>
          <cell r="N326">
            <v>0.01</v>
          </cell>
          <cell r="W326">
            <v>162.19</v>
          </cell>
        </row>
        <row r="327">
          <cell r="F327">
            <v>8100.52</v>
          </cell>
          <cell r="G327">
            <v>-0.76</v>
          </cell>
          <cell r="H327">
            <v>534.85</v>
          </cell>
          <cell r="I327">
            <v>43.74</v>
          </cell>
          <cell r="J327">
            <v>125</v>
          </cell>
          <cell r="K327">
            <v>328.44</v>
          </cell>
          <cell r="L327">
            <v>310.75</v>
          </cell>
          <cell r="M327">
            <v>1.51</v>
          </cell>
          <cell r="N327">
            <v>4.3099999999999996</v>
          </cell>
          <cell r="W327">
            <v>202.46</v>
          </cell>
        </row>
        <row r="328">
          <cell r="F328">
            <v>8064.88</v>
          </cell>
          <cell r="G328">
            <v>-0.59</v>
          </cell>
          <cell r="H328">
            <v>576.74</v>
          </cell>
          <cell r="I328">
            <v>43.56</v>
          </cell>
          <cell r="J328">
            <v>159.91</v>
          </cell>
          <cell r="K328">
            <v>402.95</v>
          </cell>
          <cell r="L328">
            <v>309.8</v>
          </cell>
          <cell r="M328">
            <v>70.709999999999994</v>
          </cell>
          <cell r="N328">
            <v>62.82</v>
          </cell>
          <cell r="W328">
            <v>299.98</v>
          </cell>
        </row>
        <row r="329">
          <cell r="F329">
            <v>8133.81</v>
          </cell>
          <cell r="G329">
            <v>-0.13</v>
          </cell>
          <cell r="H329">
            <v>568.51</v>
          </cell>
          <cell r="I329">
            <v>43.51</v>
          </cell>
          <cell r="J329">
            <v>118.35</v>
          </cell>
          <cell r="K329">
            <v>590.59</v>
          </cell>
          <cell r="L329">
            <v>331.23</v>
          </cell>
          <cell r="M329">
            <v>451.78</v>
          </cell>
          <cell r="N329">
            <v>284.2</v>
          </cell>
          <cell r="W329">
            <v>291.7</v>
          </cell>
        </row>
        <row r="330">
          <cell r="F330">
            <v>8086.29</v>
          </cell>
          <cell r="G330">
            <v>2.06</v>
          </cell>
          <cell r="H330">
            <v>373.48</v>
          </cell>
          <cell r="I330">
            <v>43.92</v>
          </cell>
          <cell r="J330">
            <v>89.09</v>
          </cell>
          <cell r="K330">
            <v>483.07</v>
          </cell>
          <cell r="L330">
            <v>340.28</v>
          </cell>
          <cell r="M330">
            <v>1086.8599999999999</v>
          </cell>
          <cell r="N330">
            <v>607.22</v>
          </cell>
          <cell r="W330">
            <v>263.02</v>
          </cell>
        </row>
        <row r="331">
          <cell r="F331">
            <v>7942.53</v>
          </cell>
          <cell r="G331">
            <v>12.36</v>
          </cell>
          <cell r="H331">
            <v>9.67</v>
          </cell>
          <cell r="I331">
            <v>43.94</v>
          </cell>
          <cell r="J331">
            <v>41.4</v>
          </cell>
          <cell r="K331">
            <v>335.99</v>
          </cell>
          <cell r="L331">
            <v>293.14</v>
          </cell>
          <cell r="M331">
            <v>1599.19</v>
          </cell>
          <cell r="N331">
            <v>1041.28</v>
          </cell>
          <cell r="W331">
            <v>168.06</v>
          </cell>
        </row>
        <row r="332">
          <cell r="F332">
            <v>7744.28</v>
          </cell>
          <cell r="G332">
            <v>12.89</v>
          </cell>
          <cell r="H332">
            <v>0</v>
          </cell>
          <cell r="I332">
            <v>43.91</v>
          </cell>
          <cell r="J332">
            <v>0.19</v>
          </cell>
          <cell r="K332">
            <v>0.08</v>
          </cell>
          <cell r="L332">
            <v>251.66</v>
          </cell>
          <cell r="M332">
            <v>1745.82</v>
          </cell>
          <cell r="N332">
            <v>1387.69</v>
          </cell>
          <cell r="W332">
            <v>122.8</v>
          </cell>
        </row>
        <row r="333">
          <cell r="F333">
            <v>7298.85</v>
          </cell>
          <cell r="G333">
            <v>10.83</v>
          </cell>
          <cell r="H333">
            <v>0</v>
          </cell>
          <cell r="I333">
            <v>43.76</v>
          </cell>
          <cell r="J333">
            <v>2.9</v>
          </cell>
          <cell r="K333">
            <v>0</v>
          </cell>
          <cell r="L333">
            <v>209.68</v>
          </cell>
          <cell r="M333">
            <v>1869.52</v>
          </cell>
          <cell r="N333">
            <v>1629.2</v>
          </cell>
          <cell r="W333">
            <v>128.81</v>
          </cell>
        </row>
        <row r="334">
          <cell r="F334">
            <v>6846.27</v>
          </cell>
          <cell r="G334">
            <v>10.45</v>
          </cell>
          <cell r="H334">
            <v>0</v>
          </cell>
          <cell r="I334">
            <v>42.91</v>
          </cell>
          <cell r="J334">
            <v>1.58</v>
          </cell>
          <cell r="K334">
            <v>0</v>
          </cell>
          <cell r="L334">
            <v>172.27</v>
          </cell>
          <cell r="M334">
            <v>1960.16</v>
          </cell>
          <cell r="N334">
            <v>1810</v>
          </cell>
          <cell r="W334">
            <v>123.83</v>
          </cell>
        </row>
        <row r="335">
          <cell r="F335">
            <v>6486.45</v>
          </cell>
          <cell r="G335">
            <v>10.32</v>
          </cell>
          <cell r="H335">
            <v>0</v>
          </cell>
          <cell r="I335">
            <v>42.78</v>
          </cell>
          <cell r="J335">
            <v>30.87</v>
          </cell>
          <cell r="K335">
            <v>0</v>
          </cell>
          <cell r="L335">
            <v>131.25</v>
          </cell>
          <cell r="M335">
            <v>2070.46</v>
          </cell>
          <cell r="N335">
            <v>1888.35</v>
          </cell>
          <cell r="W335">
            <v>94.8</v>
          </cell>
        </row>
        <row r="336">
          <cell r="F336">
            <v>5928.26</v>
          </cell>
          <cell r="G336">
            <v>10.49</v>
          </cell>
          <cell r="H336">
            <v>0</v>
          </cell>
          <cell r="I336">
            <v>43.28</v>
          </cell>
          <cell r="J336">
            <v>0.2</v>
          </cell>
          <cell r="K336">
            <v>0</v>
          </cell>
          <cell r="L336">
            <v>108.99</v>
          </cell>
          <cell r="M336">
            <v>2085.91</v>
          </cell>
          <cell r="N336">
            <v>2083.17</v>
          </cell>
          <cell r="W336">
            <v>91.02</v>
          </cell>
        </row>
        <row r="337">
          <cell r="F337">
            <v>5705.43</v>
          </cell>
          <cell r="G337">
            <v>10.53</v>
          </cell>
          <cell r="H337">
            <v>0</v>
          </cell>
          <cell r="I337">
            <v>43.43</v>
          </cell>
          <cell r="J337">
            <v>65.849999999999994</v>
          </cell>
          <cell r="K337">
            <v>0</v>
          </cell>
          <cell r="L337">
            <v>84.04</v>
          </cell>
          <cell r="M337">
            <v>2225.7800000000002</v>
          </cell>
          <cell r="N337">
            <v>2323.2600000000002</v>
          </cell>
          <cell r="W337">
            <v>88.28</v>
          </cell>
        </row>
        <row r="338">
          <cell r="F338">
            <v>5653.77</v>
          </cell>
          <cell r="G338">
            <v>9.66</v>
          </cell>
          <cell r="H338">
            <v>0</v>
          </cell>
          <cell r="I338">
            <v>43.58</v>
          </cell>
          <cell r="J338">
            <v>67.41</v>
          </cell>
          <cell r="K338">
            <v>0</v>
          </cell>
          <cell r="L338">
            <v>40.29</v>
          </cell>
          <cell r="M338">
            <v>2169.0700000000002</v>
          </cell>
          <cell r="N338">
            <v>2342.9499999999998</v>
          </cell>
          <cell r="W338">
            <v>59.52</v>
          </cell>
        </row>
      </sheetData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58.890878587961" createdVersion="6" refreshedVersion="6" minRefreshableVersion="3" recordCount="337" xr:uid="{E5EA5247-8C5D-0F4E-8132-244A544F1514}">
  <cacheSource type="worksheet">
    <worksheetSource name="Table4"/>
  </cacheSource>
  <cacheFields count="24">
    <cacheField name="date" numFmtId="22">
      <sharedItems containsSemiMixedTypes="0" containsNonDate="0" containsDate="1" containsString="0" minDate="2025-07-11T12:30:00" maxDate="2025-07-19T00:00:00"/>
    </cacheField>
    <cacheField name="Battery (Charging) -  MW" numFmtId="3">
      <sharedItems containsSemiMixedTypes="0" containsString="0" containsNumber="1" minValue="-649.61" maxValue="-0.01"/>
    </cacheField>
    <cacheField name="Pumps -  MW" numFmtId="3">
      <sharedItems containsSemiMixedTypes="0" containsString="0" containsNumber="1" minValue="-660.59" maxValue="0"/>
    </cacheField>
    <cacheField name="Exports -  MW" numFmtId="3">
      <sharedItems containsSemiMixedTypes="0" containsString="0" containsNumber="1" minValue="-824.64" maxValue="0"/>
    </cacheField>
    <cacheField name="Imports -  MW" numFmtId="3">
      <sharedItems containsSemiMixedTypes="0" containsString="0" containsNumber="1" minValue="0" maxValue="1763.72"/>
    </cacheField>
    <cacheField name="Coal (Black) -  MW" numFmtId="3">
      <sharedItems containsSemiMixedTypes="0" containsString="0" containsNumber="1" minValue="2374.46" maxValue="8147.78"/>
    </cacheField>
    <cacheField name="Bioenergy (Biomass) -  MW" numFmtId="3">
      <sharedItems containsSemiMixedTypes="0" containsString="0" containsNumber="1" minValue="-6.02" maxValue="29.64"/>
    </cacheField>
    <cacheField name="Gas (CCGT) -  MW" numFmtId="3">
      <sharedItems containsSemiMixedTypes="0" containsString="0" containsNumber="1" minValue="0" maxValue="576.74"/>
    </cacheField>
    <cacheField name="Gas (OCGT) -  MW" numFmtId="3">
      <sharedItems containsSemiMixedTypes="0" containsString="0" containsNumber="1" minValue="30.94" maxValue="1042.5"/>
    </cacheField>
    <cacheField name="Battery (Discharging) -  MW" numFmtId="3">
      <sharedItems containsSemiMixedTypes="0" containsString="0" containsNumber="1" minValue="0" maxValue="444.85"/>
    </cacheField>
    <cacheField name="Hydro -  MW" numFmtId="3">
      <sharedItems containsSemiMixedTypes="0" containsString="0" containsNumber="1" minValue="-0.34" maxValue="1433.19"/>
    </cacheField>
    <cacheField name="Wind -  MW" numFmtId="3">
      <sharedItems containsSemiMixedTypes="0" containsString="0" containsNumber="1" minValue="40.29" maxValue="2301.21"/>
    </cacheField>
    <cacheField name="Solar (Utility) -  MW" numFmtId="3">
      <sharedItems containsSemiMixedTypes="0" containsString="0" containsNumber="1" minValue="0.02" maxValue="3084.05"/>
    </cacheField>
    <cacheField name="Solar (Rooftop) -  MW" numFmtId="3">
      <sharedItems containsSemiMixedTypes="0" containsString="0" containsNumber="1" minValue="0" maxValue="3708.24"/>
    </cacheField>
    <cacheField name="Temperature - C" numFmtId="3">
      <sharedItems containsSemiMixedTypes="0" containsString="0" containsNumber="1" minValue="6.73" maxValue="19.489999999999998"/>
    </cacheField>
    <cacheField name="Exports Emissions Vol - tCO₂e" numFmtId="3">
      <sharedItems containsSemiMixedTypes="0" containsString="0" containsNumber="1" minValue="0" maxValue="244.03"/>
    </cacheField>
    <cacheField name="Imports Emissions Vol - tCO₂e" numFmtId="3">
      <sharedItems containsSemiMixedTypes="0" containsString="0" containsNumber="1" minValue="0" maxValue="507.73"/>
    </cacheField>
    <cacheField name="Coal (Black) Emissions Vol - tCO₂e" numFmtId="3">
      <sharedItems containsSemiMixedTypes="0" containsString="0" containsNumber="1" minValue="254.19" maxValue="3676.3"/>
    </cacheField>
    <cacheField name="Bioenergy (Biomass) Emissions Vol - tCO₂e" numFmtId="3">
      <sharedItems containsSemiMixedTypes="0" containsString="0" containsNumber="1" minValue="0.02" maxValue="0.51"/>
    </cacheField>
    <cacheField name="Gas (CCGT) Emissions Vol - tCO₂e" numFmtId="3">
      <sharedItems containsSemiMixedTypes="0" containsString="0" containsNumber="1" minValue="0" maxValue="112.77"/>
    </cacheField>
    <cacheField name="Gas (OCGT) Emissions Vol - tCO₂e" numFmtId="3">
      <sharedItems containsSemiMixedTypes="0" containsString="0" containsNumber="1" minValue="1.87" maxValue="329.49"/>
    </cacheField>
    <cacheField name="Emissions Intensity - kgCO₂e/MWh" numFmtId="3">
      <sharedItems containsSemiMixedTypes="0" containsString="0" containsNumber="1" minValue="227.63" maxValue="849.05"/>
    </cacheField>
    <cacheField name="Price - AUD/MWh" numFmtId="3">
      <sharedItems containsSemiMixedTypes="0" containsString="0" containsNumber="1" minValue="-22.01" maxValue="299.99"/>
    </cacheField>
    <cacheField name="Helper Column - Time" numFmtId="3">
      <sharedItems count="48">
        <s v="12:30"/>
        <s v="13:00"/>
        <s v="13:30"/>
        <s v="14:00"/>
        <s v="14:30"/>
        <s v="15:00"/>
        <s v="15:30"/>
        <s v="16:00"/>
        <s v="16:30"/>
        <s v="17:00"/>
        <s v="17:30"/>
        <s v="18:00"/>
        <s v="18:30"/>
        <s v="19:00"/>
        <s v="19:30"/>
        <s v="20:00"/>
        <s v="20:30"/>
        <s v="21:00"/>
        <s v="21:30"/>
        <s v="22:00"/>
        <s v="22:30"/>
        <s v="23:00"/>
        <s v="23:30"/>
        <s v="00:00"/>
        <s v="00:30"/>
        <s v="01:00"/>
        <s v="01:30"/>
        <s v="02:00"/>
        <s v="02:30"/>
        <s v="03:00"/>
        <s v="03:30"/>
        <s v="04:00"/>
        <s v="04:30"/>
        <s v="05:00"/>
        <s v="05:30"/>
        <s v="06:00"/>
        <s v="06:30"/>
        <s v="07:00"/>
        <s v="07:30"/>
        <s v="08:00"/>
        <s v="08:30"/>
        <s v="09:00"/>
        <s v="09:30"/>
        <s v="10:00"/>
        <s v="10:30"/>
        <s v="11:00"/>
        <s v="11:30"/>
        <s v="12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372041087961" createdVersion="8" refreshedVersion="8" minRefreshableVersion="3" recordCount="337" xr:uid="{20AB0C9D-7E9F-FE4A-BD38-75E40F5EE61D}">
  <cacheSource type="worksheet">
    <worksheetSource name="general_price"/>
  </cacheSource>
  <cacheFields count="37">
    <cacheField name="date" numFmtId="22">
      <sharedItems containsSemiMixedTypes="0" containsNonDate="0" containsDate="1" containsString="0" minDate="2025-07-11T12:30:00" maxDate="2025-07-19T00:00:00" count="337">
        <d v="2025-07-11T12:30:00"/>
        <d v="2025-07-11T13:00:00"/>
        <d v="2025-07-11T13:30:00"/>
        <d v="2025-07-11T14:00:00"/>
        <d v="2025-07-11T14:30:00"/>
        <d v="2025-07-11T15:00:00"/>
        <d v="2025-07-11T15:30:00"/>
        <d v="2025-07-11T16:00:00"/>
        <d v="2025-07-11T16:30:00"/>
        <d v="2025-07-11T17:00:00"/>
        <d v="2025-07-11T17:30:00"/>
        <d v="2025-07-11T18:00:00"/>
        <d v="2025-07-11T18:30:00"/>
        <d v="2025-07-11T19:00:00"/>
        <d v="2025-07-11T19:30:00"/>
        <d v="2025-07-11T20:00:00"/>
        <d v="2025-07-11T20:30:00"/>
        <d v="2025-07-11T21:00:00"/>
        <d v="2025-07-11T21:30:00"/>
        <d v="2025-07-11T22:00:00"/>
        <d v="2025-07-11T22:30:00"/>
        <d v="2025-07-11T23:00:00"/>
        <d v="2025-07-11T23:30:00"/>
        <d v="2025-07-12T00:00:00"/>
        <d v="2025-07-12T00:30:00"/>
        <d v="2025-07-12T01:00:00"/>
        <d v="2025-07-12T01:30:00"/>
        <d v="2025-07-12T02:00:00"/>
        <d v="2025-07-12T02:30:00"/>
        <d v="2025-07-12T03:00:00"/>
        <d v="2025-07-12T03:30:00"/>
        <d v="2025-07-12T04:00:00"/>
        <d v="2025-07-12T04:30:00"/>
        <d v="2025-07-12T05:00:00"/>
        <d v="2025-07-12T05:30:00"/>
        <d v="2025-07-12T06:00:00"/>
        <d v="2025-07-12T06:30:00"/>
        <d v="2025-07-12T07:00:00"/>
        <d v="2025-07-12T07:30:00"/>
        <d v="2025-07-12T08:00:00"/>
        <d v="2025-07-12T08:30:00"/>
        <d v="2025-07-12T09:00:00"/>
        <d v="2025-07-12T09:30:00"/>
        <d v="2025-07-12T10:00:00"/>
        <d v="2025-07-12T10:30:00"/>
        <d v="2025-07-12T11:00:00"/>
        <d v="2025-07-12T11:30:00"/>
        <d v="2025-07-12T12:00:00"/>
        <d v="2025-07-12T12:30:00"/>
        <d v="2025-07-12T13:00:00"/>
        <d v="2025-07-12T13:30:00"/>
        <d v="2025-07-12T14:00:00"/>
        <d v="2025-07-12T14:30:00"/>
        <d v="2025-07-12T15:00:00"/>
        <d v="2025-07-12T15:30:00"/>
        <d v="2025-07-12T16:00:00"/>
        <d v="2025-07-12T16:30:00"/>
        <d v="2025-07-12T17:00:00"/>
        <d v="2025-07-12T17:30:00"/>
        <d v="2025-07-12T18:00:00"/>
        <d v="2025-07-12T18:30:00"/>
        <d v="2025-07-12T19:00:00"/>
        <d v="2025-07-12T19:30:00"/>
        <d v="2025-07-12T20:00:00"/>
        <d v="2025-07-12T20:30:00"/>
        <d v="2025-07-12T21:00:00"/>
        <d v="2025-07-12T21:30:00"/>
        <d v="2025-07-12T22:00:00"/>
        <d v="2025-07-12T22:30:00"/>
        <d v="2025-07-12T23:00:00"/>
        <d v="2025-07-12T23:30:00"/>
        <d v="2025-07-13T00:00:00"/>
        <d v="2025-07-13T00:30:00"/>
        <d v="2025-07-13T01:00:00"/>
        <d v="2025-07-13T01:30:00"/>
        <d v="2025-07-13T02:00:00"/>
        <d v="2025-07-13T02:30:00"/>
        <d v="2025-07-13T03:00:00"/>
        <d v="2025-07-13T03:30:00"/>
        <d v="2025-07-13T04:00:00"/>
        <d v="2025-07-13T04:30:00"/>
        <d v="2025-07-13T05:00:00"/>
        <d v="2025-07-13T05:30:00"/>
        <d v="2025-07-13T06:00:00"/>
        <d v="2025-07-13T06:30:00"/>
        <d v="2025-07-13T07:00:00"/>
        <d v="2025-07-13T07:30:00"/>
        <d v="2025-07-13T08:00:00"/>
        <d v="2025-07-13T08:30:00"/>
        <d v="2025-07-13T09:00:00"/>
        <d v="2025-07-13T09:30:00"/>
        <d v="2025-07-13T10:00:00"/>
        <d v="2025-07-13T10:30:00"/>
        <d v="2025-07-13T11:00:00"/>
        <d v="2025-07-13T11:30:00"/>
        <d v="2025-07-13T12:00:00"/>
        <d v="2025-07-13T12:30:00"/>
        <d v="2025-07-13T13:00:00"/>
        <d v="2025-07-13T13:30:00"/>
        <d v="2025-07-13T14:00:00"/>
        <d v="2025-07-13T14:30:00"/>
        <d v="2025-07-13T15:00:00"/>
        <d v="2025-07-13T15:30:00"/>
        <d v="2025-07-13T16:00:00"/>
        <d v="2025-07-13T16:30:00"/>
        <d v="2025-07-13T17:00:00"/>
        <d v="2025-07-13T17:30:00"/>
        <d v="2025-07-13T18:00:00"/>
        <d v="2025-07-13T18:30:00"/>
        <d v="2025-07-13T19:00:00"/>
        <d v="2025-07-13T19:30:00"/>
        <d v="2025-07-13T20:00:00"/>
        <d v="2025-07-13T20:30:00"/>
        <d v="2025-07-13T21:00:00"/>
        <d v="2025-07-13T21:30:00"/>
        <d v="2025-07-13T22:00:00"/>
        <d v="2025-07-13T22:30:00"/>
        <d v="2025-07-13T23:00:00"/>
        <d v="2025-07-13T23:30:00"/>
        <d v="2025-07-14T00:00:00"/>
        <d v="2025-07-14T00:30:00"/>
        <d v="2025-07-14T01:00:00"/>
        <d v="2025-07-14T01:30:00"/>
        <d v="2025-07-14T02:00:00"/>
        <d v="2025-07-14T02:30:00"/>
        <d v="2025-07-14T03:00:00"/>
        <d v="2025-07-14T03:30:00"/>
        <d v="2025-07-14T04:00:00"/>
        <d v="2025-07-14T04:30:00"/>
        <d v="2025-07-14T05:00:00"/>
        <d v="2025-07-14T05:30:00"/>
        <d v="2025-07-14T06:00:00"/>
        <d v="2025-07-14T06:30:00"/>
        <d v="2025-07-14T07:00:00"/>
        <d v="2025-07-14T07:30:00"/>
        <d v="2025-07-14T08:00:00"/>
        <d v="2025-07-14T08:30:00"/>
        <d v="2025-07-14T09:00:00"/>
        <d v="2025-07-14T09:30:00"/>
        <d v="2025-07-14T10:00:00"/>
        <d v="2025-07-14T10:30:00"/>
        <d v="2025-07-14T11:00:00"/>
        <d v="2025-07-14T11:30:00"/>
        <d v="2025-07-14T12:00:00"/>
        <d v="2025-07-14T12:30:00"/>
        <d v="2025-07-14T13:00:00"/>
        <d v="2025-07-14T13:30:00"/>
        <d v="2025-07-14T14:00:00"/>
        <d v="2025-07-14T14:30:00"/>
        <d v="2025-07-14T15:00:00"/>
        <d v="2025-07-14T15:30:00"/>
        <d v="2025-07-14T16:00:00"/>
        <d v="2025-07-14T16:30:00"/>
        <d v="2025-07-14T17:00:00"/>
        <d v="2025-07-14T17:30:00"/>
        <d v="2025-07-14T18:00:00"/>
        <d v="2025-07-14T18:30:00"/>
        <d v="2025-07-14T19:00:00"/>
        <d v="2025-07-14T19:30:00"/>
        <d v="2025-07-14T20:00:00"/>
        <d v="2025-07-14T20:30:00"/>
        <d v="2025-07-14T21:00:00"/>
        <d v="2025-07-14T21:30:00"/>
        <d v="2025-07-14T22:00:00"/>
        <d v="2025-07-14T22:30:00"/>
        <d v="2025-07-14T23:00:00"/>
        <d v="2025-07-14T23:30:00"/>
        <d v="2025-07-15T00:00:00"/>
        <d v="2025-07-15T00:30:00"/>
        <d v="2025-07-15T01:00:00"/>
        <d v="2025-07-15T01:30:00"/>
        <d v="2025-07-15T02:00:00"/>
        <d v="2025-07-15T02:30:00"/>
        <d v="2025-07-15T03:00:00"/>
        <d v="2025-07-15T03:30:00"/>
        <d v="2025-07-15T04:00:00"/>
        <d v="2025-07-15T04:30:00"/>
        <d v="2025-07-15T05:00:00"/>
        <d v="2025-07-15T05:30:00"/>
        <d v="2025-07-15T06:00:00"/>
        <d v="2025-07-15T06:30:00"/>
        <d v="2025-07-15T07:00:00"/>
        <d v="2025-07-15T07:30:00"/>
        <d v="2025-07-15T08:00:00"/>
        <d v="2025-07-15T08:30:00"/>
        <d v="2025-07-15T09:00:00"/>
        <d v="2025-07-15T09:30:00"/>
        <d v="2025-07-15T10:00:00"/>
        <d v="2025-07-15T10:30:00"/>
        <d v="2025-07-15T11:00:00"/>
        <d v="2025-07-15T11:30:00"/>
        <d v="2025-07-15T12:00:00"/>
        <d v="2025-07-15T12:30:00"/>
        <d v="2025-07-15T13:00:00"/>
        <d v="2025-07-15T13:30:00"/>
        <d v="2025-07-15T14:00:00"/>
        <d v="2025-07-15T14:30:00"/>
        <d v="2025-07-15T15:00:00"/>
        <d v="2025-07-15T15:30:00"/>
        <d v="2025-07-15T16:00:00"/>
        <d v="2025-07-15T16:30:00"/>
        <d v="2025-07-15T17:00:00"/>
        <d v="2025-07-15T17:30:00"/>
        <d v="2025-07-15T18:00:00"/>
        <d v="2025-07-15T18:30:00"/>
        <d v="2025-07-15T19:00:00"/>
        <d v="2025-07-15T19:30:00"/>
        <d v="2025-07-15T20:00:00"/>
        <d v="2025-07-15T20:30:00"/>
        <d v="2025-07-15T21:00:00"/>
        <d v="2025-07-15T21:30:00"/>
        <d v="2025-07-15T22:00:00"/>
        <d v="2025-07-15T22:30:00"/>
        <d v="2025-07-15T23:00:00"/>
        <d v="2025-07-15T23:30:00"/>
        <d v="2025-07-16T00:00:00"/>
        <d v="2025-07-16T00:30:00"/>
        <d v="2025-07-16T01:00:00"/>
        <d v="2025-07-16T01:30:00"/>
        <d v="2025-07-16T02:00:00"/>
        <d v="2025-07-16T02:30:00"/>
        <d v="2025-07-16T03:00:00"/>
        <d v="2025-07-16T03:30:00"/>
        <d v="2025-07-16T04:00:00"/>
        <d v="2025-07-16T04:30:00"/>
        <d v="2025-07-16T05:00:00"/>
        <d v="2025-07-16T05:30:00"/>
        <d v="2025-07-16T06:00:00"/>
        <d v="2025-07-16T06:30:00"/>
        <d v="2025-07-16T07:00:00"/>
        <d v="2025-07-16T07:30:00"/>
        <d v="2025-07-16T08:00:00"/>
        <d v="2025-07-16T08:30:00"/>
        <d v="2025-07-16T09:00:00"/>
        <d v="2025-07-16T09:30:00"/>
        <d v="2025-07-16T10:00:00"/>
        <d v="2025-07-16T10:30:00"/>
        <d v="2025-07-16T11:00:00"/>
        <d v="2025-07-16T11:30:00"/>
        <d v="2025-07-16T12:00:00"/>
        <d v="2025-07-16T12:30:00"/>
        <d v="2025-07-16T13:00:00"/>
        <d v="2025-07-16T13:30:00"/>
        <d v="2025-07-16T14:00:00"/>
        <d v="2025-07-16T14:30:00"/>
        <d v="2025-07-16T15:00:00"/>
        <d v="2025-07-16T15:30:00"/>
        <d v="2025-07-16T16:00:00"/>
        <d v="2025-07-16T16:30:00"/>
        <d v="2025-07-16T17:00:00"/>
        <d v="2025-07-16T17:30:00"/>
        <d v="2025-07-16T18:00:00"/>
        <d v="2025-07-16T18:30:00"/>
        <d v="2025-07-16T19:00:00"/>
        <d v="2025-07-16T19:30:00"/>
        <d v="2025-07-16T20:00:00"/>
        <d v="2025-07-16T20:30:00"/>
        <d v="2025-07-16T21:00:00"/>
        <d v="2025-07-16T21:30:00"/>
        <d v="2025-07-16T22:00:00"/>
        <d v="2025-07-16T22:30:00"/>
        <d v="2025-07-16T23:00:00"/>
        <d v="2025-07-16T23:30:00"/>
        <d v="2025-07-17T00:00:00"/>
        <d v="2025-07-17T00:30:00"/>
        <d v="2025-07-17T01:00:00"/>
        <d v="2025-07-17T01:30:00"/>
        <d v="2025-07-17T02:00:00"/>
        <d v="2025-07-17T02:30:00"/>
        <d v="2025-07-17T03:00:00"/>
        <d v="2025-07-17T03:30:00"/>
        <d v="2025-07-17T04:00:00"/>
        <d v="2025-07-17T04:30:00"/>
        <d v="2025-07-17T05:00:00"/>
        <d v="2025-07-17T05:30:00"/>
        <d v="2025-07-17T06:00:00"/>
        <d v="2025-07-17T06:30:00"/>
        <d v="2025-07-17T07:00:00"/>
        <d v="2025-07-17T07:30:00"/>
        <d v="2025-07-17T08:00:00"/>
        <d v="2025-07-17T08:30:00"/>
        <d v="2025-07-17T09:00:00"/>
        <d v="2025-07-17T09:30:00"/>
        <d v="2025-07-17T10:00:00"/>
        <d v="2025-07-17T10:30:00"/>
        <d v="2025-07-17T11:00:00"/>
        <d v="2025-07-17T11:30:00"/>
        <d v="2025-07-17T12:00:00"/>
        <d v="2025-07-17T12:30:00"/>
        <d v="2025-07-17T13:00:00"/>
        <d v="2025-07-17T13:30:00"/>
        <d v="2025-07-17T14:00:00"/>
        <d v="2025-07-17T14:30:00"/>
        <d v="2025-07-17T15:00:00"/>
        <d v="2025-07-17T15:30:00"/>
        <d v="2025-07-17T16:00:00"/>
        <d v="2025-07-17T16:30:00"/>
        <d v="2025-07-17T17:00:00"/>
        <d v="2025-07-17T17:30:00"/>
        <d v="2025-07-17T18:00:00"/>
        <d v="2025-07-17T18:30:00"/>
        <d v="2025-07-17T19:00:00"/>
        <d v="2025-07-17T19:30:00"/>
        <d v="2025-07-17T20:00:00"/>
        <d v="2025-07-17T20:30:00"/>
        <d v="2025-07-17T21:00:00"/>
        <d v="2025-07-17T21:30:00"/>
        <d v="2025-07-17T22:00:00"/>
        <d v="2025-07-17T22:30:00"/>
        <d v="2025-07-17T23:00:00"/>
        <d v="2025-07-17T23:30:00"/>
        <d v="2025-07-18T00:00:00"/>
        <d v="2025-07-18T00:30:00"/>
        <d v="2025-07-18T01:00:00"/>
        <d v="2025-07-18T01:30:00"/>
        <d v="2025-07-18T02:00:00"/>
        <d v="2025-07-18T02:30:00"/>
        <d v="2025-07-18T03:00:00"/>
        <d v="2025-07-18T03:30:00"/>
        <d v="2025-07-18T04:00:00"/>
        <d v="2025-07-18T04:30:00"/>
        <d v="2025-07-18T05:00:00"/>
        <d v="2025-07-18T05:30:00"/>
        <d v="2025-07-18T06:00:00"/>
        <d v="2025-07-18T06:30:00"/>
        <d v="2025-07-18T07:00:00"/>
        <d v="2025-07-18T07:30:00"/>
        <d v="2025-07-18T08:00:00"/>
        <d v="2025-07-18T08:30:00"/>
        <d v="2025-07-18T09:00:00"/>
        <d v="2025-07-18T09:30:00"/>
        <d v="2025-07-18T10:00:00"/>
        <d v="2025-07-18T10:30:00"/>
        <d v="2025-07-18T11:00:00"/>
        <d v="2025-07-18T11:30:00"/>
        <d v="2025-07-18T12:00:00"/>
        <d v="2025-07-18T12:30:00"/>
      </sharedItems>
      <fieldGroup par="30"/>
    </cacheField>
    <cacheField name="Battery (Charging) -  MW" numFmtId="3">
      <sharedItems containsSemiMixedTypes="0" containsString="0" containsNumber="1" minValue="-649.61" maxValue="-0.01"/>
    </cacheField>
    <cacheField name="Pumps -  MW" numFmtId="3">
      <sharedItems containsSemiMixedTypes="0" containsString="0" containsNumber="1" minValue="-660.59" maxValue="0"/>
    </cacheField>
    <cacheField name="Exports -  MW" numFmtId="3">
      <sharedItems containsSemiMixedTypes="0" containsString="0" containsNumber="1" minValue="-824.64" maxValue="0"/>
    </cacheField>
    <cacheField name="Imports -  MW" numFmtId="3">
      <sharedItems containsSemiMixedTypes="0" containsString="0" containsNumber="1" minValue="0" maxValue="1763.72"/>
    </cacheField>
    <cacheField name="Coal (Black) -  MW" numFmtId="3">
      <sharedItems containsSemiMixedTypes="0" containsString="0" containsNumber="1" minValue="2374.46" maxValue="8147.78"/>
    </cacheField>
    <cacheField name="Bioenergy (Biomass) -  MW" numFmtId="3">
      <sharedItems containsSemiMixedTypes="0" containsString="0" containsNumber="1" minValue="-6.02" maxValue="29.64"/>
    </cacheField>
    <cacheField name="Gas (CCGT) -  MW" numFmtId="3">
      <sharedItems containsSemiMixedTypes="0" containsString="0" containsNumber="1" minValue="0" maxValue="576.74"/>
    </cacheField>
    <cacheField name="Gas (OCGT) -  MW" numFmtId="3">
      <sharedItems containsSemiMixedTypes="0" containsString="0" containsNumber="1" minValue="30.94" maxValue="1042.5"/>
    </cacheField>
    <cacheField name="Battery (Discharging) -  MW" numFmtId="3">
      <sharedItems containsSemiMixedTypes="0" containsString="0" containsNumber="1" minValue="0" maxValue="444.85"/>
    </cacheField>
    <cacheField name="Hydro -  MW" numFmtId="3">
      <sharedItems containsSemiMixedTypes="0" containsString="0" containsNumber="1" minValue="-0.34" maxValue="1433.19"/>
    </cacheField>
    <cacheField name="Wind -  MW" numFmtId="3">
      <sharedItems containsSemiMixedTypes="0" containsString="0" containsNumber="1" minValue="40.29" maxValue="2301.21"/>
    </cacheField>
    <cacheField name="Solar (Utility) -  MW" numFmtId="3">
      <sharedItems containsSemiMixedTypes="0" containsString="0" containsNumber="1" minValue="0.02" maxValue="3084.05"/>
    </cacheField>
    <cacheField name="Solar (Rooftop) -  MW" numFmtId="3">
      <sharedItems containsSemiMixedTypes="0" containsString="0" containsNumber="1" minValue="0" maxValue="3708.24"/>
    </cacheField>
    <cacheField name="Temperature - C" numFmtId="3">
      <sharedItems containsSemiMixedTypes="0" containsString="0" containsNumber="1" minValue="6.73" maxValue="19.489999999999998"/>
    </cacheField>
    <cacheField name="Exports Emissions Vol - tCO₂e" numFmtId="3">
      <sharedItems containsSemiMixedTypes="0" containsString="0" containsNumber="1" minValue="0" maxValue="244.03"/>
    </cacheField>
    <cacheField name="Imports Emissions Vol - tCO₂e" numFmtId="3">
      <sharedItems containsSemiMixedTypes="0" containsString="0" containsNumber="1" minValue="0" maxValue="507.73"/>
    </cacheField>
    <cacheField name="Coal (Black) Emissions Vol - tCO₂e" numFmtId="3">
      <sharedItems containsSemiMixedTypes="0" containsString="0" containsNumber="1" minValue="254.19" maxValue="3676.3"/>
    </cacheField>
    <cacheField name="Bioenergy (Biomass) Emissions Vol - tCO₂e" numFmtId="3">
      <sharedItems containsSemiMixedTypes="0" containsString="0" containsNumber="1" minValue="0.02" maxValue="0.51"/>
    </cacheField>
    <cacheField name="Gas (CCGT) Emissions Vol - tCO₂e" numFmtId="3">
      <sharedItems containsSemiMixedTypes="0" containsString="0" containsNumber="1" minValue="0" maxValue="112.77"/>
    </cacheField>
    <cacheField name="Gas (OCGT) Emissions Vol - tCO₂e" numFmtId="3">
      <sharedItems containsSemiMixedTypes="0" containsString="0" containsNumber="1" minValue="1.87" maxValue="329.49"/>
    </cacheField>
    <cacheField name="Emissions Intensity - kgCO₂e/MWh" numFmtId="3">
      <sharedItems containsSemiMixedTypes="0" containsString="0" containsNumber="1" minValue="227.63" maxValue="849.05"/>
    </cacheField>
    <cacheField name="Price - AUD/MWh" numFmtId="3">
      <sharedItems containsSemiMixedTypes="0" containsString="0" containsNumber="1" minValue="-22.01" maxValue="299.99"/>
    </cacheField>
    <cacheField name="Helper Column - Time" numFmtId="169">
      <sharedItems containsSemiMixedTypes="0" containsNonDate="0" containsDate="1" containsString="0" minDate="1899-12-30T00:00:00" maxDate="1899-12-30T23:30:00" count="48"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22:00:00"/>
        <d v="1899-12-30T22:30:00"/>
        <d v="1899-12-30T23:00:00"/>
        <d v="1899-12-30T23:30:00"/>
        <d v="1899-12-30T00:00:00"/>
        <d v="1899-12-30T00:30:00"/>
        <d v="1899-12-30T01:00:00"/>
        <d v="1899-12-30T01:30:00"/>
        <d v="1899-12-30T02:00:00"/>
        <d v="1899-12-30T02:30:00"/>
        <d v="1899-12-30T03:00:00"/>
        <d v="1899-12-30T03:30:00"/>
        <d v="1899-12-30T04:00:00"/>
        <d v="1899-12-30T04:30:00"/>
        <d v="1899-12-30T05:00:00"/>
        <d v="1899-12-30T05:30:00"/>
        <d v="1899-12-30T06:00:00"/>
        <d v="1899-12-30T06:30:00"/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</sharedItems>
      <fieldGroup par="35"/>
    </cacheField>
    <cacheField name="Helper Column - Day" numFmtId="14">
      <sharedItems/>
    </cacheField>
    <cacheField name="Helper Column - Zero" numFmtId="3">
      <sharedItems containsSemiMixedTypes="0" containsString="0" containsNumber="1" containsInteger="1" minValue="0" maxValue="0"/>
    </cacheField>
    <cacheField name="Helper Column - Net Battery Output" numFmtId="3">
      <sharedItems containsSemiMixedTypes="0" containsString="0" containsNumber="1" minValue="-647.79" maxValue="443.34000000000003"/>
    </cacheField>
    <cacheField name="Helper Column - Net Hydro Output" numFmtId="3">
      <sharedItems containsSemiMixedTypes="0" containsString="0" containsNumber="1" minValue="-660.59" maxValue="1433.19"/>
    </cacheField>
    <cacheField name="Minutes (date)" numFmtId="0" databaseField="0">
      <fieldGroup base="0">
        <rangePr groupBy="minutes" startDate="2025-07-11T12:30:00" endDate="2025-07-19T00:00:00"/>
        <groupItems count="62">
          <s v="&lt;11/7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/7/2025"/>
        </groupItems>
      </fieldGroup>
    </cacheField>
    <cacheField name="Hours (date)" numFmtId="0" databaseField="0">
      <fieldGroup base="0">
        <rangePr groupBy="hours" startDate="2025-07-11T12:30:00" endDate="2025-07-19T00:00:00"/>
        <groupItems count="26">
          <s v="&lt;11/7/2025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9/7/2025"/>
        </groupItems>
      </fieldGroup>
    </cacheField>
    <cacheField name="Days (date)" numFmtId="0" databaseField="0">
      <fieldGroup base="0">
        <rangePr groupBy="days" startDate="2025-07-11T12:30:00" endDate="2025-07-19T00:00:00"/>
        <groupItems count="368">
          <s v="&lt;11/7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7/2025"/>
        </groupItems>
      </fieldGroup>
    </cacheField>
    <cacheField name="Range" numFmtId="0" formula="MAX('Price - AUD/MWh') - MIN('Price - AUD/MWh')" databaseField="0"/>
    <cacheField name="gas combined" numFmtId="0" formula="'Gas (CCGT) -  MW'+'Gas (OCGT) -  MW'" databaseField="0"/>
    <cacheField name="Field1" numFmtId="0" formula="'Battery (Discharging) -  MW'-'Battery (Charging) -  MW'" databaseField="0"/>
    <cacheField name="Minutes (Helper Column - Time)" numFmtId="0" databaseField="0">
      <fieldGroup base="23">
        <rangePr groupBy="minutes" startDate="1899-12-30T00:00:00" endDate="1899-12-30T23:30:00"/>
        <groupItems count="62">
          <s v="&lt;0/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1/1900"/>
        </groupItems>
      </fieldGroup>
    </cacheField>
    <cacheField name="Hours (Helper Column - Time)" numFmtId="0" databaseField="0">
      <fieldGroup base="23">
        <rangePr groupBy="hours" startDate="1899-12-30T00:00:00" endDate="1899-12-30T23:30:00"/>
        <groupItems count="26">
          <s v="&lt;0/1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/1/1900"/>
        </groupItems>
      </fieldGroup>
    </cacheField>
    <cacheField name="Field2" numFmtId="0" formula="'Battery (Discharging) -  MW'-'Battery (Charging) -  MW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d v="2025-07-11T12:30:00"/>
    <n v="-190.82"/>
    <n v="-469.14"/>
    <n v="-255.91"/>
    <n v="913.45"/>
    <n v="3381.98"/>
    <n v="28.92"/>
    <n v="0"/>
    <n v="37.35"/>
    <n v="353.88"/>
    <n v="0"/>
    <n v="1569.25"/>
    <n v="1561.96"/>
    <n v="0"/>
    <n v="17.7"/>
    <n v="9.02"/>
    <n v="41.99"/>
    <n v="254.19"/>
    <n v="0.08"/>
    <n v="0"/>
    <n v="1.87"/>
    <n v="443.49"/>
    <n v="-22.01"/>
    <x v="0"/>
  </r>
  <r>
    <d v="2025-07-11T13:00:00"/>
    <n v="-401.87"/>
    <n v="-468.66"/>
    <n v="-132.59"/>
    <n v="873.89"/>
    <n v="3430.37"/>
    <n v="29.64"/>
    <n v="0"/>
    <n v="37.369999999999997"/>
    <n v="152.37"/>
    <n v="0"/>
    <n v="1626.93"/>
    <n v="1760.86"/>
    <n v="1653.29"/>
    <n v="17.86"/>
    <n v="27.69"/>
    <n v="251.17"/>
    <n v="1547.5"/>
    <n v="0.51"/>
    <n v="0"/>
    <n v="11.25"/>
    <n v="364.25"/>
    <n v="-14.01"/>
    <x v="1"/>
  </r>
  <r>
    <d v="2025-07-11T13:30:00"/>
    <n v="-649.61"/>
    <n v="-468.04"/>
    <n v="-10.54"/>
    <n v="886.3"/>
    <n v="3463.22"/>
    <n v="20.71"/>
    <n v="0"/>
    <n v="37.19"/>
    <n v="1.82"/>
    <n v="0"/>
    <n v="1717.61"/>
    <n v="1879.89"/>
    <n v="3109.92"/>
    <n v="17.98"/>
    <n v="2.2000000000000002"/>
    <n v="254.96"/>
    <n v="1562.28"/>
    <n v="0.45"/>
    <n v="0"/>
    <n v="11.2"/>
    <n v="315.14999999999998"/>
    <n v="13.96"/>
    <x v="2"/>
  </r>
  <r>
    <d v="2025-07-11T14:00:00"/>
    <n v="-162.4"/>
    <n v="-467.76"/>
    <n v="-159.88999999999999"/>
    <n v="897.81"/>
    <n v="3444.6"/>
    <n v="11.93"/>
    <n v="1.17"/>
    <n v="38.090000000000003"/>
    <n v="97.38"/>
    <n v="0"/>
    <n v="1735.37"/>
    <n v="1686.57"/>
    <n v="2800.7"/>
    <n v="17.87"/>
    <n v="34.130000000000003"/>
    <n v="246.76"/>
    <n v="1554.06"/>
    <n v="0.38"/>
    <n v="0.22"/>
    <n v="11.47"/>
    <n v="315.64"/>
    <n v="0.04"/>
    <x v="3"/>
  </r>
  <r>
    <d v="2025-07-11T14:30:00"/>
    <n v="-22.51"/>
    <n v="-468.28"/>
    <n v="-151.47999999999999"/>
    <n v="917.95"/>
    <n v="3513.54"/>
    <n v="11.22"/>
    <n v="52.33"/>
    <n v="38.33"/>
    <n v="241.68"/>
    <n v="0"/>
    <n v="1759.84"/>
    <n v="1445.08"/>
    <n v="2425.0500000000002"/>
    <n v="17.37"/>
    <n v="32.479999999999997"/>
    <n v="239.86"/>
    <n v="1584.67"/>
    <n v="0.37"/>
    <n v="9.73"/>
    <n v="11.54"/>
    <n v="329.07"/>
    <n v="20.3"/>
    <x v="4"/>
  </r>
  <r>
    <d v="2025-07-11T15:00:00"/>
    <n v="-379.85"/>
    <n v="-467.17"/>
    <n v="-0.59"/>
    <n v="919.42"/>
    <n v="3972.11"/>
    <n v="12.25"/>
    <n v="179.83"/>
    <n v="37.979999999999997"/>
    <n v="78.8"/>
    <n v="0"/>
    <n v="1832.99"/>
    <n v="1392.68"/>
    <n v="1963.82"/>
    <n v="16.97"/>
    <n v="0.14000000000000001"/>
    <n v="239.01"/>
    <n v="1788.98"/>
    <n v="0.39"/>
    <n v="33.43"/>
    <n v="11.44"/>
    <n v="384.44"/>
    <n v="46.74"/>
    <x v="5"/>
  </r>
  <r>
    <d v="2025-07-11T15:30:00"/>
    <n v="-100.81"/>
    <n v="-436.42"/>
    <n v="-125.35"/>
    <n v="885.51"/>
    <n v="4521.03"/>
    <n v="11.73"/>
    <n v="190"/>
    <n v="38.64"/>
    <n v="235.41"/>
    <n v="0"/>
    <n v="1820.41"/>
    <n v="1220.54"/>
    <n v="1440.64"/>
    <n v="16.91"/>
    <n v="31.3"/>
    <n v="207.77"/>
    <n v="2041.49"/>
    <n v="0.37"/>
    <n v="35.32"/>
    <n v="11.63"/>
    <n v="430.63"/>
    <n v="-11.05"/>
    <x v="6"/>
  </r>
  <r>
    <d v="2025-07-11T16:00:00"/>
    <n v="-84.16"/>
    <n v="-230.55"/>
    <n v="-105.76"/>
    <n v="751.42"/>
    <n v="5370.25"/>
    <n v="13.43"/>
    <n v="199.67"/>
    <n v="40.81"/>
    <n v="60.13"/>
    <n v="11.96"/>
    <n v="1870.99"/>
    <n v="1049.7"/>
    <n v="914.26"/>
    <n v="16.22"/>
    <n v="29.46"/>
    <n v="200.61"/>
    <n v="2430.58"/>
    <n v="0.42"/>
    <n v="37.119999999999997"/>
    <n v="12.29"/>
    <n v="503.02"/>
    <n v="37.74"/>
    <x v="7"/>
  </r>
  <r>
    <d v="2025-07-11T16:30:00"/>
    <n v="-307.23"/>
    <n v="0"/>
    <n v="-157.65"/>
    <n v="754.07"/>
    <n v="6233.9"/>
    <n v="1.38"/>
    <n v="345.83"/>
    <n v="41.5"/>
    <n v="186.7"/>
    <n v="76.8"/>
    <n v="1904.08"/>
    <n v="592.71"/>
    <n v="440.91"/>
    <n v="15.82"/>
    <n v="48.61"/>
    <n v="237.38"/>
    <n v="2824.61"/>
    <n v="0.46"/>
    <n v="64.290000000000006"/>
    <n v="12.7"/>
    <n v="573.92999999999995"/>
    <n v="63.4"/>
    <x v="8"/>
  </r>
  <r>
    <d v="2025-07-11T17:00:00"/>
    <n v="-300.85000000000002"/>
    <n v="0"/>
    <n v="-200.52"/>
    <n v="638.88"/>
    <n v="6792.19"/>
    <n v="-0.54"/>
    <n v="447.33"/>
    <n v="159.38"/>
    <n v="279.3"/>
    <n v="506.54"/>
    <n v="1924.31"/>
    <n v="166.79"/>
    <n v="116.99"/>
    <n v="15.44"/>
    <n v="62.35"/>
    <n v="223.1"/>
    <n v="3078.15"/>
    <n v="0.45"/>
    <n v="83.16"/>
    <n v="45.76"/>
    <n v="609.23"/>
    <n v="100.59"/>
    <x v="9"/>
  </r>
  <r>
    <d v="2025-07-11T17:30:00"/>
    <n v="-60.4"/>
    <n v="0"/>
    <n v="-208.53"/>
    <n v="614.17999999999995"/>
    <n v="7173.65"/>
    <n v="-1.78"/>
    <n v="445.5"/>
    <n v="207.84"/>
    <n v="202.42"/>
    <n v="692.02"/>
    <n v="1944.45"/>
    <n v="8.5399999999999991"/>
    <n v="12.03"/>
    <n v="15.12"/>
    <n v="65.650000000000006"/>
    <n v="219.51"/>
    <n v="3248.93"/>
    <n v="0.44"/>
    <n v="82.82"/>
    <n v="59.43"/>
    <n v="614.98"/>
    <n v="135.19999999999999"/>
    <x v="10"/>
  </r>
  <r>
    <d v="2025-07-11T18:00:00"/>
    <n v="-2.2799999999999998"/>
    <n v="0"/>
    <n v="-487.92"/>
    <n v="372.96"/>
    <n v="7371.04"/>
    <n v="-1.23"/>
    <n v="445.5"/>
    <n v="208.9"/>
    <n v="204.59"/>
    <n v="993.21"/>
    <n v="1999.15"/>
    <n v="0.02"/>
    <n v="0.09"/>
    <n v="14.85"/>
    <n v="150.97"/>
    <n v="131.74"/>
    <n v="3337.58"/>
    <n v="0.44"/>
    <n v="82.82"/>
    <n v="59.74"/>
    <n v="626.9"/>
    <n v="163.44999999999999"/>
    <x v="11"/>
  </r>
  <r>
    <d v="2025-07-11T18:30:00"/>
    <n v="-2.2000000000000002"/>
    <n v="0"/>
    <n v="-510.44"/>
    <n v="358.28"/>
    <n v="7404.26"/>
    <n v="-0.77"/>
    <n v="445.33"/>
    <n v="208.73"/>
    <n v="254.8"/>
    <n v="941.37"/>
    <n v="2028.92"/>
    <n v="0.02"/>
    <n v="0"/>
    <n v="14.73"/>
    <n v="157.80000000000001"/>
    <n v="125.88"/>
    <n v="3352.88"/>
    <n v="0.44"/>
    <n v="82.79"/>
    <n v="59.68"/>
    <n v="628.27"/>
    <n v="129.05000000000001"/>
    <x v="12"/>
  </r>
  <r>
    <d v="2025-07-11T19:00:00"/>
    <n v="-3.18"/>
    <n v="0"/>
    <n v="-501.92"/>
    <n v="369.47"/>
    <n v="7406.87"/>
    <n v="-0.91"/>
    <n v="446"/>
    <n v="207.75"/>
    <n v="132.97999999999999"/>
    <n v="961.9"/>
    <n v="1986.17"/>
    <n v="0.02"/>
    <n v="0"/>
    <n v="13.97"/>
    <n v="157.35"/>
    <n v="129.35"/>
    <n v="3354"/>
    <n v="0.44"/>
    <n v="82.91"/>
    <n v="59.38"/>
    <n v="635.47"/>
    <n v="133.6"/>
    <x v="13"/>
  </r>
  <r>
    <d v="2025-07-11T19:30:00"/>
    <n v="-4.08"/>
    <n v="0"/>
    <n v="-551.23"/>
    <n v="423.87"/>
    <n v="7405.12"/>
    <n v="-0.89"/>
    <n v="445.83"/>
    <n v="208.19"/>
    <n v="61.78"/>
    <n v="967.99"/>
    <n v="1944.55"/>
    <n v="0.02"/>
    <n v="0"/>
    <n v="13.17"/>
    <n v="174.28"/>
    <n v="144.09"/>
    <n v="3353.18"/>
    <n v="0.44"/>
    <n v="82.88"/>
    <n v="59.5"/>
    <n v="641.4"/>
    <n v="123.74"/>
    <x v="14"/>
  </r>
  <r>
    <d v="2025-07-11T20:00:00"/>
    <n v="-1.94"/>
    <n v="0"/>
    <n v="-558.29"/>
    <n v="391.52"/>
    <n v="7406.79"/>
    <n v="-0.47"/>
    <n v="446"/>
    <n v="202.7"/>
    <n v="51.27"/>
    <n v="963.75"/>
    <n v="1893.48"/>
    <n v="0.02"/>
    <n v="0"/>
    <n v="13.17"/>
    <n v="177.6"/>
    <n v="133.1"/>
    <n v="3353.85"/>
    <n v="0.44"/>
    <n v="82.91"/>
    <n v="57.97"/>
    <n v="647.57000000000005"/>
    <n v="111.94"/>
    <x v="15"/>
  </r>
  <r>
    <d v="2025-07-11T20:30:00"/>
    <n v="-3.76"/>
    <n v="0"/>
    <n v="-555.45000000000005"/>
    <n v="426.23"/>
    <n v="7394.76"/>
    <n v="-0.82"/>
    <n v="448.33"/>
    <n v="134.81"/>
    <n v="4.51"/>
    <n v="940.19"/>
    <n v="1840.63"/>
    <n v="0.02"/>
    <n v="0"/>
    <n v="13.23"/>
    <n v="178.64"/>
    <n v="144.19999999999999"/>
    <n v="3347.24"/>
    <n v="0.45"/>
    <n v="83.35"/>
    <n v="38.840000000000003"/>
    <n v="652.88"/>
    <n v="96.23"/>
    <x v="16"/>
  </r>
  <r>
    <d v="2025-07-11T21:00:00"/>
    <n v="-4.08"/>
    <n v="0"/>
    <n v="-561.46"/>
    <n v="480.95"/>
    <n v="7400.16"/>
    <n v="-1.1000000000000001"/>
    <n v="446.83"/>
    <n v="43.05"/>
    <n v="6.95"/>
    <n v="890.52"/>
    <n v="1711.43"/>
    <n v="0.02"/>
    <n v="0"/>
    <n v="12.78"/>
    <n v="183.5"/>
    <n v="166.51"/>
    <n v="3349.59"/>
    <n v="0.45"/>
    <n v="83.07"/>
    <n v="12.96"/>
    <n v="661.86"/>
    <n v="96.52"/>
    <x v="17"/>
  </r>
  <r>
    <d v="2025-07-11T21:30:00"/>
    <n v="-4.13"/>
    <n v="0"/>
    <n v="-599.28"/>
    <n v="609.55999999999995"/>
    <n v="7394.61"/>
    <n v="-0.79"/>
    <n v="445.67"/>
    <n v="42.96"/>
    <n v="2.73"/>
    <n v="579.07000000000005"/>
    <n v="1597.28"/>
    <n v="0.02"/>
    <n v="0"/>
    <n v="12.54"/>
    <n v="204.56"/>
    <n v="205.62"/>
    <n v="3347.11"/>
    <n v="0.45"/>
    <n v="82.85"/>
    <n v="12.94"/>
    <n v="684.04"/>
    <n v="106.16"/>
    <x v="18"/>
  </r>
  <r>
    <d v="2025-07-11T22:00:00"/>
    <n v="-3.78"/>
    <n v="0"/>
    <n v="-604.04"/>
    <n v="591.14"/>
    <n v="7344.47"/>
    <n v="-0.79"/>
    <n v="437.5"/>
    <n v="43.81"/>
    <n v="0.04"/>
    <n v="453.65"/>
    <n v="1542.07"/>
    <n v="0.02"/>
    <n v="0"/>
    <n v="12.57"/>
    <n v="209.6"/>
    <n v="199.86"/>
    <n v="3324.68"/>
    <n v="0.45"/>
    <n v="81.33"/>
    <n v="13.19"/>
    <n v="697.6"/>
    <n v="100.01"/>
    <x v="19"/>
  </r>
  <r>
    <d v="2025-07-11T22:30:00"/>
    <n v="-3.23"/>
    <n v="0"/>
    <n v="-480.9"/>
    <n v="399.6"/>
    <n v="7331.12"/>
    <n v="-0.99"/>
    <n v="448.67"/>
    <n v="44.19"/>
    <n v="13.33"/>
    <n v="419"/>
    <n v="1524.18"/>
    <n v="0.02"/>
    <n v="0"/>
    <n v="12.54"/>
    <n v="167.51"/>
    <n v="135.80000000000001"/>
    <n v="3318.79"/>
    <n v="0.45"/>
    <n v="83.41"/>
    <n v="13.31"/>
    <n v="704.69"/>
    <n v="100.01"/>
    <x v="20"/>
  </r>
  <r>
    <d v="2025-07-11T23:00:00"/>
    <n v="-3.47"/>
    <n v="0"/>
    <n v="-487.3"/>
    <n v="406.69"/>
    <n v="7136.3"/>
    <n v="-0.71"/>
    <n v="440.5"/>
    <n v="44.26"/>
    <n v="8.36"/>
    <n v="426.01"/>
    <n v="1476.49"/>
    <n v="0.02"/>
    <n v="0"/>
    <n v="12.76"/>
    <n v="169.68"/>
    <n v="138.15"/>
    <n v="3231.86"/>
    <n v="0.44"/>
    <n v="81.89"/>
    <n v="13.33"/>
    <n v="704.45"/>
    <n v="100.01"/>
    <x v="21"/>
  </r>
  <r>
    <d v="2025-07-11T23:30:00"/>
    <n v="-8.66"/>
    <n v="0"/>
    <n v="-480.83"/>
    <n v="473.88"/>
    <n v="6924.32"/>
    <n v="-1.29"/>
    <n v="443"/>
    <n v="43.43"/>
    <n v="4.6500000000000004"/>
    <n v="266.63"/>
    <n v="1382.8"/>
    <n v="0.02"/>
    <n v="0"/>
    <n v="12.91"/>
    <n v="171.05"/>
    <n v="160.26"/>
    <n v="3137.37"/>
    <n v="0.44"/>
    <n v="82.35"/>
    <n v="13.08"/>
    <n v="714.69"/>
    <n v="99.24"/>
    <x v="22"/>
  </r>
  <r>
    <d v="2025-07-12T00:00:00"/>
    <n v="-5.73"/>
    <n v="0"/>
    <n v="-525.99"/>
    <n v="386.95"/>
    <n v="6706.91"/>
    <n v="-1.49"/>
    <n v="357.83"/>
    <n v="43.2"/>
    <n v="5.28"/>
    <n v="368.5"/>
    <n v="1309.52"/>
    <n v="0.02"/>
    <n v="0"/>
    <n v="13.14"/>
    <n v="185.48"/>
    <n v="133.27000000000001"/>
    <n v="3040.37"/>
    <n v="0.44"/>
    <n v="66.52"/>
    <n v="13.01"/>
    <n v="721.88"/>
    <n v="88.25"/>
    <x v="23"/>
  </r>
  <r>
    <d v="2025-07-12T00:30:00"/>
    <n v="-2.97"/>
    <n v="0"/>
    <n v="-597.52"/>
    <n v="244.68"/>
    <n v="6653.65"/>
    <n v="-0.83"/>
    <n v="300.5"/>
    <n v="43.07"/>
    <n v="5.2"/>
    <n v="550.14"/>
    <n v="1326.11"/>
    <n v="0.02"/>
    <n v="0"/>
    <n v="13.11"/>
    <n v="207.54"/>
    <n v="83.71"/>
    <n v="3016.74"/>
    <n v="0.44"/>
    <n v="55.86"/>
    <n v="12.97"/>
    <n v="724.24"/>
    <n v="78.92"/>
    <x v="24"/>
  </r>
  <r>
    <d v="2025-07-12T01:00:00"/>
    <n v="-6.6"/>
    <n v="0"/>
    <n v="-670.27"/>
    <n v="357.03"/>
    <n v="6514.32"/>
    <n v="-0.99"/>
    <n v="291.83"/>
    <n v="43.06"/>
    <n v="1.08"/>
    <n v="554.45000000000005"/>
    <n v="1360.1"/>
    <n v="0.02"/>
    <n v="0"/>
    <n v="13.01"/>
    <n v="230.46"/>
    <n v="122.7"/>
    <n v="2954.58"/>
    <n v="0.45"/>
    <n v="54.25"/>
    <n v="12.96"/>
    <n v="715.83"/>
    <n v="80.59"/>
    <x v="25"/>
  </r>
  <r>
    <d v="2025-07-12T01:30:00"/>
    <n v="-6.97"/>
    <n v="0"/>
    <n v="-476.18"/>
    <n v="339.97"/>
    <n v="6333.29"/>
    <n v="-0.74"/>
    <n v="194.17"/>
    <n v="43.13"/>
    <n v="2.64"/>
    <n v="345.43"/>
    <n v="1420.98"/>
    <n v="0.02"/>
    <n v="0"/>
    <n v="12.89"/>
    <n v="166.27"/>
    <n v="115.89"/>
    <n v="2873.75"/>
    <n v="0.45"/>
    <n v="36.1"/>
    <n v="12.99"/>
    <n v="713.37"/>
    <n v="82.29"/>
    <x v="26"/>
  </r>
  <r>
    <d v="2025-07-12T02:00:00"/>
    <n v="-12.24"/>
    <n v="0"/>
    <n v="-472.52"/>
    <n v="468.28"/>
    <n v="6183.43"/>
    <n v="-0.75"/>
    <n v="190"/>
    <n v="43.12"/>
    <n v="3.17"/>
    <n v="245.01"/>
    <n v="1340.77"/>
    <n v="0.02"/>
    <n v="0"/>
    <n v="12.68"/>
    <n v="168.05"/>
    <n v="159.94999999999999"/>
    <n v="2806.97"/>
    <n v="0.45"/>
    <n v="35.32"/>
    <n v="12.98"/>
    <n v="714.98"/>
    <n v="80.709999999999994"/>
    <x v="27"/>
  </r>
  <r>
    <d v="2025-07-12T02:30:00"/>
    <n v="-38.869999999999997"/>
    <n v="0"/>
    <n v="-507.07"/>
    <n v="443.37"/>
    <n v="6012.58"/>
    <n v="-0.76"/>
    <n v="190"/>
    <n v="43.23"/>
    <n v="2.41"/>
    <n v="268.77"/>
    <n v="1443.86"/>
    <n v="0.02"/>
    <n v="0"/>
    <n v="12.95"/>
    <n v="176.46"/>
    <n v="151.66"/>
    <n v="2730.75"/>
    <n v="0.45"/>
    <n v="35.32"/>
    <n v="13.02"/>
    <n v="707.48"/>
    <n v="84.85"/>
    <x v="28"/>
  </r>
  <r>
    <d v="2025-07-12T03:00:00"/>
    <n v="-43.54"/>
    <n v="0"/>
    <n v="-435.67"/>
    <n v="358.18"/>
    <n v="5886.86"/>
    <n v="-0.85"/>
    <n v="190"/>
    <n v="43.27"/>
    <n v="2.5499999999999998"/>
    <n v="154.43"/>
    <n v="1499.18"/>
    <n v="0.02"/>
    <n v="0"/>
    <n v="13.14"/>
    <n v="152.13999999999999"/>
    <n v="121.17"/>
    <n v="2674.14"/>
    <n v="0.45"/>
    <n v="35.32"/>
    <n v="13.03"/>
    <n v="711.47"/>
    <n v="79.08"/>
    <x v="29"/>
  </r>
  <r>
    <d v="2025-07-12T03:30:00"/>
    <n v="-51.93"/>
    <n v="0"/>
    <n v="-431.77"/>
    <n v="563.08000000000004"/>
    <n v="5576.23"/>
    <n v="-0.73"/>
    <n v="190"/>
    <n v="43.26"/>
    <n v="0"/>
    <n v="146.91999999999999"/>
    <n v="1488.17"/>
    <n v="0.02"/>
    <n v="0"/>
    <n v="12.94"/>
    <n v="149.61000000000001"/>
    <n v="189.23"/>
    <n v="2535.8000000000002"/>
    <n v="0.45"/>
    <n v="35.32"/>
    <n v="13.03"/>
    <n v="687.09"/>
    <n v="84.85"/>
    <x v="30"/>
  </r>
  <r>
    <d v="2025-07-12T04:00:00"/>
    <n v="-30.81"/>
    <n v="0"/>
    <n v="-288.58999999999997"/>
    <n v="550.07000000000005"/>
    <n v="5208.9399999999996"/>
    <n v="-1.29"/>
    <n v="199"/>
    <n v="43.36"/>
    <n v="0.73"/>
    <n v="151.85"/>
    <n v="1509.53"/>
    <n v="0.02"/>
    <n v="0"/>
    <n v="12.8"/>
    <n v="98.12"/>
    <n v="184.56"/>
    <n v="2372.3200000000002"/>
    <n v="0.45"/>
    <n v="36.99"/>
    <n v="13.05"/>
    <n v="659.92"/>
    <n v="84.85"/>
    <x v="31"/>
  </r>
  <r>
    <d v="2025-07-12T04:30:00"/>
    <n v="-3.04"/>
    <n v="0"/>
    <n v="-146.09"/>
    <n v="717.55"/>
    <n v="4885.05"/>
    <n v="-0.95"/>
    <n v="208.33"/>
    <n v="43.29"/>
    <n v="1.2"/>
    <n v="161.01"/>
    <n v="1425.83"/>
    <n v="0.02"/>
    <n v="0"/>
    <n v="12.66"/>
    <n v="49.5"/>
    <n v="243.84"/>
    <n v="2227.9499999999998"/>
    <n v="0.45"/>
    <n v="38.729999999999997"/>
    <n v="13.04"/>
    <n v="625.37"/>
    <n v="85.11"/>
    <x v="32"/>
  </r>
  <r>
    <d v="2025-07-12T05:00:00"/>
    <n v="-3.4"/>
    <n v="0"/>
    <n v="-30.49"/>
    <n v="825.98"/>
    <n v="4551.1000000000004"/>
    <n v="-0.84"/>
    <n v="258.33"/>
    <n v="43.34"/>
    <n v="5.23"/>
    <n v="165.47"/>
    <n v="1482.43"/>
    <n v="0.02"/>
    <n v="0"/>
    <n v="12.87"/>
    <n v="10.050000000000001"/>
    <n v="283.58"/>
    <n v="2078.98"/>
    <n v="0.44"/>
    <n v="48.02"/>
    <n v="13.25"/>
    <n v="586.72"/>
    <n v="84.85"/>
    <x v="33"/>
  </r>
  <r>
    <d v="2025-07-12T05:30:00"/>
    <n v="-3.83"/>
    <n v="0"/>
    <n v="0"/>
    <n v="913.24"/>
    <n v="4439.37"/>
    <n v="-1.22"/>
    <n v="308"/>
    <n v="188.84"/>
    <n v="5.26"/>
    <n v="246.49"/>
    <n v="1371.53"/>
    <n v="0.02"/>
    <n v="0"/>
    <n v="13.03"/>
    <n v="0"/>
    <n v="322.3"/>
    <n v="2029.17"/>
    <n v="0.45"/>
    <n v="57.26"/>
    <n v="54.27"/>
    <n v="573.44000000000005"/>
    <n v="91.72"/>
    <x v="34"/>
  </r>
  <r>
    <d v="2025-07-12T06:00:00"/>
    <n v="-2.94"/>
    <n v="0"/>
    <n v="-9.35"/>
    <n v="777.94"/>
    <n v="4467.91"/>
    <n v="-1.65"/>
    <n v="442.17"/>
    <n v="276.87"/>
    <n v="7.77"/>
    <n v="455.65"/>
    <n v="1262.98"/>
    <n v="0.02"/>
    <n v="0"/>
    <n v="12.64"/>
    <n v="2.93"/>
    <n v="269.42"/>
    <n v="2041.81"/>
    <n v="0.44"/>
    <n v="82.2"/>
    <n v="78.930000000000007"/>
    <n v="573.99"/>
    <n v="96.72"/>
    <x v="35"/>
  </r>
  <r>
    <d v="2025-07-12T06:30:00"/>
    <n v="-4.3"/>
    <n v="0"/>
    <n v="-35.47"/>
    <n v="683.95"/>
    <n v="4683.13"/>
    <n v="-0.77"/>
    <n v="444.67"/>
    <n v="366.33"/>
    <n v="113.87"/>
    <n v="576.05999999999995"/>
    <n v="1211.46"/>
    <n v="0.02"/>
    <n v="0.12"/>
    <n v="11.38"/>
    <n v="11.11"/>
    <n v="238.33"/>
    <n v="2137.79"/>
    <n v="0.45"/>
    <n v="82.66"/>
    <n v="104.16"/>
    <n v="578.44000000000005"/>
    <n v="108.08"/>
    <x v="36"/>
  </r>
  <r>
    <d v="2025-07-12T07:00:00"/>
    <n v="-3.38"/>
    <n v="0"/>
    <n v="-4.84"/>
    <n v="648.62"/>
    <n v="4935.49"/>
    <n v="-0.84"/>
    <n v="445.83"/>
    <n v="398.12"/>
    <n v="144.33000000000001"/>
    <n v="649.33000000000004"/>
    <n v="1196.57"/>
    <n v="3.98"/>
    <n v="7.55"/>
    <n v="10.46"/>
    <n v="1.52"/>
    <n v="226.75"/>
    <n v="2250.38"/>
    <n v="0.45"/>
    <n v="82.88"/>
    <n v="113.31"/>
    <n v="581.19000000000005"/>
    <n v="138.79"/>
    <x v="37"/>
  </r>
  <r>
    <d v="2025-07-12T07:30:00"/>
    <n v="-3.76"/>
    <n v="0"/>
    <n v="-198.95"/>
    <n v="975.45"/>
    <n v="5117.78"/>
    <n v="-0.57999999999999996"/>
    <n v="444.83"/>
    <n v="470.75"/>
    <n v="142.56"/>
    <n v="674.62"/>
    <n v="1088.75"/>
    <n v="106.34"/>
    <n v="90.41"/>
    <n v="10.42"/>
    <n v="62.75"/>
    <n v="317.48"/>
    <n v="2331.67"/>
    <n v="0.45"/>
    <n v="82.69"/>
    <n v="133.62"/>
    <n v="572.15"/>
    <n v="144.01"/>
    <x v="38"/>
  </r>
  <r>
    <d v="2025-07-12T08:00:00"/>
    <n v="-4.1900000000000004"/>
    <n v="0"/>
    <n v="-658.99"/>
    <n v="1201.9000000000001"/>
    <n v="5303.66"/>
    <n v="-0.16"/>
    <n v="443.83"/>
    <n v="526.64"/>
    <n v="58.45"/>
    <n v="649.25"/>
    <n v="1027.05"/>
    <n v="454.44"/>
    <n v="375.8"/>
    <n v="10.81"/>
    <n v="205.13"/>
    <n v="342.57"/>
    <n v="2413.5500000000002"/>
    <n v="0.45"/>
    <n v="82.51"/>
    <n v="149.4"/>
    <n v="564.29999999999995"/>
    <n v="178"/>
    <x v="39"/>
  </r>
  <r>
    <d v="2025-07-12T08:30:00"/>
    <n v="-9.08"/>
    <n v="0"/>
    <n v="-805"/>
    <n v="1010.35"/>
    <n v="5316.74"/>
    <n v="-0.73"/>
    <n v="429.67"/>
    <n v="443.49"/>
    <n v="21.3"/>
    <n v="506.13"/>
    <n v="922.26"/>
    <n v="982.56"/>
    <n v="830.33"/>
    <n v="11.73"/>
    <n v="244.03"/>
    <n v="243.23"/>
    <n v="2416.84"/>
    <n v="0.44"/>
    <n v="79.88"/>
    <n v="125.96"/>
    <n v="543.76"/>
    <n v="127.56"/>
    <x v="40"/>
  </r>
  <r>
    <d v="2025-07-12T09:00:00"/>
    <n v="-10"/>
    <n v="0"/>
    <n v="-805.21"/>
    <n v="894.28"/>
    <n v="4978.33"/>
    <n v="-0.99"/>
    <n v="240"/>
    <n v="272.06"/>
    <n v="2.87"/>
    <n v="251.97"/>
    <n v="928.76"/>
    <n v="1604.72"/>
    <n v="1368.94"/>
    <n v="13.64"/>
    <n v="231.29"/>
    <n v="197.97"/>
    <n v="2261.91"/>
    <n v="0.44"/>
    <n v="44.62"/>
    <n v="77.61"/>
    <n v="490.36"/>
    <n v="100.01"/>
    <x v="41"/>
  </r>
  <r>
    <d v="2025-07-12T09:30:00"/>
    <n v="-8.0299999999999994"/>
    <n v="0"/>
    <n v="-824.64"/>
    <n v="897.83"/>
    <n v="4610.5200000000004"/>
    <n v="-1.86"/>
    <n v="6.33"/>
    <n v="138.19999999999999"/>
    <n v="14.61"/>
    <n v="162.88"/>
    <n v="954.13"/>
    <n v="1895.65"/>
    <n v="1912.81"/>
    <n v="15.05"/>
    <n v="224.62"/>
    <n v="201.87"/>
    <n v="2089.54"/>
    <n v="0.43"/>
    <n v="1.18"/>
    <n v="39.85"/>
    <n v="436.75"/>
    <n v="100.01"/>
    <x v="42"/>
  </r>
  <r>
    <d v="2025-07-12T10:00:00"/>
    <n v="-106.11"/>
    <n v="0"/>
    <n v="-811.29"/>
    <n v="826.34"/>
    <n v="4159.3"/>
    <n v="-4.28"/>
    <n v="0"/>
    <n v="44.13"/>
    <n v="4.43"/>
    <n v="22.68"/>
    <n v="950.09"/>
    <n v="2152.4499999999998"/>
    <n v="2415.17"/>
    <n v="15.92"/>
    <n v="209.28"/>
    <n v="199.9"/>
    <n v="1881.84"/>
    <n v="0.38"/>
    <n v="0"/>
    <n v="13.29"/>
    <n v="392.73"/>
    <n v="84.85"/>
    <x v="43"/>
  </r>
  <r>
    <d v="2025-07-12T10:30:00"/>
    <n v="-201.76"/>
    <n v="0"/>
    <n v="-738.74"/>
    <n v="799.83"/>
    <n v="3605.46"/>
    <n v="-5.28"/>
    <n v="0"/>
    <n v="41.45"/>
    <n v="0.02"/>
    <n v="0"/>
    <n v="940.09"/>
    <n v="2357.34"/>
    <n v="2838.32"/>
    <n v="16.559999999999999"/>
    <n v="174.67"/>
    <n v="199.5"/>
    <n v="1631.61"/>
    <n v="0.36"/>
    <n v="0"/>
    <n v="12.48"/>
    <n v="341.29"/>
    <n v="8.01"/>
    <x v="44"/>
  </r>
  <r>
    <d v="2025-07-12T11:00:00"/>
    <n v="-318.83"/>
    <n v="-83.29"/>
    <n v="-644.01"/>
    <n v="803.56"/>
    <n v="3174.08"/>
    <n v="-2.37"/>
    <n v="0"/>
    <n v="45.3"/>
    <n v="0"/>
    <n v="0"/>
    <n v="934"/>
    <n v="2465.61"/>
    <n v="3144.54"/>
    <n v="17.190000000000001"/>
    <n v="138.74"/>
    <n v="206.31"/>
    <n v="1436.88"/>
    <n v="0.38"/>
    <n v="0"/>
    <n v="13.64"/>
    <n v="304.85000000000002"/>
    <n v="5"/>
    <x v="45"/>
  </r>
  <r>
    <d v="2025-07-12T11:30:00"/>
    <n v="-358.97"/>
    <n v="-285.31"/>
    <n v="-730.81"/>
    <n v="783.73"/>
    <n v="3001.72"/>
    <n v="1.53"/>
    <n v="0"/>
    <n v="44.94"/>
    <n v="0.54"/>
    <n v="0"/>
    <n v="990.65"/>
    <n v="2647.82"/>
    <n v="3349.84"/>
    <n v="17.43"/>
    <n v="143.4"/>
    <n v="205.2"/>
    <n v="1359.24"/>
    <n v="0.37"/>
    <n v="0"/>
    <n v="13.53"/>
    <n v="290.74"/>
    <n v="-8.9499999999999993"/>
    <x v="46"/>
  </r>
  <r>
    <d v="2025-07-12T12:00:00"/>
    <n v="-405.98"/>
    <n v="-481.08"/>
    <n v="-729.48"/>
    <n v="765.53"/>
    <n v="2956.86"/>
    <n v="1.76"/>
    <n v="0"/>
    <n v="44.95"/>
    <n v="0.08"/>
    <n v="0"/>
    <n v="997.2"/>
    <n v="2598.02"/>
    <n v="3470.55"/>
    <n v="17.88"/>
    <n v="139.05000000000001"/>
    <n v="214.96"/>
    <n v="1340.31"/>
    <n v="0.37"/>
    <n v="0"/>
    <n v="13.53"/>
    <n v="293.8"/>
    <n v="-14.01"/>
    <x v="47"/>
  </r>
  <r>
    <d v="2025-07-12T12:30:00"/>
    <n v="-345.19"/>
    <n v="-658.89"/>
    <n v="-558.66999999999996"/>
    <n v="783.02"/>
    <n v="2976.78"/>
    <n v="2.52"/>
    <n v="0"/>
    <n v="44.78"/>
    <n v="0.92"/>
    <n v="0"/>
    <n v="942.36"/>
    <n v="2420.1799999999998"/>
    <n v="3475.53"/>
    <n v="18.57"/>
    <n v="107.78"/>
    <n v="230.04"/>
    <n v="1349.55"/>
    <n v="0.38"/>
    <n v="0"/>
    <n v="13.48"/>
    <n v="300.2"/>
    <n v="-22.01"/>
    <x v="0"/>
  </r>
  <r>
    <d v="2025-07-12T13:00:00"/>
    <n v="-267.83999999999997"/>
    <n v="-660.31"/>
    <n v="-493.76"/>
    <n v="803.69"/>
    <n v="2954.66"/>
    <n v="8.02"/>
    <n v="0"/>
    <n v="44.91"/>
    <n v="1.02"/>
    <n v="0"/>
    <n v="897.81"/>
    <n v="2357.1799999999998"/>
    <n v="3343.25"/>
    <n v="18.78"/>
    <n v="96.17"/>
    <n v="234.27"/>
    <n v="1338.64"/>
    <n v="0.37"/>
    <n v="0"/>
    <n v="13.52"/>
    <n v="300.94"/>
    <n v="-18"/>
    <x v="1"/>
  </r>
  <r>
    <d v="2025-07-12T13:30:00"/>
    <n v="-223.94"/>
    <n v="-659.22"/>
    <n v="-525.74"/>
    <n v="760.26"/>
    <n v="2922.89"/>
    <n v="8.64"/>
    <n v="0"/>
    <n v="38.96"/>
    <n v="1.95"/>
    <n v="0"/>
    <n v="937.44"/>
    <n v="2451.46"/>
    <n v="3122.3"/>
    <n v="18.75"/>
    <n v="99.78"/>
    <n v="219.82"/>
    <n v="1322.39"/>
    <n v="0.36"/>
    <n v="0"/>
    <n v="11.73"/>
    <n v="302.08999999999997"/>
    <n v="-14.01"/>
    <x v="2"/>
  </r>
  <r>
    <d v="2025-07-12T14:00:00"/>
    <n v="-91.91"/>
    <n v="-659.99"/>
    <n v="-530.42999999999995"/>
    <n v="742.33"/>
    <n v="2930.97"/>
    <n v="9.1"/>
    <n v="0"/>
    <n v="37.880000000000003"/>
    <n v="2.19"/>
    <n v="0"/>
    <n v="886.17"/>
    <n v="2589.39"/>
    <n v="2872.62"/>
    <n v="18.989999999999998"/>
    <n v="99.64"/>
    <n v="209.7"/>
    <n v="1326.55"/>
    <n v="0.38"/>
    <n v="0"/>
    <n v="11.4"/>
    <n v="304.57"/>
    <n v="-14.01"/>
    <x v="3"/>
  </r>
  <r>
    <d v="2025-07-12T14:30:00"/>
    <n v="-23.34"/>
    <n v="-659.91"/>
    <n v="-415.64"/>
    <n v="761.55"/>
    <n v="2953.08"/>
    <n v="8.36"/>
    <n v="0"/>
    <n v="37.840000000000003"/>
    <n v="3.43"/>
    <n v="0"/>
    <n v="882.42"/>
    <n v="2642.71"/>
    <n v="2499.4299999999998"/>
    <n v="18.670000000000002"/>
    <n v="77.87"/>
    <n v="202.45"/>
    <n v="1337"/>
    <n v="0.37"/>
    <n v="0"/>
    <n v="11.39"/>
    <n v="310.42"/>
    <n v="-8.91"/>
    <x v="4"/>
  </r>
  <r>
    <d v="2025-07-12T15:00:00"/>
    <n v="-5.71"/>
    <n v="-628.64"/>
    <n v="-329.66"/>
    <n v="775.64"/>
    <n v="3081.65"/>
    <n v="8.32"/>
    <n v="2"/>
    <n v="37.83"/>
    <n v="7.54"/>
    <n v="0"/>
    <n v="948.74"/>
    <n v="2595.16"/>
    <n v="2089.39"/>
    <n v="18.38"/>
    <n v="63.34"/>
    <n v="195.15"/>
    <n v="1395.4"/>
    <n v="0.37"/>
    <n v="0.37"/>
    <n v="11.39"/>
    <n v="328.01"/>
    <n v="9.06"/>
    <x v="5"/>
  </r>
  <r>
    <d v="2025-07-12T15:30:00"/>
    <n v="-10.58"/>
    <n v="-304.86"/>
    <n v="-323.95"/>
    <n v="830.64"/>
    <n v="3254.49"/>
    <n v="9.65"/>
    <n v="131"/>
    <n v="37.880000000000003"/>
    <n v="7.59"/>
    <n v="0"/>
    <n v="972.05"/>
    <n v="2346.75"/>
    <n v="1577.29"/>
    <n v="17.809999999999999"/>
    <n v="68.959999999999994"/>
    <n v="199.65"/>
    <n v="1472.34"/>
    <n v="0.4"/>
    <n v="24.35"/>
    <n v="11.41"/>
    <n v="353.78"/>
    <n v="35.880000000000003"/>
    <x v="6"/>
  </r>
  <r>
    <d v="2025-07-12T16:00:00"/>
    <n v="-3.08"/>
    <n v="-67.099999999999994"/>
    <n v="-178.82"/>
    <n v="851.57"/>
    <n v="3737.21"/>
    <n v="5.32"/>
    <n v="264.5"/>
    <n v="42.68"/>
    <n v="9.9700000000000006"/>
    <n v="0"/>
    <n v="928.08"/>
    <n v="1809.05"/>
    <n v="1015.1"/>
    <n v="16.82"/>
    <n v="44.82"/>
    <n v="224.13"/>
    <n v="1692.04"/>
    <n v="0.45"/>
    <n v="49.17"/>
    <n v="12.85"/>
    <n v="417.02"/>
    <n v="51.95"/>
    <x v="7"/>
  </r>
  <r>
    <d v="2025-07-12T16:30:00"/>
    <n v="-2"/>
    <n v="0"/>
    <n v="-125.98"/>
    <n v="859.14"/>
    <n v="4544.6099999999997"/>
    <n v="1.41"/>
    <n v="399.67"/>
    <n v="45.07"/>
    <n v="229.5"/>
    <n v="148.13"/>
    <n v="936.68"/>
    <n v="1029.74"/>
    <n v="498.78"/>
    <n v="16.05"/>
    <n v="36.17"/>
    <n v="272.17"/>
    <n v="2051.33"/>
    <n v="0.46"/>
    <n v="74.3"/>
    <n v="13.57"/>
    <n v="499.64"/>
    <n v="140.01"/>
    <x v="8"/>
  </r>
  <r>
    <d v="2025-07-12T17:00:00"/>
    <n v="-1.59"/>
    <n v="0"/>
    <n v="-126.06"/>
    <n v="882.76"/>
    <n v="5435.55"/>
    <n v="-1.76"/>
    <n v="270.83"/>
    <n v="121.89"/>
    <n v="393.4"/>
    <n v="671.58"/>
    <n v="842.16"/>
    <n v="250.07"/>
    <n v="139.47"/>
    <n v="15.3"/>
    <n v="40.08"/>
    <n v="299.18"/>
    <n v="2453.4699999999998"/>
    <n v="0.43"/>
    <n v="50.35"/>
    <n v="39.200000000000003"/>
    <n v="572.96"/>
    <n v="191.18"/>
    <x v="9"/>
  </r>
  <r>
    <d v="2025-07-12T17:30:00"/>
    <n v="-1.51"/>
    <n v="0"/>
    <n v="-155.11000000000001"/>
    <n v="704.35"/>
    <n v="6348.36"/>
    <n v="-1.57"/>
    <n v="4"/>
    <n v="512.5"/>
    <n v="444.85"/>
    <n v="900.46"/>
    <n v="849.72"/>
    <n v="9.92"/>
    <n v="15.39"/>
    <n v="14.81"/>
    <n v="52.02"/>
    <n v="244.61"/>
    <n v="2871.74"/>
    <n v="0.43"/>
    <n v="0.74"/>
    <n v="178.56"/>
    <n v="633.65"/>
    <n v="186.38"/>
    <x v="10"/>
  </r>
  <r>
    <d v="2025-07-12T18:00:00"/>
    <n v="-2.0099999999999998"/>
    <n v="0"/>
    <n v="-101.71"/>
    <n v="561.28"/>
    <n v="6998.02"/>
    <n v="-1.22"/>
    <n v="26.63"/>
    <n v="570.39"/>
    <n v="379.29"/>
    <n v="921.21"/>
    <n v="918.11"/>
    <n v="0.05"/>
    <n v="0.17"/>
    <n v="14.17"/>
    <n v="35"/>
    <n v="195.46"/>
    <n v="3168.93"/>
    <n v="0.44"/>
    <n v="9.5299999999999994"/>
    <n v="196.31"/>
    <n v="657.28"/>
    <n v="299.99"/>
    <x v="11"/>
  </r>
  <r>
    <d v="2025-07-12T18:30:00"/>
    <n v="-2.0299999999999998"/>
    <n v="0"/>
    <n v="-26.51"/>
    <n v="495.67"/>
    <n v="7255.17"/>
    <n v="-0.99"/>
    <n v="26.56"/>
    <n v="581.52"/>
    <n v="293.07"/>
    <n v="877.88"/>
    <n v="892.72"/>
    <n v="0.05"/>
    <n v="0"/>
    <n v="13.63"/>
    <n v="9.2200000000000006"/>
    <n v="174.34"/>
    <n v="3284.88"/>
    <n v="0.44"/>
    <n v="9.5"/>
    <n v="190.71"/>
    <n v="670.74"/>
    <n v="147.96"/>
    <x v="12"/>
  </r>
  <r>
    <d v="2025-07-12T19:00:00"/>
    <n v="-2.5"/>
    <n v="0"/>
    <n v="-1.6"/>
    <n v="522.91"/>
    <n v="7304.28"/>
    <n v="-0.62"/>
    <n v="0"/>
    <n v="659.66"/>
    <n v="168.81"/>
    <n v="845.9"/>
    <n v="834.08"/>
    <n v="0.05"/>
    <n v="0"/>
    <n v="12.97"/>
    <n v="0.57999999999999996"/>
    <n v="187.43"/>
    <n v="3306.85"/>
    <n v="0.45"/>
    <n v="0"/>
    <n v="221.18"/>
    <n v="683.09"/>
    <n v="252.64"/>
    <x v="13"/>
  </r>
  <r>
    <d v="2025-07-12T19:30:00"/>
    <n v="-4.2699999999999996"/>
    <n v="0"/>
    <n v="0"/>
    <n v="655.32000000000005"/>
    <n v="7304.57"/>
    <n v="-0.75"/>
    <n v="0"/>
    <n v="579.75"/>
    <n v="33.909999999999997"/>
    <n v="759.83"/>
    <n v="773.64"/>
    <n v="0.05"/>
    <n v="0"/>
    <n v="12.35"/>
    <n v="0"/>
    <n v="238.5"/>
    <n v="3306.94"/>
    <n v="0.44"/>
    <n v="0"/>
    <n v="195.53"/>
    <n v="693.51"/>
    <n v="139.18"/>
    <x v="14"/>
  </r>
  <r>
    <d v="2025-07-12T20:00:00"/>
    <n v="-6.4"/>
    <n v="0"/>
    <n v="0"/>
    <n v="776.71"/>
    <n v="7305.94"/>
    <n v="-1.31"/>
    <n v="0"/>
    <n v="496.44"/>
    <n v="2.81"/>
    <n v="763.22"/>
    <n v="612.73"/>
    <n v="0.05"/>
    <n v="0"/>
    <n v="11.77"/>
    <n v="0"/>
    <n v="278.08999999999997"/>
    <n v="3307.34"/>
    <n v="0.44"/>
    <n v="0"/>
    <n v="167.64"/>
    <n v="698.56"/>
    <n v="112.18"/>
    <x v="15"/>
  </r>
  <r>
    <d v="2025-07-12T20:30:00"/>
    <n v="-3.04"/>
    <n v="0"/>
    <n v="0"/>
    <n v="991.87"/>
    <n v="7345.75"/>
    <n v="-0.97"/>
    <n v="0"/>
    <n v="273.85000000000002"/>
    <n v="6.24"/>
    <n v="598.26"/>
    <n v="613.29999999999995"/>
    <n v="0.05"/>
    <n v="0"/>
    <n v="11.41"/>
    <n v="0"/>
    <n v="345.87"/>
    <n v="3325.23"/>
    <n v="0.45"/>
    <n v="0"/>
    <n v="101.09"/>
    <n v="697.54"/>
    <n v="100.02"/>
    <x v="16"/>
  </r>
  <r>
    <d v="2025-07-12T21:00:00"/>
    <n v="-5.24"/>
    <n v="0"/>
    <n v="0"/>
    <n v="1424.57"/>
    <n v="7322.64"/>
    <n v="-1.25"/>
    <n v="0"/>
    <n v="43.6"/>
    <n v="2.4500000000000002"/>
    <n v="397.99"/>
    <n v="679.39"/>
    <n v="0.05"/>
    <n v="0"/>
    <n v="10.97"/>
    <n v="0"/>
    <n v="484.72"/>
    <n v="3314.98"/>
    <n v="0.44"/>
    <n v="0"/>
    <n v="13.13"/>
    <n v="674.87"/>
    <n v="88.68"/>
    <x v="17"/>
  </r>
  <r>
    <d v="2025-07-12T21:30:00"/>
    <n v="-5.66"/>
    <n v="0"/>
    <n v="0"/>
    <n v="1385.5"/>
    <n v="7337.44"/>
    <n v="-1.28"/>
    <n v="0"/>
    <n v="43.97"/>
    <n v="1.79"/>
    <n v="272.16000000000003"/>
    <n v="731.77"/>
    <n v="0.05"/>
    <n v="0"/>
    <n v="10.75"/>
    <n v="0"/>
    <n v="457.31"/>
    <n v="3321.52"/>
    <n v="0.44"/>
    <n v="0"/>
    <n v="13.24"/>
    <n v="683.04"/>
    <n v="87.25"/>
    <x v="18"/>
  </r>
  <r>
    <d v="2025-07-12T22:00:00"/>
    <n v="-4.1500000000000004"/>
    <n v="0"/>
    <n v="0"/>
    <n v="1340.24"/>
    <n v="7279.91"/>
    <n v="-1.21"/>
    <n v="0"/>
    <n v="43.78"/>
    <n v="5.14"/>
    <n v="231.98"/>
    <n v="696.27"/>
    <n v="0.05"/>
    <n v="0"/>
    <n v="10.83"/>
    <n v="0"/>
    <n v="438.82"/>
    <n v="3296.04"/>
    <n v="0.44"/>
    <n v="0"/>
    <n v="13.18"/>
    <n v="690.09"/>
    <n v="79.02"/>
    <x v="19"/>
  </r>
  <r>
    <d v="2025-07-12T22:30:00"/>
    <n v="-11.87"/>
    <n v="0"/>
    <n v="0"/>
    <n v="1252.42"/>
    <n v="7283.77"/>
    <n v="-1.43"/>
    <n v="0"/>
    <n v="43.82"/>
    <n v="11.09"/>
    <n v="277.70999999999998"/>
    <n v="658.89"/>
    <n v="0.05"/>
    <n v="0"/>
    <n v="10.52"/>
    <n v="0"/>
    <n v="402.56"/>
    <n v="3294.46"/>
    <n v="0.44"/>
    <n v="0"/>
    <n v="13.19"/>
    <n v="695.38"/>
    <n v="100.02"/>
    <x v="20"/>
  </r>
  <r>
    <d v="2025-07-12T23:00:00"/>
    <n v="-11.65"/>
    <n v="0"/>
    <n v="0"/>
    <n v="1223.02"/>
    <n v="7263.7"/>
    <n v="-1.1299999999999999"/>
    <n v="0"/>
    <n v="43.54"/>
    <n v="2.0299999999999998"/>
    <n v="264.23"/>
    <n v="637.21"/>
    <n v="0.05"/>
    <n v="0"/>
    <n v="10.050000000000001"/>
    <n v="0"/>
    <n v="383.18"/>
    <n v="3285.83"/>
    <n v="0.44"/>
    <n v="0"/>
    <n v="13.11"/>
    <n v="700.43"/>
    <n v="102.76"/>
    <x v="21"/>
  </r>
  <r>
    <d v="2025-07-12T23:30:00"/>
    <n v="-7.38"/>
    <n v="0"/>
    <n v="0"/>
    <n v="1237.74"/>
    <n v="7253.23"/>
    <n v="-1.45"/>
    <n v="0"/>
    <n v="43.46"/>
    <n v="2.25"/>
    <n v="127.67"/>
    <n v="532.70000000000005"/>
    <n v="0.05"/>
    <n v="0"/>
    <n v="9.6199999999999992"/>
    <n v="0"/>
    <n v="376.35"/>
    <n v="3283.82"/>
    <n v="0.44"/>
    <n v="0"/>
    <n v="13.09"/>
    <n v="717.73"/>
    <n v="100.02"/>
    <x v="22"/>
  </r>
  <r>
    <d v="2025-07-13T00:00:00"/>
    <n v="-13.82"/>
    <n v="0"/>
    <n v="-68.790000000000006"/>
    <n v="1179.3499999999999"/>
    <n v="7003.96"/>
    <n v="-1.01"/>
    <n v="0"/>
    <n v="43.51"/>
    <n v="0.25"/>
    <n v="84.64"/>
    <n v="502.98"/>
    <n v="0.05"/>
    <n v="0"/>
    <n v="9.2100000000000009"/>
    <n v="28.62"/>
    <n v="319.72000000000003"/>
    <n v="3172.56"/>
    <n v="0.44"/>
    <n v="0"/>
    <n v="13.1"/>
    <n v="729.83"/>
    <n v="81.67"/>
    <x v="23"/>
  </r>
  <r>
    <d v="2025-07-13T00:30:00"/>
    <n v="-4.16"/>
    <n v="0"/>
    <n v="-47.18"/>
    <n v="1151.67"/>
    <n v="6735.58"/>
    <n v="-1.24"/>
    <n v="0"/>
    <n v="43.54"/>
    <n v="1.57"/>
    <n v="69.61"/>
    <n v="492.94"/>
    <n v="0.05"/>
    <n v="0"/>
    <n v="9.34"/>
    <n v="19.600000000000001"/>
    <n v="295.22000000000003"/>
    <n v="3045.97"/>
    <n v="0.43"/>
    <n v="0"/>
    <n v="13.11"/>
    <n v="724.8"/>
    <n v="88.84"/>
    <x v="24"/>
  </r>
  <r>
    <d v="2025-07-13T01:00:00"/>
    <n v="-5.79"/>
    <n v="0"/>
    <n v="-13.56"/>
    <n v="1158.3399999999999"/>
    <n v="6466.19"/>
    <n v="-3.77"/>
    <n v="0"/>
    <n v="43.1"/>
    <n v="1.5"/>
    <n v="42.89"/>
    <n v="516.82000000000005"/>
    <n v="0.05"/>
    <n v="0"/>
    <n v="9.2899999999999991"/>
    <n v="5.62"/>
    <n v="305.29000000000002"/>
    <n v="2923.28"/>
    <n v="0.39"/>
    <n v="0"/>
    <n v="12.98"/>
    <n v="715.75"/>
    <n v="86.23"/>
    <x v="25"/>
  </r>
  <r>
    <d v="2025-07-13T01:30:00"/>
    <n v="-6.37"/>
    <n v="0"/>
    <n v="-4.1399999999999997"/>
    <n v="1161.68"/>
    <n v="6103.18"/>
    <n v="-1.63"/>
    <n v="0"/>
    <n v="43.18"/>
    <n v="2.14"/>
    <n v="30.59"/>
    <n v="616.01"/>
    <n v="0.05"/>
    <n v="0"/>
    <n v="9.0299999999999994"/>
    <n v="1.69"/>
    <n v="294.89"/>
    <n v="2757.87"/>
    <n v="0.43"/>
    <n v="0"/>
    <n v="13"/>
    <n v="697.65"/>
    <n v="76.58"/>
    <x v="26"/>
  </r>
  <r>
    <d v="2025-07-13T02:00:00"/>
    <n v="-6.84"/>
    <n v="0"/>
    <n v="0"/>
    <n v="1161.04"/>
    <n v="5914.4"/>
    <n v="-1.05"/>
    <n v="0"/>
    <n v="42.7"/>
    <n v="2.73"/>
    <n v="30.71"/>
    <n v="587.45000000000005"/>
    <n v="0.05"/>
    <n v="0"/>
    <n v="8.82"/>
    <n v="0"/>
    <n v="287.43"/>
    <n v="2670.32"/>
    <n v="0.45"/>
    <n v="0"/>
    <n v="12.86"/>
    <n v="694.23"/>
    <n v="76.58"/>
    <x v="27"/>
  </r>
  <r>
    <d v="2025-07-13T02:30:00"/>
    <n v="-7.97"/>
    <n v="0"/>
    <n v="0"/>
    <n v="1158.72"/>
    <n v="5907.53"/>
    <n v="-1.07"/>
    <n v="0"/>
    <n v="42.92"/>
    <n v="1.41"/>
    <n v="30.6"/>
    <n v="458.51"/>
    <n v="0.05"/>
    <n v="0"/>
    <n v="8.6199999999999992"/>
    <n v="0"/>
    <n v="290.31"/>
    <n v="2670.49"/>
    <n v="0.44"/>
    <n v="0"/>
    <n v="12.92"/>
    <n v="707.14"/>
    <n v="76.8"/>
    <x v="28"/>
  </r>
  <r>
    <d v="2025-07-13T03:00:00"/>
    <n v="-8.36"/>
    <n v="0"/>
    <n v="0"/>
    <n v="1188.4000000000001"/>
    <n v="5740.51"/>
    <n v="-2.63"/>
    <n v="0"/>
    <n v="42.79"/>
    <n v="2.25"/>
    <n v="30.61"/>
    <n v="495.65"/>
    <n v="0.05"/>
    <n v="0"/>
    <n v="8.43"/>
    <n v="0"/>
    <n v="317.52999999999997"/>
    <n v="2593.94"/>
    <n v="0.44"/>
    <n v="0"/>
    <n v="12.88"/>
    <n v="696.27"/>
    <n v="76.42"/>
    <x v="29"/>
  </r>
  <r>
    <d v="2025-07-13T03:30:00"/>
    <n v="-12.28"/>
    <n v="0"/>
    <n v="0"/>
    <n v="1211.4000000000001"/>
    <n v="5590.23"/>
    <n v="-0.85"/>
    <n v="0"/>
    <n v="42.66"/>
    <n v="0.73"/>
    <n v="30.61"/>
    <n v="560.57000000000005"/>
    <n v="0.05"/>
    <n v="0"/>
    <n v="8.3699999999999992"/>
    <n v="0"/>
    <n v="327"/>
    <n v="2519.94"/>
    <n v="0.44"/>
    <n v="0"/>
    <n v="12.84"/>
    <n v="682.52"/>
    <n v="76.58"/>
    <x v="30"/>
  </r>
  <r>
    <d v="2025-07-13T04:00:00"/>
    <n v="-16.11"/>
    <n v="0"/>
    <n v="-1.54"/>
    <n v="1120.46"/>
    <n v="5569.67"/>
    <n v="-1.02"/>
    <n v="0"/>
    <n v="42.41"/>
    <n v="1"/>
    <n v="25.51"/>
    <n v="565.66999999999996"/>
    <n v="0.05"/>
    <n v="0"/>
    <n v="8.0299999999999994"/>
    <n v="0.63"/>
    <n v="293.86"/>
    <n v="2510.21"/>
    <n v="0.45"/>
    <n v="0"/>
    <n v="12.77"/>
    <n v="690.77"/>
    <n v="75.84"/>
    <x v="31"/>
  </r>
  <r>
    <d v="2025-07-13T04:30:00"/>
    <n v="-21.6"/>
    <n v="0"/>
    <n v="-11.78"/>
    <n v="1085.6400000000001"/>
    <n v="5769.39"/>
    <n v="-1.77"/>
    <n v="0"/>
    <n v="43.34"/>
    <n v="1.95"/>
    <n v="-0.32"/>
    <n v="572.49"/>
    <n v="0.05"/>
    <n v="0"/>
    <n v="7.68"/>
    <n v="4.8600000000000003"/>
    <n v="278.2"/>
    <n v="2609.27"/>
    <n v="0.45"/>
    <n v="0"/>
    <n v="13.05"/>
    <n v="705.29"/>
    <n v="72.2"/>
    <x v="32"/>
  </r>
  <r>
    <d v="2025-07-13T05:00:00"/>
    <n v="-5.82"/>
    <n v="0"/>
    <n v="0"/>
    <n v="1093.72"/>
    <n v="5952.8"/>
    <n v="-0.21"/>
    <n v="0"/>
    <n v="44.17"/>
    <n v="1.82"/>
    <n v="-0.28000000000000003"/>
    <n v="561.38"/>
    <n v="0.05"/>
    <n v="0"/>
    <n v="7.71"/>
    <n v="0"/>
    <n v="284.94"/>
    <n v="2696.67"/>
    <n v="0.45"/>
    <n v="0"/>
    <n v="13.3"/>
    <n v="708.82"/>
    <n v="75.760000000000005"/>
    <x v="33"/>
  </r>
  <r>
    <d v="2025-07-13T05:30:00"/>
    <n v="-6.54"/>
    <n v="0"/>
    <n v="-71.02"/>
    <n v="1089.6099999999999"/>
    <n v="6074.21"/>
    <n v="-0.14000000000000001"/>
    <n v="0"/>
    <n v="44.79"/>
    <n v="3.8"/>
    <n v="-0.34"/>
    <n v="539.91999999999996"/>
    <n v="0.05"/>
    <n v="0"/>
    <n v="7.95"/>
    <n v="29.41"/>
    <n v="283.95999999999998"/>
    <n v="2752.7"/>
    <n v="0.45"/>
    <n v="0"/>
    <n v="13.49"/>
    <n v="721.01"/>
    <n v="76.58"/>
    <x v="34"/>
  </r>
  <r>
    <d v="2025-07-13T06:00:00"/>
    <n v="-16.5"/>
    <n v="-67.34"/>
    <n v="-126.98"/>
    <n v="1083.81"/>
    <n v="6290"/>
    <n v="-2.2200000000000002"/>
    <n v="0"/>
    <n v="44.89"/>
    <n v="2.5099999999999998"/>
    <n v="-0.32"/>
    <n v="529.91"/>
    <n v="0.05"/>
    <n v="0"/>
    <n v="7.99"/>
    <n v="52.26"/>
    <n v="277.75"/>
    <n v="2849.68"/>
    <n v="0.44"/>
    <n v="0"/>
    <n v="13.52"/>
    <n v="740.17"/>
    <n v="76.89"/>
    <x v="35"/>
  </r>
  <r>
    <d v="2025-07-13T06:30:00"/>
    <n v="-11.07"/>
    <n v="-80.83"/>
    <n v="-106.09"/>
    <n v="1075.53"/>
    <n v="6564.67"/>
    <n v="-0.64"/>
    <n v="0"/>
    <n v="44.66"/>
    <n v="1.74"/>
    <n v="6.56"/>
    <n v="542.15"/>
    <n v="0.05"/>
    <n v="0.13"/>
    <n v="7.91"/>
    <n v="43.62"/>
    <n v="267.61"/>
    <n v="2972.19"/>
    <n v="0.45"/>
    <n v="0"/>
    <n v="13.45"/>
    <n v="743.1"/>
    <n v="81.209999999999994"/>
    <x v="36"/>
  </r>
  <r>
    <d v="2025-07-13T07:00:00"/>
    <n v="-9.7200000000000006"/>
    <n v="-80.86"/>
    <n v="-110.82"/>
    <n v="1093.71"/>
    <n v="6830.02"/>
    <n v="-0.47"/>
    <n v="0"/>
    <n v="44.76"/>
    <n v="0"/>
    <n v="44.21"/>
    <n v="548.48"/>
    <n v="6.71"/>
    <n v="7.75"/>
    <n v="7.81"/>
    <n v="45.39"/>
    <n v="258.3"/>
    <n v="3090.51"/>
    <n v="0.45"/>
    <n v="0"/>
    <n v="13.48"/>
    <n v="741.47"/>
    <n v="93.02"/>
    <x v="37"/>
  </r>
  <r>
    <d v="2025-07-13T07:30:00"/>
    <n v="-11.97"/>
    <n v="-80.8"/>
    <n v="-27.54"/>
    <n v="1118.21"/>
    <n v="6744.1"/>
    <n v="-1.1599999999999999"/>
    <n v="0"/>
    <n v="44.81"/>
    <n v="0.14000000000000001"/>
    <n v="23.47"/>
    <n v="650.45000000000005"/>
    <n v="119.9"/>
    <n v="88.96"/>
    <n v="7.72"/>
    <n v="11.13"/>
    <n v="261.77999999999997"/>
    <n v="3051.59"/>
    <n v="0.45"/>
    <n v="0"/>
    <n v="13.49"/>
    <n v="707.27"/>
    <n v="81.73"/>
    <x v="38"/>
  </r>
  <r>
    <d v="2025-07-13T08:00:00"/>
    <n v="-17.34"/>
    <n v="-80.69"/>
    <n v="0"/>
    <n v="1266.75"/>
    <n v="5955.03"/>
    <n v="-0.05"/>
    <n v="0"/>
    <n v="42.18"/>
    <n v="1.99"/>
    <n v="-0.22"/>
    <n v="815.1"/>
    <n v="569.92999999999995"/>
    <n v="350.51"/>
    <n v="7.77"/>
    <n v="0"/>
    <n v="308.13"/>
    <n v="2694.07"/>
    <n v="0.44"/>
    <n v="0"/>
    <n v="12.7"/>
    <n v="608.14"/>
    <n v="57.01"/>
    <x v="39"/>
  </r>
  <r>
    <d v="2025-07-13T08:30:00"/>
    <n v="-49.15"/>
    <n v="-96.63"/>
    <n v="0"/>
    <n v="1445.28"/>
    <n v="4894.42"/>
    <n v="-0.27"/>
    <n v="0"/>
    <n v="37.869999999999997"/>
    <n v="2.16"/>
    <n v="0"/>
    <n v="909.3"/>
    <n v="1379.32"/>
    <n v="837.43"/>
    <n v="8.5299999999999994"/>
    <n v="0"/>
    <n v="341.62"/>
    <n v="2214.41"/>
    <n v="0.45"/>
    <n v="0"/>
    <n v="11.4"/>
    <n v="475.71"/>
    <n v="-11.86"/>
    <x v="40"/>
  </r>
  <r>
    <d v="2025-07-13T09:00:00"/>
    <n v="-25.06"/>
    <n v="-270.41000000000003"/>
    <n v="0"/>
    <n v="1633.49"/>
    <n v="4349.53"/>
    <n v="0.14000000000000001"/>
    <n v="0"/>
    <n v="37.840000000000003"/>
    <n v="6.16"/>
    <n v="0"/>
    <n v="852.04"/>
    <n v="2080.34"/>
    <n v="1337.7"/>
    <n v="9.4600000000000009"/>
    <n v="0"/>
    <n v="378.61"/>
    <n v="1963.61"/>
    <n v="0.44"/>
    <n v="0"/>
    <n v="11.39"/>
    <n v="395.02"/>
    <n v="0"/>
    <x v="41"/>
  </r>
  <r>
    <d v="2025-07-13T09:30:00"/>
    <n v="-18.59"/>
    <n v="-271.38"/>
    <n v="0"/>
    <n v="1518.67"/>
    <n v="4108.16"/>
    <n v="9.33"/>
    <n v="0"/>
    <n v="37.83"/>
    <n v="2.61"/>
    <n v="0"/>
    <n v="822.65"/>
    <n v="2160.31"/>
    <n v="1856.04"/>
    <n v="10.59"/>
    <n v="0"/>
    <n v="355.95"/>
    <n v="1852.64"/>
    <n v="0.4"/>
    <n v="0"/>
    <n v="11.39"/>
    <n v="364.66"/>
    <n v="76.58"/>
    <x v="42"/>
  </r>
  <r>
    <d v="2025-07-13T10:00:00"/>
    <n v="-35.54"/>
    <n v="-284.11"/>
    <n v="0"/>
    <n v="1468.46"/>
    <n v="3656.04"/>
    <n v="9.5399999999999991"/>
    <n v="0"/>
    <n v="37.89"/>
    <n v="7.44"/>
    <n v="0"/>
    <n v="862.94"/>
    <n v="2277.1799999999998"/>
    <n v="2278.65"/>
    <n v="10.98"/>
    <n v="0"/>
    <n v="358.93"/>
    <n v="1653.52"/>
    <n v="0.38"/>
    <n v="0"/>
    <n v="11.41"/>
    <n v="324.04000000000002"/>
    <n v="24"/>
    <x v="43"/>
  </r>
  <r>
    <d v="2025-07-13T10:30:00"/>
    <n v="-60.99"/>
    <n v="-466.75"/>
    <n v="0"/>
    <n v="1763.72"/>
    <n v="2964.61"/>
    <n v="9.11"/>
    <n v="0"/>
    <n v="37.880000000000003"/>
    <n v="3.18"/>
    <n v="0"/>
    <n v="914.75"/>
    <n v="2061.91"/>
    <n v="2658.7"/>
    <n v="11.97"/>
    <n v="0"/>
    <n v="419.83"/>
    <n v="1346.49"/>
    <n v="0.37"/>
    <n v="0"/>
    <n v="11.4"/>
    <n v="274.77999999999997"/>
    <n v="-16.54"/>
    <x v="44"/>
  </r>
  <r>
    <d v="2025-07-13T11:00:00"/>
    <n v="-72.02"/>
    <n v="-470.18"/>
    <n v="0"/>
    <n v="1753.49"/>
    <n v="2519.48"/>
    <n v="7.68"/>
    <n v="0"/>
    <n v="37.83"/>
    <n v="3.99"/>
    <n v="0"/>
    <n v="981.91"/>
    <n v="2155.25"/>
    <n v="2927"/>
    <n v="12.91"/>
    <n v="0"/>
    <n v="426.21"/>
    <n v="1147.97"/>
    <n v="0.35"/>
    <n v="0"/>
    <n v="11.39"/>
    <n v="235.61"/>
    <n v="-16.54"/>
    <x v="45"/>
  </r>
  <r>
    <d v="2025-07-13T11:30:00"/>
    <n v="-174.42"/>
    <n v="-582.36"/>
    <n v="0"/>
    <n v="1601.4"/>
    <n v="2448.65"/>
    <n v="4.12"/>
    <n v="0"/>
    <n v="37.840000000000003"/>
    <n v="0.74"/>
    <n v="0"/>
    <n v="968.43"/>
    <n v="2332.9499999999998"/>
    <n v="3166.39"/>
    <n v="13.65"/>
    <n v="0"/>
    <n v="398.34"/>
    <n v="1114.6300000000001"/>
    <n v="0.28000000000000003"/>
    <n v="0"/>
    <n v="11.39"/>
    <n v="229.77"/>
    <n v="-16.18"/>
    <x v="46"/>
  </r>
  <r>
    <d v="2025-07-13T12:00:00"/>
    <n v="-88.23"/>
    <n v="-660.52"/>
    <n v="0"/>
    <n v="1342.77"/>
    <n v="2458.89"/>
    <n v="1.95"/>
    <n v="0"/>
    <n v="37.89"/>
    <n v="1.59"/>
    <n v="0"/>
    <n v="1108.4000000000001"/>
    <n v="2353.9499999999998"/>
    <n v="3250.92"/>
    <n v="14.42"/>
    <n v="0"/>
    <n v="349.16"/>
    <n v="1118.68"/>
    <n v="0.24"/>
    <n v="0"/>
    <n v="11.41"/>
    <n v="230.5"/>
    <n v="-14.71"/>
    <x v="47"/>
  </r>
  <r>
    <d v="2025-07-13T12:30:00"/>
    <n v="-179.28"/>
    <n v="-660.59"/>
    <n v="0"/>
    <n v="1342.74"/>
    <n v="2389.2800000000002"/>
    <n v="0.11"/>
    <n v="0"/>
    <n v="37.840000000000003"/>
    <n v="0.3"/>
    <n v="0"/>
    <n v="1244.3499999999999"/>
    <n v="2246.4699999999998"/>
    <n v="3236.69"/>
    <n v="15.17"/>
    <n v="0"/>
    <n v="357.06"/>
    <n v="1087.6199999999999"/>
    <n v="0.21"/>
    <n v="0"/>
    <n v="11.39"/>
    <n v="227.63"/>
    <n v="-14.01"/>
    <x v="0"/>
  </r>
  <r>
    <d v="2025-07-13T13:00:00"/>
    <n v="-193.5"/>
    <n v="-659.32"/>
    <n v="0"/>
    <n v="1313.14"/>
    <n v="2388.5500000000002"/>
    <n v="-0.12"/>
    <n v="0"/>
    <n v="37.81"/>
    <n v="0.96"/>
    <n v="0"/>
    <n v="1347.9"/>
    <n v="2265.35"/>
    <n v="3104.69"/>
    <n v="16.100000000000001"/>
    <n v="0"/>
    <n v="350.99"/>
    <n v="1087.4000000000001"/>
    <n v="0.21"/>
    <n v="0"/>
    <n v="11.38"/>
    <n v="228.83"/>
    <n v="-14.01"/>
    <x v="1"/>
  </r>
  <r>
    <d v="2025-07-13T13:30:00"/>
    <n v="-238"/>
    <n v="-660.04"/>
    <n v="0"/>
    <n v="1389.56"/>
    <n v="2374.46"/>
    <n v="-0.39"/>
    <n v="0"/>
    <n v="37.82"/>
    <n v="0.4"/>
    <n v="0"/>
    <n v="1414.94"/>
    <n v="2192.02"/>
    <n v="2834.4"/>
    <n v="16.899999999999999"/>
    <n v="0"/>
    <n v="361.32"/>
    <n v="1080.98"/>
    <n v="0.2"/>
    <n v="0"/>
    <n v="11.39"/>
    <n v="233.83"/>
    <n v="-15.17"/>
    <x v="2"/>
  </r>
  <r>
    <d v="2025-07-13T14:00:00"/>
    <n v="-299.37"/>
    <n v="-658.02"/>
    <n v="0"/>
    <n v="1556.16"/>
    <n v="2492.27"/>
    <n v="-0.02"/>
    <n v="0"/>
    <n v="37.880000000000003"/>
    <n v="0.48"/>
    <n v="0"/>
    <n v="1447.94"/>
    <n v="2011.07"/>
    <n v="2495.69"/>
    <n v="17.350000000000001"/>
    <n v="0"/>
    <n v="400.13"/>
    <n v="1132.96"/>
    <n v="0.21"/>
    <n v="0"/>
    <n v="11.41"/>
    <n v="252"/>
    <n v="-17.28"/>
    <x v="3"/>
  </r>
  <r>
    <d v="2025-07-13T14:30:00"/>
    <n v="-254.92"/>
    <n v="-657.84"/>
    <n v="0"/>
    <n v="1566.3"/>
    <n v="2708.77"/>
    <n v="-0.12"/>
    <n v="0"/>
    <n v="37.82"/>
    <n v="1.42"/>
    <n v="0"/>
    <n v="1471.44"/>
    <n v="2257.34"/>
    <n v="1969.91"/>
    <n v="17.48"/>
    <n v="0"/>
    <n v="390.11"/>
    <n v="1228.1400000000001"/>
    <n v="0.2"/>
    <n v="0"/>
    <n v="11.39"/>
    <n v="272.45999999999998"/>
    <n v="24"/>
    <x v="4"/>
  </r>
  <r>
    <d v="2025-07-13T15:00:00"/>
    <n v="-269.14"/>
    <n v="-658.88"/>
    <n v="0"/>
    <n v="1534.91"/>
    <n v="3432.06"/>
    <n v="-0.49"/>
    <n v="0"/>
    <n v="37.83"/>
    <n v="0.95"/>
    <n v="0"/>
    <n v="1450.15"/>
    <n v="2138.2399999999998"/>
    <n v="1472.47"/>
    <n v="16.72"/>
    <n v="0"/>
    <n v="364.23"/>
    <n v="1549.69"/>
    <n v="0.2"/>
    <n v="0"/>
    <n v="11.39"/>
    <n v="341.71"/>
    <n v="4.71"/>
    <x v="5"/>
  </r>
  <r>
    <d v="2025-07-13T15:30:00"/>
    <n v="-215.94"/>
    <n v="-657.04"/>
    <n v="0"/>
    <n v="1500.02"/>
    <n v="4114.53"/>
    <n v="0.55000000000000004"/>
    <n v="0"/>
    <n v="37.869999999999997"/>
    <n v="1.91"/>
    <n v="0"/>
    <n v="1513.1"/>
    <n v="1908.83"/>
    <n v="1077.3599999999999"/>
    <n v="16.16"/>
    <n v="0"/>
    <n v="361.06"/>
    <n v="1852.86"/>
    <n v="0.22"/>
    <n v="0"/>
    <n v="11.4"/>
    <n v="401.78"/>
    <n v="-0.02"/>
    <x v="6"/>
  </r>
  <r>
    <d v="2025-07-13T16:00:00"/>
    <n v="-126.78"/>
    <n v="-656.15"/>
    <n v="0"/>
    <n v="1607.4"/>
    <n v="4724.3100000000004"/>
    <n v="7.25"/>
    <n v="0"/>
    <n v="39.4"/>
    <n v="1.72"/>
    <n v="-0.06"/>
    <n v="1592.88"/>
    <n v="1459.36"/>
    <n v="694.37"/>
    <n v="15.83"/>
    <n v="0"/>
    <n v="426.05"/>
    <n v="2127.4"/>
    <n v="0.34"/>
    <n v="0"/>
    <n v="11.86"/>
    <n v="457.98"/>
    <n v="21.26"/>
    <x v="7"/>
  </r>
  <r>
    <d v="2025-07-13T16:30:00"/>
    <n v="-3.51"/>
    <n v="-354.68"/>
    <n v="0"/>
    <n v="1632.29"/>
    <n v="5543.33"/>
    <n v="3.33"/>
    <n v="0"/>
    <n v="42.78"/>
    <n v="4.62"/>
    <n v="48.43"/>
    <n v="1627.76"/>
    <n v="790.13"/>
    <n v="354.66"/>
    <n v="15.61"/>
    <n v="0"/>
    <n v="482.97"/>
    <n v="2502.31"/>
    <n v="0.37"/>
    <n v="0"/>
    <n v="12.88"/>
    <n v="519.25"/>
    <n v="57.01"/>
    <x v="8"/>
  </r>
  <r>
    <d v="2025-07-13T17:00:00"/>
    <n v="-2.37"/>
    <n v="0"/>
    <n v="0"/>
    <n v="1409.38"/>
    <n v="6377.1"/>
    <n v="-1.0900000000000001"/>
    <n v="0"/>
    <n v="42.55"/>
    <n v="207.02"/>
    <n v="248.33"/>
    <n v="1637.74"/>
    <n v="175.55"/>
    <n v="107.74"/>
    <n v="15.37"/>
    <n v="0"/>
    <n v="446.37"/>
    <n v="2884.87"/>
    <n v="0.42"/>
    <n v="0"/>
    <n v="12.81"/>
    <n v="568.15"/>
    <n v="125.69"/>
    <x v="9"/>
  </r>
  <r>
    <d v="2025-07-13T17:30:00"/>
    <n v="-2.3199999999999998"/>
    <n v="0"/>
    <n v="0"/>
    <n v="1305.17"/>
    <n v="6798.69"/>
    <n v="-2.9"/>
    <n v="0"/>
    <n v="71.83"/>
    <n v="309.89999999999998"/>
    <n v="604.82000000000005"/>
    <n v="1641.12"/>
    <n v="5.61"/>
    <n v="12.89"/>
    <n v="15.45"/>
    <n v="0"/>
    <n v="427.1"/>
    <n v="3078.16"/>
    <n v="0.41"/>
    <n v="0"/>
    <n v="24.61"/>
    <n v="577.61"/>
    <n v="138.72999999999999"/>
    <x v="10"/>
  </r>
  <r>
    <d v="2025-07-13T18:00:00"/>
    <n v="-1.58"/>
    <n v="0"/>
    <n v="-92.12"/>
    <n v="970.41"/>
    <n v="6926.95"/>
    <n v="-3.66"/>
    <n v="0"/>
    <n v="341.22"/>
    <n v="420.47"/>
    <n v="654.4"/>
    <n v="1690.78"/>
    <n v="0.05"/>
    <n v="0.17"/>
    <n v="15.35"/>
    <n v="29.85"/>
    <n v="303.81"/>
    <n v="3138.37"/>
    <n v="0.4"/>
    <n v="0"/>
    <n v="129.77000000000001"/>
    <n v="599.34"/>
    <n v="140.03"/>
    <x v="11"/>
  </r>
  <r>
    <d v="2025-07-13T18:30:00"/>
    <n v="-1.45"/>
    <n v="0"/>
    <n v="-78.16"/>
    <n v="877.65"/>
    <n v="6945.25"/>
    <n v="-2.25"/>
    <n v="0"/>
    <n v="354.04"/>
    <n v="352.46"/>
    <n v="667.13"/>
    <n v="1801.5"/>
    <n v="0.05"/>
    <n v="0"/>
    <n v="15.42"/>
    <n v="25.2"/>
    <n v="277.14"/>
    <n v="3146.71"/>
    <n v="0.43"/>
    <n v="0"/>
    <n v="134.76"/>
    <n v="601.29"/>
    <n v="185.01"/>
    <x v="12"/>
  </r>
  <r>
    <d v="2025-07-13T19:00:00"/>
    <n v="-1.53"/>
    <n v="0"/>
    <n v="-115.62"/>
    <n v="918.65"/>
    <n v="6942.21"/>
    <n v="-2.2599999999999998"/>
    <n v="0"/>
    <n v="353.65"/>
    <n v="293.27"/>
    <n v="512.80999999999995"/>
    <n v="1949.97"/>
    <n v="0.05"/>
    <n v="0"/>
    <n v="14.98"/>
    <n v="37.64"/>
    <n v="279.98"/>
    <n v="3145.32"/>
    <n v="0.43"/>
    <n v="0"/>
    <n v="134.58000000000001"/>
    <n v="604.6"/>
    <n v="138.06"/>
    <x v="13"/>
  </r>
  <r>
    <d v="2025-07-13T19:30:00"/>
    <n v="-2.15"/>
    <n v="0"/>
    <n v="-186.1"/>
    <n v="937.92"/>
    <n v="6938.83"/>
    <n v="-2.15"/>
    <n v="0"/>
    <n v="330.67"/>
    <n v="168.55"/>
    <n v="516.33000000000004"/>
    <n v="2046.18"/>
    <n v="0.05"/>
    <n v="0"/>
    <n v="14.75"/>
    <n v="60.69"/>
    <n v="285.86"/>
    <n v="3143.85"/>
    <n v="0.43"/>
    <n v="0"/>
    <n v="125.6"/>
    <n v="608.45000000000005"/>
    <n v="136.86000000000001"/>
    <x v="14"/>
  </r>
  <r>
    <d v="2025-07-13T20:00:00"/>
    <n v="-3.45"/>
    <n v="0"/>
    <n v="-194.37"/>
    <n v="913.67"/>
    <n v="6935.89"/>
    <n v="-0.85"/>
    <n v="0"/>
    <n v="305.45"/>
    <n v="43.64"/>
    <n v="485.39"/>
    <n v="2096.2800000000002"/>
    <n v="0.05"/>
    <n v="0"/>
    <n v="14.82"/>
    <n v="64.03"/>
    <n v="280.06"/>
    <n v="3142.51"/>
    <n v="0.44"/>
    <n v="0"/>
    <n v="115.75"/>
    <n v="615.91"/>
    <n v="110.96"/>
    <x v="15"/>
  </r>
  <r>
    <d v="2025-07-13T20:30:00"/>
    <n v="-2.67"/>
    <n v="0"/>
    <n v="-197.29"/>
    <n v="908.85"/>
    <n v="6948.12"/>
    <n v="-0.95"/>
    <n v="0"/>
    <n v="187.96"/>
    <n v="21.47"/>
    <n v="418.43"/>
    <n v="2138.23"/>
    <n v="0.05"/>
    <n v="0"/>
    <n v="14.45"/>
    <n v="65.16"/>
    <n v="277.61"/>
    <n v="3147.98"/>
    <n v="0.44"/>
    <n v="0"/>
    <n v="69.72"/>
    <n v="617.55999999999995"/>
    <n v="140.03"/>
    <x v="16"/>
  </r>
  <r>
    <d v="2025-07-13T21:00:00"/>
    <n v="-11.84"/>
    <n v="0"/>
    <n v="-241.96"/>
    <n v="972.69"/>
    <n v="6973.47"/>
    <n v="-1.49"/>
    <n v="0"/>
    <n v="42.95"/>
    <n v="10.91"/>
    <n v="210.94"/>
    <n v="2158.5300000000002"/>
    <n v="0.05"/>
    <n v="0"/>
    <n v="14.76"/>
    <n v="81.650000000000006"/>
    <n v="296.8"/>
    <n v="3159.32"/>
    <n v="0.43"/>
    <n v="0"/>
    <n v="12.93"/>
    <n v="627.37"/>
    <n v="100.01"/>
    <x v="17"/>
  </r>
  <r>
    <d v="2025-07-13T21:30:00"/>
    <n v="-7.38"/>
    <n v="0"/>
    <n v="-327.3"/>
    <n v="946.89"/>
    <n v="6949.76"/>
    <n v="-0.97"/>
    <n v="0"/>
    <n v="43.15"/>
    <n v="2.4300000000000002"/>
    <n v="48.35"/>
    <n v="2151.7600000000002"/>
    <n v="0.05"/>
    <n v="0"/>
    <n v="14.5"/>
    <n v="112.17"/>
    <n v="277.38"/>
    <n v="3146.23"/>
    <n v="0.44"/>
    <n v="0"/>
    <n v="12.99"/>
    <n v="644.39"/>
    <n v="76.8"/>
    <x v="18"/>
  </r>
  <r>
    <d v="2025-07-13T22:00:00"/>
    <n v="-83.85"/>
    <n v="0"/>
    <n v="-360.81"/>
    <n v="1010.1"/>
    <n v="6692.86"/>
    <n v="-0.57999999999999996"/>
    <n v="0"/>
    <n v="43.14"/>
    <n v="1.77"/>
    <n v="30.8"/>
    <n v="2106.94"/>
    <n v="0.05"/>
    <n v="0"/>
    <n v="14.54"/>
    <n v="123.16"/>
    <n v="281.61"/>
    <n v="3024.4"/>
    <n v="0.44"/>
    <n v="0"/>
    <n v="12.99"/>
    <n v="643.58000000000004"/>
    <n v="49.78"/>
    <x v="19"/>
  </r>
  <r>
    <d v="2025-07-13T22:30:00"/>
    <n v="-155.27000000000001"/>
    <n v="0"/>
    <n v="-374.4"/>
    <n v="978.88"/>
    <n v="6625.97"/>
    <n v="-0.85"/>
    <n v="0"/>
    <n v="42.51"/>
    <n v="3.37"/>
    <n v="31.03"/>
    <n v="2065.66"/>
    <n v="0.05"/>
    <n v="0"/>
    <n v="14.35"/>
    <n v="127.82"/>
    <n v="271.63"/>
    <n v="2988.84"/>
    <n v="0.44"/>
    <n v="0"/>
    <n v="12.8"/>
    <n v="651.41999999999996"/>
    <n v="65.23"/>
    <x v="20"/>
  </r>
  <r>
    <d v="2025-07-13T23:00:00"/>
    <n v="-62.67"/>
    <n v="0"/>
    <n v="-394.42"/>
    <n v="942.93"/>
    <n v="6276.39"/>
    <n v="1.53"/>
    <n v="0"/>
    <n v="42.52"/>
    <n v="1.39"/>
    <n v="30.94"/>
    <n v="2095.64"/>
    <n v="0.05"/>
    <n v="0"/>
    <n v="14.28"/>
    <n v="132.37"/>
    <n v="283.27999999999997"/>
    <n v="2829.85"/>
    <n v="0.44"/>
    <n v="0"/>
    <n v="12.8"/>
    <n v="636.44000000000005"/>
    <n v="58.83"/>
    <x v="21"/>
  </r>
  <r>
    <d v="2025-07-13T23:30:00"/>
    <n v="-101.41"/>
    <n v="0"/>
    <n v="-396.14"/>
    <n v="946.21"/>
    <n v="5983.07"/>
    <n v="2.4"/>
    <n v="0"/>
    <n v="43.16"/>
    <n v="1.05"/>
    <n v="30.87"/>
    <n v="2144.85"/>
    <n v="0.05"/>
    <n v="0"/>
    <n v="14.03"/>
    <n v="130.6"/>
    <n v="297.70999999999998"/>
    <n v="2699.06"/>
    <n v="0.45"/>
    <n v="0"/>
    <n v="13"/>
    <n v="626.87"/>
    <n v="53.54"/>
    <x v="22"/>
  </r>
  <r>
    <d v="2025-07-14T00:00:00"/>
    <n v="-87.13"/>
    <n v="0"/>
    <n v="-487.28"/>
    <n v="856.24"/>
    <n v="5820.55"/>
    <n v="1.32"/>
    <n v="0"/>
    <n v="43.36"/>
    <n v="0.6"/>
    <n v="30.93"/>
    <n v="2190.79"/>
    <n v="0.05"/>
    <n v="0"/>
    <n v="13.92"/>
    <n v="158.55000000000001"/>
    <n v="279.98"/>
    <n v="2626.43"/>
    <n v="0.44"/>
    <n v="0"/>
    <n v="13.05"/>
    <n v="630.85"/>
    <n v="65.36"/>
    <x v="23"/>
  </r>
  <r>
    <d v="2025-07-14T00:30:00"/>
    <n v="-50.52"/>
    <n v="0"/>
    <n v="-536.12"/>
    <n v="809.98"/>
    <n v="5517.03"/>
    <n v="-0.23"/>
    <n v="0"/>
    <n v="43.19"/>
    <n v="0.18"/>
    <n v="25.74"/>
    <n v="2233.4299999999998"/>
    <n v="0.05"/>
    <n v="0"/>
    <n v="14.68"/>
    <n v="171.28"/>
    <n v="274.22000000000003"/>
    <n v="2492.0700000000002"/>
    <n v="0.43"/>
    <n v="0"/>
    <n v="13"/>
    <n v="623.04999999999995"/>
    <n v="57.01"/>
    <x v="24"/>
  </r>
  <r>
    <d v="2025-07-14T01:00:00"/>
    <n v="-4.3099999999999996"/>
    <n v="0"/>
    <n v="-538.34"/>
    <n v="797.4"/>
    <n v="5349.02"/>
    <n v="0.21"/>
    <n v="0"/>
    <n v="42.53"/>
    <n v="1.05"/>
    <n v="0"/>
    <n v="2282.92"/>
    <n v="0.05"/>
    <n v="0"/>
    <n v="14.54"/>
    <n v="169.91"/>
    <n v="281.60000000000002"/>
    <n v="2417.1999999999998"/>
    <n v="0.43"/>
    <n v="0"/>
    <n v="12.8"/>
    <n v="612.92999999999995"/>
    <n v="64.89"/>
    <x v="25"/>
  </r>
  <r>
    <d v="2025-07-14T01:30:00"/>
    <n v="-51.03"/>
    <n v="0"/>
    <n v="-513.83000000000004"/>
    <n v="792.88"/>
    <n v="5143.7"/>
    <n v="0.69"/>
    <n v="0"/>
    <n v="42.41"/>
    <n v="0.28999999999999998"/>
    <n v="0"/>
    <n v="2301.21"/>
    <n v="0.05"/>
    <n v="0"/>
    <n v="14.27"/>
    <n v="160.04"/>
    <n v="284.89"/>
    <n v="2325.7600000000002"/>
    <n v="0.44"/>
    <n v="0"/>
    <n v="12.77"/>
    <n v="606.24"/>
    <n v="68.540000000000006"/>
    <x v="26"/>
  </r>
  <r>
    <d v="2025-07-14T02:00:00"/>
    <n v="-52.8"/>
    <n v="0"/>
    <n v="-459.97"/>
    <n v="761.6"/>
    <n v="4920.88"/>
    <n v="0.38"/>
    <n v="0"/>
    <n v="42.87"/>
    <n v="0.35"/>
    <n v="0"/>
    <n v="2267.08"/>
    <n v="0.05"/>
    <n v="0"/>
    <n v="14.4"/>
    <n v="142.07"/>
    <n v="277.07"/>
    <n v="2227.5100000000002"/>
    <n v="0.44"/>
    <n v="0"/>
    <n v="12.91"/>
    <n v="599.12"/>
    <n v="69.52"/>
    <x v="27"/>
  </r>
  <r>
    <d v="2025-07-14T02:30:00"/>
    <n v="-67.489999999999995"/>
    <n v="0"/>
    <n v="-495.82"/>
    <n v="791.54"/>
    <n v="4781.75"/>
    <n v="0.89"/>
    <n v="0"/>
    <n v="43.16"/>
    <n v="1.51"/>
    <n v="0"/>
    <n v="2249.91"/>
    <n v="0.05"/>
    <n v="0"/>
    <n v="14.03"/>
    <n v="152.12"/>
    <n v="287.83999999999997"/>
    <n v="2165.6"/>
    <n v="0.45"/>
    <n v="0"/>
    <n v="13"/>
    <n v="596.54999999999995"/>
    <n v="51.17"/>
    <x v="28"/>
  </r>
  <r>
    <d v="2025-07-14T03:00:00"/>
    <n v="-63.85"/>
    <n v="0"/>
    <n v="-498.8"/>
    <n v="780.83"/>
    <n v="4703"/>
    <n v="-0.04"/>
    <n v="0"/>
    <n v="43.29"/>
    <n v="1.01"/>
    <n v="0"/>
    <n v="2264.0500000000002"/>
    <n v="0.05"/>
    <n v="0"/>
    <n v="14.21"/>
    <n v="152.94999999999999"/>
    <n v="284.14999999999998"/>
    <n v="2130.5300000000002"/>
    <n v="0.44"/>
    <n v="0"/>
    <n v="13.04"/>
    <n v="593.12"/>
    <n v="56.71"/>
    <x v="29"/>
  </r>
  <r>
    <d v="2025-07-14T03:30:00"/>
    <n v="-43.63"/>
    <n v="0"/>
    <n v="-380.66"/>
    <n v="713.11"/>
    <n v="4627.54"/>
    <n v="-0.24"/>
    <n v="0"/>
    <n v="43.32"/>
    <n v="1.59"/>
    <n v="0"/>
    <n v="2116.71"/>
    <n v="0.05"/>
    <n v="0"/>
    <n v="13.98"/>
    <n v="117.83"/>
    <n v="269.75"/>
    <n v="2096.8000000000002"/>
    <n v="0.45"/>
    <n v="0"/>
    <n v="13.04"/>
    <n v="596.32000000000005"/>
    <n v="56.98"/>
    <x v="30"/>
  </r>
  <r>
    <d v="2025-07-14T04:00:00"/>
    <n v="-55.86"/>
    <n v="0"/>
    <n v="-325.73"/>
    <n v="661.26"/>
    <n v="4765.43"/>
    <n v="-1.26"/>
    <n v="0"/>
    <n v="43.3"/>
    <n v="11.02"/>
    <n v="-0.05"/>
    <n v="2004.46"/>
    <n v="0.05"/>
    <n v="0"/>
    <n v="13.29"/>
    <n v="102.66"/>
    <n v="256.02"/>
    <n v="2158.77"/>
    <n v="0.44"/>
    <n v="0"/>
    <n v="13.04"/>
    <n v="611.67999999999995"/>
    <n v="57.01"/>
    <x v="31"/>
  </r>
  <r>
    <d v="2025-07-14T04:30:00"/>
    <n v="-95.96"/>
    <n v="0"/>
    <n v="-381.76"/>
    <n v="578.07000000000005"/>
    <n v="5265.24"/>
    <n v="-0.54"/>
    <n v="0"/>
    <n v="43.4"/>
    <n v="0.69"/>
    <n v="0"/>
    <n v="1914.67"/>
    <n v="0.05"/>
    <n v="0"/>
    <n v="12.77"/>
    <n v="121.8"/>
    <n v="223.28"/>
    <n v="2389.5100000000002"/>
    <n v="0.44"/>
    <n v="0"/>
    <n v="13.07"/>
    <n v="656.22"/>
    <n v="72.489999999999995"/>
    <x v="32"/>
  </r>
  <r>
    <d v="2025-07-14T05:00:00"/>
    <n v="-37.93"/>
    <n v="0"/>
    <n v="-461.29"/>
    <n v="475.77"/>
    <n v="5618.82"/>
    <n v="0.56999999999999995"/>
    <n v="0"/>
    <n v="42.88"/>
    <n v="5.82"/>
    <n v="0"/>
    <n v="1963.07"/>
    <n v="0.05"/>
    <n v="0"/>
    <n v="12.53"/>
    <n v="147.88999999999999"/>
    <n v="186.06"/>
    <n v="2547.91"/>
    <n v="0.45"/>
    <n v="0"/>
    <n v="12.91"/>
    <n v="673.33"/>
    <n v="69.599999999999994"/>
    <x v="33"/>
  </r>
  <r>
    <d v="2025-07-14T05:30:00"/>
    <n v="-10.93"/>
    <n v="0"/>
    <n v="-472.02"/>
    <n v="210.95"/>
    <n v="6309.23"/>
    <n v="-0.28999999999999998"/>
    <n v="0"/>
    <n v="42.53"/>
    <n v="4.59"/>
    <n v="57.01"/>
    <n v="1767.6"/>
    <n v="0.05"/>
    <n v="0"/>
    <n v="12.42"/>
    <n v="160.69999999999999"/>
    <n v="83.17"/>
    <n v="2858.13"/>
    <n v="0.45"/>
    <n v="0"/>
    <n v="12.81"/>
    <n v="726.13"/>
    <n v="77.510000000000005"/>
    <x v="34"/>
  </r>
  <r>
    <d v="2025-07-14T06:00:00"/>
    <n v="-10.5"/>
    <n v="0"/>
    <n v="-573.94000000000005"/>
    <n v="0"/>
    <n v="6751.5"/>
    <n v="-1.1299999999999999"/>
    <n v="0"/>
    <n v="43"/>
    <n v="83.72"/>
    <n v="233.36"/>
    <n v="1750.97"/>
    <n v="0.05"/>
    <n v="0"/>
    <n v="11.77"/>
    <n v="197.92"/>
    <n v="0"/>
    <n v="3055.82"/>
    <n v="0.44"/>
    <n v="0"/>
    <n v="12.95"/>
    <n v="741.62"/>
    <n v="93.14"/>
    <x v="35"/>
  </r>
  <r>
    <d v="2025-07-14T06:30:00"/>
    <n v="-15.9"/>
    <n v="0"/>
    <n v="-418.29"/>
    <n v="0"/>
    <n v="7123.99"/>
    <n v="-3.58"/>
    <n v="0"/>
    <n v="43.75"/>
    <n v="146.22999999999999"/>
    <n v="190.83"/>
    <n v="1760.49"/>
    <n v="0.05"/>
    <n v="0.12"/>
    <n v="11.87"/>
    <n v="145.72999999999999"/>
    <n v="0"/>
    <n v="3224.4"/>
    <n v="0.44"/>
    <n v="0"/>
    <n v="13.17"/>
    <n v="733.6"/>
    <n v="153.1"/>
    <x v="36"/>
  </r>
  <r>
    <d v="2025-07-14T07:00:00"/>
    <n v="-2.09"/>
    <n v="0"/>
    <n v="-376.64"/>
    <n v="15.8"/>
    <n v="7297.42"/>
    <n v="-1.92"/>
    <n v="0"/>
    <n v="43.23"/>
    <n v="240.67"/>
    <n v="358.43"/>
    <n v="1750.08"/>
    <n v="5.23"/>
    <n v="7.84"/>
    <n v="12.89"/>
    <n v="128.53"/>
    <n v="5.47"/>
    <n v="3304.27"/>
    <n v="0.45"/>
    <n v="0"/>
    <n v="13.02"/>
    <n v="710.58"/>
    <n v="147.21"/>
    <x v="37"/>
  </r>
  <r>
    <d v="2025-07-14T07:30:00"/>
    <n v="-4.78"/>
    <n v="0"/>
    <n v="-305.26"/>
    <n v="0"/>
    <n v="7328.85"/>
    <n v="-3.31"/>
    <n v="0"/>
    <n v="43.32"/>
    <n v="89.95"/>
    <n v="577.28"/>
    <n v="1818.48"/>
    <n v="136.53"/>
    <n v="94.14"/>
    <n v="13.92"/>
    <n v="101.53"/>
    <n v="0"/>
    <n v="3319.64"/>
    <n v="0.45"/>
    <n v="0"/>
    <n v="13.04"/>
    <n v="681.96"/>
    <n v="154.78"/>
    <x v="38"/>
  </r>
  <r>
    <d v="2025-07-14T08:00:00"/>
    <n v="-5.0999999999999996"/>
    <n v="0"/>
    <n v="-223.76"/>
    <n v="8.4600000000000009"/>
    <n v="6969.81"/>
    <n v="-3.44"/>
    <n v="0"/>
    <n v="43.3"/>
    <n v="80.38"/>
    <n v="298.17"/>
    <n v="1670.48"/>
    <n v="735.66"/>
    <n v="389.47"/>
    <n v="14.14"/>
    <n v="72.239999999999995"/>
    <n v="2.44"/>
    <n v="3155.92"/>
    <n v="0.44"/>
    <n v="0"/>
    <n v="13.04"/>
    <n v="636.20000000000005"/>
    <n v="81.06"/>
    <x v="39"/>
  </r>
  <r>
    <d v="2025-07-14T08:30:00"/>
    <n v="-35.28"/>
    <n v="0"/>
    <n v="-158.31"/>
    <n v="242.69"/>
    <n v="5979.68"/>
    <n v="-3.45"/>
    <n v="0"/>
    <n v="43.44"/>
    <n v="1.1599999999999999"/>
    <n v="0"/>
    <n v="1447.65"/>
    <n v="1700.98"/>
    <n v="873.76"/>
    <n v="14.6"/>
    <n v="46.23"/>
    <n v="63.07"/>
    <n v="2703.21"/>
    <n v="0.44"/>
    <n v="0"/>
    <n v="13.08"/>
    <n v="538.37"/>
    <n v="-14.01"/>
    <x v="40"/>
  </r>
  <r>
    <d v="2025-07-14T09:00:00"/>
    <n v="-38.520000000000003"/>
    <n v="-26.8"/>
    <n v="-324.17"/>
    <n v="599.24"/>
    <n v="5028.6499999999996"/>
    <n v="0.96"/>
    <n v="0"/>
    <n v="42.44"/>
    <n v="0.81"/>
    <n v="0"/>
    <n v="1171.56"/>
    <n v="2574.77"/>
    <n v="1457.97"/>
    <n v="15.48"/>
    <n v="83.25"/>
    <n v="144.63"/>
    <n v="2268.7199999999998"/>
    <n v="0.43"/>
    <n v="0"/>
    <n v="12.78"/>
    <n v="435.2"/>
    <n v="16.04"/>
    <x v="41"/>
  </r>
  <r>
    <d v="2025-07-14T09:30:00"/>
    <n v="-8.85"/>
    <n v="-97.44"/>
    <n v="-393.87"/>
    <n v="701.08"/>
    <n v="4242.24"/>
    <n v="11.53"/>
    <n v="0"/>
    <n v="40.770000000000003"/>
    <n v="1.08"/>
    <n v="0"/>
    <n v="1027.68"/>
    <n v="2910.9"/>
    <n v="2056.14"/>
    <n v="16.13"/>
    <n v="90.59"/>
    <n v="160.27000000000001"/>
    <n v="1910.6"/>
    <n v="0.44"/>
    <n v="0"/>
    <n v="12.27"/>
    <n v="366.65"/>
    <n v="50.35"/>
    <x v="42"/>
  </r>
  <r>
    <d v="2025-07-14T10:00:00"/>
    <n v="-81.27"/>
    <n v="-283.64"/>
    <n v="-359.41"/>
    <n v="752.54"/>
    <n v="3632.09"/>
    <n v="13.54"/>
    <n v="0"/>
    <n v="38.119999999999997"/>
    <n v="2.21"/>
    <n v="0"/>
    <n v="960.08"/>
    <n v="3022.31"/>
    <n v="2593.56"/>
    <n v="16.489999999999998"/>
    <n v="74.67"/>
    <n v="176.01"/>
    <n v="1639.68"/>
    <n v="0.45"/>
    <n v="0"/>
    <n v="11.48"/>
    <n v="321.01"/>
    <n v="24"/>
    <x v="43"/>
  </r>
  <r>
    <d v="2025-07-14T10:30:00"/>
    <n v="-106.43"/>
    <n v="-480.14"/>
    <n v="-342.47"/>
    <n v="720"/>
    <n v="3455.68"/>
    <n v="13.92"/>
    <n v="0"/>
    <n v="40.619999999999997"/>
    <n v="1.74"/>
    <n v="0"/>
    <n v="905.81"/>
    <n v="3084.05"/>
    <n v="3022.73"/>
    <n v="16.97"/>
    <n v="67.48"/>
    <n v="172.94"/>
    <n v="1562.77"/>
    <n v="0.45"/>
    <n v="0"/>
    <n v="12.23"/>
    <n v="305.45"/>
    <n v="45"/>
    <x v="44"/>
  </r>
  <r>
    <d v="2025-07-14T11:00:00"/>
    <n v="-244.89"/>
    <n v="-657.9"/>
    <n v="-315.85000000000002"/>
    <n v="718.44"/>
    <n v="3370.09"/>
    <n v="13.54"/>
    <n v="0"/>
    <n v="38.700000000000003"/>
    <n v="0.02"/>
    <n v="0"/>
    <n v="892.28"/>
    <n v="2987.13"/>
    <n v="3352.07"/>
    <n v="17.53"/>
    <n v="60.85"/>
    <n v="180.02"/>
    <n v="1525.04"/>
    <n v="0.44"/>
    <n v="0"/>
    <n v="11.65"/>
    <n v="302.77"/>
    <n v="-9.5"/>
    <x v="45"/>
  </r>
  <r>
    <d v="2025-07-14T11:30:00"/>
    <n v="-458.77"/>
    <n v="-657.57"/>
    <n v="-389.6"/>
    <n v="722.83"/>
    <n v="3416"/>
    <n v="13.34"/>
    <n v="0"/>
    <n v="38.369999999999997"/>
    <n v="0.31"/>
    <n v="0"/>
    <n v="952.99"/>
    <n v="2926.51"/>
    <n v="3570.13"/>
    <n v="17.86"/>
    <n v="75.72"/>
    <n v="182.28"/>
    <n v="1545.61"/>
    <n v="0.44"/>
    <n v="0"/>
    <n v="11.55"/>
    <n v="307.39"/>
    <n v="22.93"/>
    <x v="46"/>
  </r>
  <r>
    <d v="2025-07-14T12:00:00"/>
    <n v="-292.61"/>
    <n v="-657.06"/>
    <n v="-520.09"/>
    <n v="644.71"/>
    <n v="3325.91"/>
    <n v="9.8000000000000007"/>
    <n v="0"/>
    <n v="38.18"/>
    <n v="275.94"/>
    <n v="0"/>
    <n v="940.11"/>
    <n v="2611.9499999999998"/>
    <n v="3687.66"/>
    <n v="18.03"/>
    <n v="100.25"/>
    <n v="168.33"/>
    <n v="1505.37"/>
    <n v="0.39"/>
    <n v="0"/>
    <n v="11.49"/>
    <n v="301.51"/>
    <n v="-18"/>
    <x v="47"/>
  </r>
  <r>
    <d v="2025-07-14T12:30:00"/>
    <n v="-403.44"/>
    <n v="-655.29999999999995"/>
    <n v="-447.76"/>
    <n v="764.03"/>
    <n v="3347.89"/>
    <n v="7.17"/>
    <n v="0"/>
    <n v="37.9"/>
    <n v="47.4"/>
    <n v="0"/>
    <n v="1044"/>
    <n v="2359.9499999999998"/>
    <n v="3701.36"/>
    <n v="18.55"/>
    <n v="90.97"/>
    <n v="204.01"/>
    <n v="1515.19"/>
    <n v="0.35"/>
    <n v="0"/>
    <n v="11.41"/>
    <n v="311.52"/>
    <n v="-19.690000000000001"/>
    <x v="0"/>
  </r>
  <r>
    <d v="2025-07-14T13:00:00"/>
    <n v="-473.85"/>
    <n v="-654.79999999999995"/>
    <n v="-440.61"/>
    <n v="757.75"/>
    <n v="3353.05"/>
    <n v="6.59"/>
    <n v="0"/>
    <n v="37.869999999999997"/>
    <n v="1.51"/>
    <n v="0"/>
    <n v="1128.8499999999999"/>
    <n v="2382.64"/>
    <n v="3594.25"/>
    <n v="19.079999999999998"/>
    <n v="88.9"/>
    <n v="204.82"/>
    <n v="1517.51"/>
    <n v="0.34"/>
    <n v="0"/>
    <n v="11.4"/>
    <n v="315.52999999999997"/>
    <n v="-14.01"/>
    <x v="1"/>
  </r>
  <r>
    <d v="2025-07-14T13:30:00"/>
    <n v="-248.12"/>
    <n v="-655.72"/>
    <n v="-470.68"/>
    <n v="747.46"/>
    <n v="3321.31"/>
    <n v="6.74"/>
    <n v="0"/>
    <n v="37.799999999999997"/>
    <n v="0.09"/>
    <n v="0"/>
    <n v="1011.38"/>
    <n v="2442.44"/>
    <n v="3387.69"/>
    <n v="18.989999999999998"/>
    <n v="95.3"/>
    <n v="197.07"/>
    <n v="1503.36"/>
    <n v="0.34"/>
    <n v="0"/>
    <n v="11.38"/>
    <n v="316.29000000000002"/>
    <n v="-14.01"/>
    <x v="2"/>
  </r>
  <r>
    <d v="2025-07-14T14:00:00"/>
    <n v="-35.68"/>
    <n v="-653.5"/>
    <n v="-477.19"/>
    <n v="785.57"/>
    <n v="3353.2"/>
    <n v="6.09"/>
    <n v="1.33"/>
    <n v="37.9"/>
    <n v="0.33"/>
    <n v="0"/>
    <n v="910.82"/>
    <n v="2422.38"/>
    <n v="3085.14"/>
    <n v="19.32"/>
    <n v="98.6"/>
    <n v="206.98"/>
    <n v="1517.61"/>
    <n v="0.33"/>
    <n v="0.25"/>
    <n v="11.41"/>
    <n v="324.19"/>
    <n v="-18"/>
    <x v="3"/>
  </r>
  <r>
    <d v="2025-07-14T14:30:00"/>
    <n v="-3.48"/>
    <n v="-653.39"/>
    <n v="-450.68"/>
    <n v="758.32"/>
    <n v="3396.13"/>
    <n v="6.7"/>
    <n v="14.5"/>
    <n v="37.86"/>
    <n v="143.33000000000001"/>
    <n v="0"/>
    <n v="911.78"/>
    <n v="2449.9299999999998"/>
    <n v="2714.41"/>
    <n v="19.489999999999998"/>
    <n v="91.73"/>
    <n v="196.22"/>
    <n v="1536.68"/>
    <n v="0.34"/>
    <n v="2.7"/>
    <n v="11.4"/>
    <n v="332.66"/>
    <n v="-17.5"/>
    <x v="4"/>
  </r>
  <r>
    <d v="2025-07-14T15:00:00"/>
    <n v="-53.08"/>
    <n v="-639.83000000000004"/>
    <n v="-394"/>
    <n v="894.25"/>
    <n v="3611.65"/>
    <n v="6.89"/>
    <n v="17.329999999999998"/>
    <n v="37.880000000000003"/>
    <n v="281.5"/>
    <n v="0"/>
    <n v="948.64"/>
    <n v="2426.56"/>
    <n v="2221.29"/>
    <n v="19.46"/>
    <n v="81.3"/>
    <n v="223.55"/>
    <n v="1632.81"/>
    <n v="0.35"/>
    <n v="3.22"/>
    <n v="11.41"/>
    <n v="352.13"/>
    <n v="-14.99"/>
    <x v="5"/>
  </r>
  <r>
    <d v="2025-07-14T15:30:00"/>
    <n v="-118.18"/>
    <n v="-572.38"/>
    <n v="-300.33"/>
    <n v="743.74"/>
    <n v="4298.8100000000004"/>
    <n v="8.69"/>
    <n v="37"/>
    <n v="37.799999999999997"/>
    <n v="245.71"/>
    <n v="0"/>
    <n v="981.61"/>
    <n v="2378.91"/>
    <n v="1656.36"/>
    <n v="18.18"/>
    <n v="68.11"/>
    <n v="183.84"/>
    <n v="1938.09"/>
    <n v="0.4"/>
    <n v="6.88"/>
    <n v="11.38"/>
    <n v="416.43"/>
    <n v="-14.05"/>
    <x v="6"/>
  </r>
  <r>
    <d v="2025-07-14T16:00:00"/>
    <n v="-371.88"/>
    <n v="-254.63"/>
    <n v="-314.72000000000003"/>
    <n v="828.73"/>
    <n v="5171.8599999999997"/>
    <n v="0.46"/>
    <n v="181.67"/>
    <n v="39.65"/>
    <n v="15.72"/>
    <n v="0"/>
    <n v="954.63"/>
    <n v="2025.63"/>
    <n v="1067.83"/>
    <n v="16.37"/>
    <n v="86.44"/>
    <n v="217.63"/>
    <n v="2330.5700000000002"/>
    <n v="0.43"/>
    <n v="33.770000000000003"/>
    <n v="11.94"/>
    <n v="508.66"/>
    <n v="38.6"/>
    <x v="7"/>
  </r>
  <r>
    <d v="2025-07-14T16:30:00"/>
    <n v="-303.89999999999998"/>
    <n v="0"/>
    <n v="-198.04"/>
    <n v="890.41"/>
    <n v="6325.23"/>
    <n v="-1.73"/>
    <n v="199.5"/>
    <n v="47.35"/>
    <n v="8.73"/>
    <n v="0"/>
    <n v="873.6"/>
    <n v="1067.3399999999999"/>
    <n v="535.07000000000005"/>
    <n v="15.4"/>
    <n v="65.62"/>
    <n v="273.24"/>
    <n v="2854.43"/>
    <n v="0.44"/>
    <n v="37.090000000000003"/>
    <n v="14.51"/>
    <n v="615.54999999999995"/>
    <n v="61.64"/>
    <x v="8"/>
  </r>
  <r>
    <d v="2025-07-14T17:00:00"/>
    <n v="-53.59"/>
    <n v="0"/>
    <n v="-265.77999999999997"/>
    <n v="742.64"/>
    <n v="7169.81"/>
    <n v="-1.71"/>
    <n v="400"/>
    <n v="475.02"/>
    <n v="19.29"/>
    <n v="340.54"/>
    <n v="806.58"/>
    <n v="212.16"/>
    <n v="156.63"/>
    <n v="14.94"/>
    <n v="97.66"/>
    <n v="249.93"/>
    <n v="3240.67"/>
    <n v="0.44"/>
    <n v="74.36"/>
    <n v="154.25"/>
    <n v="693.83"/>
    <n v="174.6"/>
    <x v="9"/>
  </r>
  <r>
    <d v="2025-07-14T17:30:00"/>
    <n v="-8.41"/>
    <n v="0"/>
    <n v="-239.5"/>
    <n v="743.34"/>
    <n v="7371.24"/>
    <n v="-1.51"/>
    <n v="443.83"/>
    <n v="980.74"/>
    <n v="80.709999999999994"/>
    <n v="532.32000000000005"/>
    <n v="735.13"/>
    <n v="5.21"/>
    <n v="18.329999999999998"/>
    <n v="14.64"/>
    <n v="87.87"/>
    <n v="258.17"/>
    <n v="3336.18"/>
    <n v="0.44"/>
    <n v="82.51"/>
    <n v="312.17"/>
    <n v="699.96"/>
    <n v="173.02"/>
    <x v="10"/>
  </r>
  <r>
    <d v="2025-07-14T18:00:00"/>
    <n v="-10.9"/>
    <n v="0"/>
    <n v="-19.45"/>
    <n v="888.89"/>
    <n v="7437.64"/>
    <n v="-1.55"/>
    <n v="442.83"/>
    <n v="1022.08"/>
    <n v="147.34"/>
    <n v="581.86"/>
    <n v="698.01"/>
    <n v="0.04"/>
    <n v="0.27"/>
    <n v="14.46"/>
    <n v="7.19"/>
    <n v="312.63"/>
    <n v="3368.71"/>
    <n v="0.44"/>
    <n v="82.32"/>
    <n v="323.49"/>
    <n v="674.88"/>
    <n v="210.1"/>
    <x v="11"/>
  </r>
  <r>
    <d v="2025-07-14T18:30:00"/>
    <n v="-5.97"/>
    <n v="0"/>
    <n v="0"/>
    <n v="901.02"/>
    <n v="7437.2"/>
    <n v="-1.6"/>
    <n v="441.83"/>
    <n v="1039.98"/>
    <n v="232.35"/>
    <n v="607.35"/>
    <n v="757.01"/>
    <n v="0.04"/>
    <n v="0"/>
    <n v="13.88"/>
    <n v="0"/>
    <n v="319.14"/>
    <n v="3368.29"/>
    <n v="0.44"/>
    <n v="82.14"/>
    <n v="328.52"/>
    <n v="662.51"/>
    <n v="226.15"/>
    <x v="12"/>
  </r>
  <r>
    <d v="2025-07-14T19:00:00"/>
    <n v="-7.68"/>
    <n v="0"/>
    <n v="0"/>
    <n v="852.39"/>
    <n v="7414.18"/>
    <n v="-1.92"/>
    <n v="442.33"/>
    <n v="1035.82"/>
    <n v="158.43"/>
    <n v="606.84"/>
    <n v="899.33"/>
    <n v="0.04"/>
    <n v="0"/>
    <n v="13.34"/>
    <n v="0"/>
    <n v="299.93"/>
    <n v="3357.26"/>
    <n v="0.44"/>
    <n v="82.23"/>
    <n v="327.08999999999997"/>
    <n v="660.89"/>
    <n v="155.22999999999999"/>
    <x v="13"/>
  </r>
  <r>
    <d v="2025-07-14T19:30:00"/>
    <n v="-5.16"/>
    <n v="0"/>
    <n v="0"/>
    <n v="767.93"/>
    <n v="7423.35"/>
    <n v="-1.74"/>
    <n v="443.83"/>
    <n v="1023.49"/>
    <n v="98.18"/>
    <n v="607.63"/>
    <n v="982.25"/>
    <n v="0.04"/>
    <n v="0"/>
    <n v="12.79"/>
    <n v="0"/>
    <n v="274.37"/>
    <n v="3361.38"/>
    <n v="0.45"/>
    <n v="82.51"/>
    <n v="323.79000000000002"/>
    <n v="664.58"/>
    <n v="153.5"/>
    <x v="14"/>
  </r>
  <r>
    <d v="2025-07-14T20:00:00"/>
    <n v="-6.88"/>
    <n v="0"/>
    <n v="0"/>
    <n v="830.23"/>
    <n v="7430.95"/>
    <n v="-2.23"/>
    <n v="451.17"/>
    <n v="963.58"/>
    <n v="17.59"/>
    <n v="566.23"/>
    <n v="906.66"/>
    <n v="0.04"/>
    <n v="0"/>
    <n v="11.83"/>
    <n v="0"/>
    <n v="296.45"/>
    <n v="3365.1"/>
    <n v="0.44"/>
    <n v="83.87"/>
    <n v="306.77999999999997"/>
    <n v="673.31"/>
    <n v="150.07"/>
    <x v="15"/>
  </r>
  <r>
    <d v="2025-07-14T20:30:00"/>
    <n v="-4.63"/>
    <n v="0"/>
    <n v="0"/>
    <n v="889.51"/>
    <n v="7436"/>
    <n v="-0.23"/>
    <n v="451.83"/>
    <n v="822.62"/>
    <n v="2"/>
    <n v="360.47"/>
    <n v="958.46"/>
    <n v="0.04"/>
    <n v="0"/>
    <n v="11.15"/>
    <n v="0"/>
    <n v="317.33"/>
    <n v="3367.85"/>
    <n v="0.44"/>
    <n v="84"/>
    <n v="267.27"/>
    <n v="681.48"/>
    <n v="140.38"/>
    <x v="16"/>
  </r>
  <r>
    <d v="2025-07-14T21:00:00"/>
    <n v="-6.52"/>
    <n v="0"/>
    <n v="0"/>
    <n v="852.13"/>
    <n v="7435.9"/>
    <n v="-0.18"/>
    <n v="451.83"/>
    <n v="641.17999999999995"/>
    <n v="2.0699999999999998"/>
    <n v="385.38"/>
    <n v="938.8"/>
    <n v="0.04"/>
    <n v="0"/>
    <n v="10.58"/>
    <n v="0"/>
    <n v="305.82"/>
    <n v="3367.96"/>
    <n v="0.44"/>
    <n v="84"/>
    <n v="216.1"/>
    <n v="685.66"/>
    <n v="150.07"/>
    <x v="17"/>
  </r>
  <r>
    <d v="2025-07-14T21:30:00"/>
    <n v="-9.9499999999999993"/>
    <n v="0"/>
    <n v="0"/>
    <n v="733.74"/>
    <n v="7432.86"/>
    <n v="-0.37"/>
    <n v="448.17"/>
    <n v="359.13"/>
    <n v="0.06"/>
    <n v="505.2"/>
    <n v="1015.38"/>
    <n v="0.04"/>
    <n v="0"/>
    <n v="10.34"/>
    <n v="0"/>
    <n v="271.13"/>
    <n v="3366.3"/>
    <n v="0.44"/>
    <n v="83.31"/>
    <n v="136.63"/>
    <n v="684.2"/>
    <n v="124.24"/>
    <x v="18"/>
  </r>
  <r>
    <d v="2025-07-14T22:00:00"/>
    <n v="-33.520000000000003"/>
    <n v="0"/>
    <n v="-0.71"/>
    <n v="614.34"/>
    <n v="7398.19"/>
    <n v="0.05"/>
    <n v="449.5"/>
    <n v="340.06"/>
    <n v="1.25"/>
    <n v="317.8"/>
    <n v="1087.1199999999999"/>
    <n v="0.04"/>
    <n v="0"/>
    <n v="10.34"/>
    <n v="0.26"/>
    <n v="227.44"/>
    <n v="3348.77"/>
    <n v="0.44"/>
    <n v="83.56"/>
    <n v="129.12"/>
    <n v="700.19"/>
    <n v="100.02"/>
    <x v="19"/>
  </r>
  <r>
    <d v="2025-07-14T22:30:00"/>
    <n v="-9.76"/>
    <n v="0"/>
    <n v="-26.18"/>
    <n v="567.85"/>
    <n v="7405.01"/>
    <n v="-0.48"/>
    <n v="450.83"/>
    <n v="56.61"/>
    <n v="0.87"/>
    <n v="486.3"/>
    <n v="1082.3599999999999"/>
    <n v="0.04"/>
    <n v="0"/>
    <n v="9.98"/>
    <n v="9.51"/>
    <n v="212.78"/>
    <n v="3351.72"/>
    <n v="0.44"/>
    <n v="83.81"/>
    <n v="18.12"/>
    <n v="689.89"/>
    <n v="110.83"/>
    <x v="20"/>
  </r>
  <r>
    <d v="2025-07-14T23:00:00"/>
    <n v="-21.79"/>
    <n v="0"/>
    <n v="-79.430000000000007"/>
    <n v="553.71"/>
    <n v="7391.56"/>
    <n v="-0.56000000000000005"/>
    <n v="446.17"/>
    <n v="44.47"/>
    <n v="0.96"/>
    <n v="255.87"/>
    <n v="1114.56"/>
    <n v="0.04"/>
    <n v="0"/>
    <n v="9.8699999999999992"/>
    <n v="29.5"/>
    <n v="206.75"/>
    <n v="3345.74"/>
    <n v="0.44"/>
    <n v="82.94"/>
    <n v="13.39"/>
    <n v="709.39"/>
    <n v="95.27"/>
    <x v="21"/>
  </r>
  <r>
    <d v="2025-07-14T23:30:00"/>
    <n v="-36.96"/>
    <n v="0"/>
    <n v="-52.28"/>
    <n v="522.4"/>
    <n v="7296.79"/>
    <n v="-0.33"/>
    <n v="440"/>
    <n v="44.39"/>
    <n v="0.49"/>
    <n v="158.85"/>
    <n v="1073.1500000000001"/>
    <n v="0.04"/>
    <n v="0"/>
    <n v="9.6300000000000008"/>
    <n v="19.649999999999999"/>
    <n v="196.4"/>
    <n v="3303.52"/>
    <n v="0.44"/>
    <n v="81.8"/>
    <n v="13.37"/>
    <n v="719.65"/>
    <n v="100.02"/>
    <x v="22"/>
  </r>
  <r>
    <d v="2025-07-15T00:00:00"/>
    <n v="-19.12"/>
    <n v="0"/>
    <n v="-93.73"/>
    <n v="424.58"/>
    <n v="7146.93"/>
    <n v="-0.41"/>
    <n v="308.5"/>
    <n v="44.6"/>
    <n v="0.34"/>
    <n v="122.72"/>
    <n v="1072.5999999999999"/>
    <n v="0.04"/>
    <n v="0"/>
    <n v="9.41"/>
    <n v="35.619999999999997"/>
    <n v="156.82"/>
    <n v="3236.63"/>
    <n v="0.44"/>
    <n v="57.35"/>
    <n v="13.43"/>
    <n v="734.5"/>
    <n v="85.21"/>
    <x v="23"/>
  </r>
  <r>
    <d v="2025-07-15T00:30:00"/>
    <n v="-21.55"/>
    <n v="0"/>
    <n v="-95.08"/>
    <n v="324.01"/>
    <n v="7147.07"/>
    <n v="-0.94"/>
    <n v="195.33"/>
    <n v="44.65"/>
    <n v="0.37"/>
    <n v="119.14"/>
    <n v="911.54"/>
    <n v="0.04"/>
    <n v="0"/>
    <n v="9.1300000000000008"/>
    <n v="37"/>
    <n v="117.55"/>
    <n v="3236.67"/>
    <n v="0.44"/>
    <n v="36.31"/>
    <n v="13.45"/>
    <n v="762.21"/>
    <n v="85.12"/>
    <x v="24"/>
  </r>
  <r>
    <d v="2025-07-15T01:00:00"/>
    <n v="-21.09"/>
    <n v="0"/>
    <n v="-77.48"/>
    <n v="333.31"/>
    <n v="7127.96"/>
    <n v="-0.92"/>
    <n v="190"/>
    <n v="44.75"/>
    <n v="0.54"/>
    <n v="110.71"/>
    <n v="777.82"/>
    <n v="0.04"/>
    <n v="0"/>
    <n v="8.83"/>
    <n v="30.71"/>
    <n v="120.78"/>
    <n v="3228.12"/>
    <n v="0.44"/>
    <n v="35.32"/>
    <n v="13.48"/>
    <n v="772.45"/>
    <n v="86.24"/>
    <x v="25"/>
  </r>
  <r>
    <d v="2025-07-15T01:30:00"/>
    <n v="-13.15"/>
    <n v="-67.53"/>
    <n v="-106.28"/>
    <n v="326.72000000000003"/>
    <n v="7094.64"/>
    <n v="-0.83"/>
    <n v="190.17"/>
    <n v="44.91"/>
    <n v="0.25"/>
    <n v="103.52"/>
    <n v="699.34"/>
    <n v="0.04"/>
    <n v="0"/>
    <n v="8.6199999999999992"/>
    <n v="42.12"/>
    <n v="118.98"/>
    <n v="3213.33"/>
    <n v="0.44"/>
    <n v="35.35"/>
    <n v="13.52"/>
    <n v="788.86"/>
    <n v="86.45"/>
    <x v="26"/>
  </r>
  <r>
    <d v="2025-07-15T02:00:00"/>
    <n v="-36.590000000000003"/>
    <n v="-80.69"/>
    <n v="-96.14"/>
    <n v="365.31"/>
    <n v="6718.34"/>
    <n v="-0.88"/>
    <n v="190.5"/>
    <n v="44.97"/>
    <n v="0.28999999999999998"/>
    <n v="43.12"/>
    <n v="808.09"/>
    <n v="0.04"/>
    <n v="0"/>
    <n v="8.4700000000000006"/>
    <n v="37.61"/>
    <n v="133.09"/>
    <n v="3045.06"/>
    <n v="0.44"/>
    <n v="35.409999999999997"/>
    <n v="13.54"/>
    <n v="777.86"/>
    <n v="75.13"/>
    <x v="27"/>
  </r>
  <r>
    <d v="2025-07-15T02:30:00"/>
    <n v="-160.09"/>
    <n v="-80.63"/>
    <n v="-5.42"/>
    <n v="386.38"/>
    <n v="6540.19"/>
    <n v="-0.84"/>
    <n v="190.17"/>
    <n v="45.02"/>
    <n v="3.79"/>
    <n v="14.02"/>
    <n v="800.59"/>
    <n v="0.04"/>
    <n v="0"/>
    <n v="8.73"/>
    <n v="2.11"/>
    <n v="146.76"/>
    <n v="2966.01"/>
    <n v="0.44"/>
    <n v="35.35"/>
    <n v="13.56"/>
    <n v="779.84"/>
    <n v="76.8"/>
    <x v="28"/>
  </r>
  <r>
    <d v="2025-07-15T03:00:00"/>
    <n v="-104.48"/>
    <n v="-80.709999999999994"/>
    <n v="-3.12"/>
    <n v="398.01"/>
    <n v="6419.66"/>
    <n v="-0.62"/>
    <n v="190.17"/>
    <n v="44.9"/>
    <n v="3.86"/>
    <n v="14.05"/>
    <n v="717.32"/>
    <n v="0.04"/>
    <n v="0"/>
    <n v="8.82"/>
    <n v="1.23"/>
    <n v="155.72999999999999"/>
    <n v="2911.68"/>
    <n v="0.44"/>
    <n v="35.35"/>
    <n v="13.52"/>
    <n v="779.3"/>
    <n v="76.8"/>
    <x v="29"/>
  </r>
  <r>
    <d v="2025-07-15T03:30:00"/>
    <n v="-73.5"/>
    <n v="-80.64"/>
    <n v="0"/>
    <n v="580.14"/>
    <n v="6256.13"/>
    <n v="-0.88"/>
    <n v="190.17"/>
    <n v="44.78"/>
    <n v="0.03"/>
    <n v="17.57"/>
    <n v="700.78"/>
    <n v="0.04"/>
    <n v="0"/>
    <n v="9.0299999999999994"/>
    <n v="0"/>
    <n v="229.59"/>
    <n v="2835.56"/>
    <n v="0.44"/>
    <n v="35.35"/>
    <n v="13.48"/>
    <n v="755.73"/>
    <n v="76.3"/>
    <x v="30"/>
  </r>
  <r>
    <d v="2025-07-15T04:00:00"/>
    <n v="-203.92"/>
    <n v="-80.66"/>
    <n v="0"/>
    <n v="564.89"/>
    <n v="6318.02"/>
    <n v="-0.7"/>
    <n v="190.17"/>
    <n v="43.49"/>
    <n v="0.57999999999999996"/>
    <n v="0"/>
    <n v="777.11"/>
    <n v="0.04"/>
    <n v="0"/>
    <n v="8.93"/>
    <n v="0"/>
    <n v="225.74"/>
    <n v="2863.55"/>
    <n v="0.44"/>
    <n v="35.35"/>
    <n v="13.09"/>
    <n v="765.52"/>
    <n v="76.58"/>
    <x v="31"/>
  </r>
  <r>
    <d v="2025-07-15T04:30:00"/>
    <n v="-255.16"/>
    <n v="-67.19"/>
    <n v="0"/>
    <n v="512.38"/>
    <n v="6334.44"/>
    <n v="-0.88"/>
    <n v="190.17"/>
    <n v="43.71"/>
    <n v="4.05"/>
    <n v="0"/>
    <n v="955.64"/>
    <n v="0.04"/>
    <n v="0"/>
    <n v="8.9"/>
    <n v="0"/>
    <n v="206.53"/>
    <n v="2869.23"/>
    <n v="0.44"/>
    <n v="35.35"/>
    <n v="13.16"/>
    <n v="756.28"/>
    <n v="74.790000000000006"/>
    <x v="32"/>
  </r>
  <r>
    <d v="2025-07-15T05:00:00"/>
    <n v="-152.51"/>
    <n v="0"/>
    <n v="-16.48"/>
    <n v="401.44"/>
    <n v="6376.07"/>
    <n v="-0.74"/>
    <n v="198.17"/>
    <n v="44.22"/>
    <n v="1.85"/>
    <n v="28.8"/>
    <n v="1134.6600000000001"/>
    <n v="0.04"/>
    <n v="0"/>
    <n v="8.8800000000000008"/>
    <n v="6.35"/>
    <n v="164.24"/>
    <n v="2884.5"/>
    <n v="0.44"/>
    <n v="36.840000000000003"/>
    <n v="13.31"/>
    <n v="732.36"/>
    <n v="73.25"/>
    <x v="33"/>
  </r>
  <r>
    <d v="2025-07-15T05:30:00"/>
    <n v="-127.28"/>
    <n v="0"/>
    <n v="-271.64999999999998"/>
    <n v="194.56"/>
    <n v="6874.18"/>
    <n v="-0.11"/>
    <n v="297.67"/>
    <n v="44.19"/>
    <n v="0.38"/>
    <n v="135.81"/>
    <n v="1342.23"/>
    <n v="0.04"/>
    <n v="0"/>
    <n v="8.65"/>
    <n v="99.85"/>
    <n v="81.99"/>
    <n v="3113.02"/>
    <n v="0.44"/>
    <n v="55.34"/>
    <n v="13.31"/>
    <n v="749.61"/>
    <n v="83.87"/>
    <x v="34"/>
  </r>
  <r>
    <d v="2025-07-15T06:00:00"/>
    <n v="-6.98"/>
    <n v="0"/>
    <n v="-528.04"/>
    <n v="35.39"/>
    <n v="7283"/>
    <n v="-0.3"/>
    <n v="306.83"/>
    <n v="42.77"/>
    <n v="6.6"/>
    <n v="261.24"/>
    <n v="1525.44"/>
    <n v="0.04"/>
    <n v="0"/>
    <n v="8.57"/>
    <n v="188.22"/>
    <n v="15.56"/>
    <n v="3297.29"/>
    <n v="0.44"/>
    <n v="57.04"/>
    <n v="13.08"/>
    <n v="754.62"/>
    <n v="90.66"/>
    <x v="35"/>
  </r>
  <r>
    <d v="2025-07-15T06:30:00"/>
    <n v="-2.31"/>
    <n v="0"/>
    <n v="-595.59"/>
    <n v="0"/>
    <n v="7400.33"/>
    <n v="-2.27"/>
    <n v="443.83"/>
    <n v="173.25"/>
    <n v="40.520000000000003"/>
    <n v="705.19"/>
    <n v="1567.48"/>
    <n v="0.04"/>
    <n v="0.18"/>
    <n v="8.3800000000000008"/>
    <n v="200.36"/>
    <n v="0"/>
    <n v="3349.79"/>
    <n v="0.44"/>
    <n v="82.51"/>
    <n v="49.82"/>
    <n v="715.79"/>
    <n v="113.84"/>
    <x v="36"/>
  </r>
  <r>
    <d v="2025-07-15T07:00:00"/>
    <n v="-2.91"/>
    <n v="0"/>
    <n v="-525.15"/>
    <n v="0"/>
    <n v="7453.31"/>
    <n v="-1.19"/>
    <n v="450"/>
    <n v="389.81"/>
    <n v="139.94"/>
    <n v="771.76"/>
    <n v="1591.65"/>
    <n v="1.56"/>
    <n v="4.2699999999999996"/>
    <n v="8.6"/>
    <n v="174.19"/>
    <n v="0"/>
    <n v="3376"/>
    <n v="0.44"/>
    <n v="83.66"/>
    <n v="130.49"/>
    <n v="699.03"/>
    <n v="144.66"/>
    <x v="37"/>
  </r>
  <r>
    <d v="2025-07-15T07:30:00"/>
    <n v="-1.6"/>
    <n v="0"/>
    <n v="-396.19"/>
    <n v="0"/>
    <n v="7456.8"/>
    <n v="-0.82"/>
    <n v="450"/>
    <n v="526.04999999999995"/>
    <n v="266.73"/>
    <n v="780.94"/>
    <n v="1593.9"/>
    <n v="31.01"/>
    <n v="34.81"/>
    <n v="9.14"/>
    <n v="129.76"/>
    <n v="0"/>
    <n v="3377.67"/>
    <n v="0.44"/>
    <n v="83.66"/>
    <n v="183.71"/>
    <n v="678.76"/>
    <n v="130.34"/>
    <x v="38"/>
  </r>
  <r>
    <d v="2025-07-15T08:00:00"/>
    <n v="-2.98"/>
    <n v="0"/>
    <n v="-234.83"/>
    <n v="0"/>
    <n v="7457.68"/>
    <n v="-0.18"/>
    <n v="449.67"/>
    <n v="525.49"/>
    <n v="194.55"/>
    <n v="741.74"/>
    <n v="1578.1"/>
    <n v="266.44"/>
    <n v="126.03"/>
    <n v="9.65"/>
    <n v="76.13"/>
    <n v="0"/>
    <n v="3377.98"/>
    <n v="0.44"/>
    <n v="83.59"/>
    <n v="183.47"/>
    <n v="656.74"/>
    <n v="136.08000000000001"/>
    <x v="39"/>
  </r>
  <r>
    <d v="2025-07-15T08:30:00"/>
    <n v="-0.01"/>
    <n v="0"/>
    <n v="-8.27"/>
    <n v="303.83999999999997"/>
    <n v="7406.16"/>
    <n v="-2.0099999999999998"/>
    <n v="449.83"/>
    <n v="430.01"/>
    <n v="146.44999999999999"/>
    <n v="193.41"/>
    <n v="1422.89"/>
    <n v="634.34"/>
    <n v="286.56"/>
    <n v="10.07"/>
    <n v="2.76"/>
    <n v="97.72"/>
    <n v="3352.35"/>
    <n v="0.44"/>
    <n v="83.62"/>
    <n v="146.18"/>
    <n v="636.16"/>
    <n v="134.16999999999999"/>
    <x v="40"/>
  </r>
  <r>
    <d v="2025-07-15T09:00:00"/>
    <n v="-3.63"/>
    <n v="0"/>
    <n v="-64.959999999999994"/>
    <n v="715.54"/>
    <n v="7310.86"/>
    <n v="-3.12"/>
    <n v="442.5"/>
    <n v="322.52999999999997"/>
    <n v="30.23"/>
    <n v="72.650000000000006"/>
    <n v="1308.97"/>
    <n v="1091.93"/>
    <n v="518.02"/>
    <n v="10.47"/>
    <n v="21.4"/>
    <n v="224.59"/>
    <n v="3306.8"/>
    <n v="0.44"/>
    <n v="82.26"/>
    <n v="107.32"/>
    <n v="595.63"/>
    <n v="134.69"/>
    <x v="41"/>
  </r>
  <r>
    <d v="2025-07-15T09:30:00"/>
    <n v="-5.25"/>
    <n v="0"/>
    <n v="-83.46"/>
    <n v="820.01"/>
    <n v="7183.54"/>
    <n v="4.5"/>
    <n v="448.83"/>
    <n v="202.9"/>
    <n v="2.73"/>
    <n v="0"/>
    <n v="1227.52"/>
    <n v="1213.27"/>
    <n v="716.74"/>
    <n v="10.87"/>
    <n v="27.39"/>
    <n v="248.32"/>
    <n v="3247.14"/>
    <n v="0.44"/>
    <n v="83.44"/>
    <n v="58.04"/>
    <n v="577.78"/>
    <n v="105.74"/>
    <x v="42"/>
  </r>
  <r>
    <d v="2025-07-15T10:00:00"/>
    <n v="-2.91"/>
    <n v="0"/>
    <n v="-58.73"/>
    <n v="789.49"/>
    <n v="7298.68"/>
    <n v="10.39"/>
    <n v="449.67"/>
    <n v="57.49"/>
    <n v="32.299999999999997"/>
    <n v="0"/>
    <n v="1129.9100000000001"/>
    <n v="1122.7"/>
    <n v="893.4"/>
    <n v="11.25"/>
    <n v="19.760000000000002"/>
    <n v="225.24"/>
    <n v="3302.52"/>
    <n v="0.44"/>
    <n v="83.59"/>
    <n v="17.010000000000002"/>
    <n v="580.69000000000005"/>
    <n v="190.2"/>
    <x v="43"/>
  </r>
  <r>
    <d v="2025-07-15T10:30:00"/>
    <n v="-3.08"/>
    <n v="0"/>
    <n v="-187.26"/>
    <n v="897.18"/>
    <n v="7071.56"/>
    <n v="13.03"/>
    <n v="448.5"/>
    <n v="41.71"/>
    <n v="14.56"/>
    <n v="0"/>
    <n v="1128.6500000000001"/>
    <n v="1278.72"/>
    <n v="1046.19"/>
    <n v="11.48"/>
    <n v="60.92"/>
    <n v="261.79000000000002"/>
    <n v="3200.2"/>
    <n v="0.44"/>
    <n v="83.38"/>
    <n v="12.56"/>
    <n v="561.13"/>
    <n v="118.95"/>
    <x v="44"/>
  </r>
  <r>
    <d v="2025-07-15T11:00:00"/>
    <n v="-18"/>
    <n v="-67.22"/>
    <n v="-187.7"/>
    <n v="692.13"/>
    <n v="6796.41"/>
    <n v="10.81"/>
    <n v="442.17"/>
    <n v="41.62"/>
    <n v="186.4"/>
    <n v="0"/>
    <n v="1198.98"/>
    <n v="1638.2"/>
    <n v="1204.76"/>
    <n v="11.68"/>
    <n v="57.22"/>
    <n v="200.57"/>
    <n v="3075.56"/>
    <n v="0.41"/>
    <n v="82.2"/>
    <n v="12.53"/>
    <n v="531.16999999999996"/>
    <n v="100.48"/>
    <x v="45"/>
  </r>
  <r>
    <d v="2025-07-15T11:30:00"/>
    <n v="-36.04"/>
    <n v="-80.680000000000007"/>
    <n v="-208.57"/>
    <n v="770.53"/>
    <n v="6706.88"/>
    <n v="8.76"/>
    <n v="271.83"/>
    <n v="41.34"/>
    <n v="276.32"/>
    <n v="0"/>
    <n v="1211.49"/>
    <n v="1456.71"/>
    <n v="1330.27"/>
    <n v="11.91"/>
    <n v="64.209999999999994"/>
    <n v="219.38"/>
    <n v="3035.64"/>
    <n v="0.37"/>
    <n v="50.53"/>
    <n v="12.45"/>
    <n v="527.54"/>
    <n v="99.44"/>
    <x v="46"/>
  </r>
  <r>
    <d v="2025-07-15T12:00:00"/>
    <n v="-171.54"/>
    <n v="-80.61"/>
    <n v="-262.39999999999998"/>
    <n v="752.48"/>
    <n v="6683.2"/>
    <n v="10.55"/>
    <n v="151.83000000000001"/>
    <n v="42.69"/>
    <n v="140.53"/>
    <n v="0"/>
    <n v="1184.02"/>
    <n v="1517.83"/>
    <n v="1531.68"/>
    <n v="12.37"/>
    <n v="81.36"/>
    <n v="215.16"/>
    <n v="3026.7"/>
    <n v="0.4"/>
    <n v="28.23"/>
    <n v="12.85"/>
    <n v="533.58000000000004"/>
    <n v="99.93"/>
    <x v="47"/>
  </r>
  <r>
    <d v="2025-07-15T12:30:00"/>
    <n v="-335.08"/>
    <n v="-80.64"/>
    <n v="-311.8"/>
    <n v="725.85"/>
    <n v="6809.4"/>
    <n v="11.8"/>
    <n v="199.17"/>
    <n v="43.52"/>
    <n v="1.1000000000000001"/>
    <n v="0"/>
    <n v="1205.7"/>
    <n v="1423.55"/>
    <n v="1862.29"/>
    <n v="13.04"/>
    <n v="99.96"/>
    <n v="205.33"/>
    <n v="3084.84"/>
    <n v="0.42"/>
    <n v="37.03"/>
    <n v="13.1"/>
    <n v="542.70000000000005"/>
    <n v="103.73"/>
    <x v="0"/>
  </r>
  <r>
    <d v="2025-07-15T13:00:00"/>
    <n v="-295"/>
    <n v="-80.47"/>
    <n v="-423.77"/>
    <n v="594.37"/>
    <n v="6867.09"/>
    <n v="10.96"/>
    <n v="190.17"/>
    <n v="43.74"/>
    <n v="1.71"/>
    <n v="0"/>
    <n v="1253.3800000000001"/>
    <n v="1435.14"/>
    <n v="2085.71"/>
    <n v="13.7"/>
    <n v="135.18"/>
    <n v="169.57"/>
    <n v="3107.15"/>
    <n v="0.4"/>
    <n v="35.35"/>
    <n v="13.17"/>
    <n v="540.28"/>
    <n v="92.31"/>
    <x v="1"/>
  </r>
  <r>
    <d v="2025-07-15T13:30:00"/>
    <n v="-142.77000000000001"/>
    <n v="-80.540000000000006"/>
    <n v="-420.83"/>
    <n v="554.54"/>
    <n v="6861.4"/>
    <n v="8.0399999999999991"/>
    <n v="190"/>
    <n v="44.38"/>
    <n v="0.14000000000000001"/>
    <n v="0"/>
    <n v="1200.22"/>
    <n v="1227.99"/>
    <n v="2080.25"/>
    <n v="13.97"/>
    <n v="137.79"/>
    <n v="159.34"/>
    <n v="3104.53"/>
    <n v="0.38"/>
    <n v="35.32"/>
    <n v="13.36"/>
    <n v="547.36"/>
    <n v="90.24"/>
    <x v="2"/>
  </r>
  <r>
    <d v="2025-07-15T14:00:00"/>
    <n v="-139.22"/>
    <n v="-67.069999999999993"/>
    <n v="-325.36"/>
    <n v="470.53"/>
    <n v="6880.14"/>
    <n v="8.73"/>
    <n v="190.17"/>
    <n v="43.81"/>
    <n v="48.38"/>
    <n v="0"/>
    <n v="1089.4000000000001"/>
    <n v="1249.6300000000001"/>
    <n v="1862.76"/>
    <n v="14.07"/>
    <n v="107.29"/>
    <n v="140.97"/>
    <n v="3112.88"/>
    <n v="0.36"/>
    <n v="35.35"/>
    <n v="13.19"/>
    <n v="559.02"/>
    <n v="85.68"/>
    <x v="3"/>
  </r>
  <r>
    <d v="2025-07-15T14:30:00"/>
    <n v="-243.01"/>
    <n v="0"/>
    <n v="-285.54000000000002"/>
    <n v="585.94000000000005"/>
    <n v="6908.09"/>
    <n v="8.48"/>
    <n v="190.17"/>
    <n v="44.02"/>
    <n v="49.75"/>
    <n v="0"/>
    <n v="1085.81"/>
    <n v="1174.49"/>
    <n v="1496.72"/>
    <n v="14.01"/>
    <n v="95.76"/>
    <n v="176.94"/>
    <n v="3125.28"/>
    <n v="0.36"/>
    <n v="35.35"/>
    <n v="13.25"/>
    <n v="576.35"/>
    <n v="85.72"/>
    <x v="4"/>
  </r>
  <r>
    <d v="2025-07-15T15:00:00"/>
    <n v="-169.84"/>
    <n v="0"/>
    <n v="-1.7"/>
    <n v="329.01"/>
    <n v="6977.79"/>
    <n v="8.2899999999999991"/>
    <n v="198.17"/>
    <n v="43.92"/>
    <n v="18.43"/>
    <n v="0"/>
    <n v="1100.31"/>
    <n v="1044.1500000000001"/>
    <n v="1198.3900000000001"/>
    <n v="13.9"/>
    <n v="0.57999999999999996"/>
    <n v="102"/>
    <n v="3160.29"/>
    <n v="0.36"/>
    <n v="36.840000000000003"/>
    <n v="13.22"/>
    <n v="597.51"/>
    <n v="93.83"/>
    <x v="5"/>
  </r>
  <r>
    <d v="2025-07-15T15:30:00"/>
    <n v="-166.03"/>
    <n v="0"/>
    <n v="-22.01"/>
    <n v="441.79"/>
    <n v="7024.53"/>
    <n v="8.23"/>
    <n v="317.17"/>
    <n v="43.44"/>
    <n v="144.30000000000001"/>
    <n v="48.93"/>
    <n v="1028.5"/>
    <n v="866.41"/>
    <n v="916.53"/>
    <n v="13.7"/>
    <n v="7.56"/>
    <n v="141.82"/>
    <n v="3181.98"/>
    <n v="0.36"/>
    <n v="58.96"/>
    <n v="13.08"/>
    <n v="611.04999999999995"/>
    <n v="85.8"/>
    <x v="6"/>
  </r>
  <r>
    <d v="2025-07-15T16:00:00"/>
    <n v="-115.04"/>
    <n v="0"/>
    <n v="-14.79"/>
    <n v="426.04"/>
    <n v="7192.34"/>
    <n v="5.2"/>
    <n v="447.5"/>
    <n v="87.34"/>
    <n v="18.46"/>
    <n v="369.14"/>
    <n v="1116.44"/>
    <n v="636.95000000000005"/>
    <n v="585.77"/>
    <n v="13.35"/>
    <n v="5.04"/>
    <n v="140.66999999999999"/>
    <n v="3256.93"/>
    <n v="0.41"/>
    <n v="83.19"/>
    <n v="25.77"/>
    <n v="625.98"/>
    <n v="122.68"/>
    <x v="7"/>
  </r>
  <r>
    <d v="2025-07-15T16:30:00"/>
    <n v="-60.62"/>
    <n v="0"/>
    <n v="-169.46"/>
    <n v="456.03"/>
    <n v="7361.76"/>
    <n v="-2.56"/>
    <n v="450"/>
    <n v="435.09"/>
    <n v="126.24"/>
    <n v="658.29"/>
    <n v="1114.25"/>
    <n v="384.5"/>
    <n v="329.56"/>
    <n v="13.12"/>
    <n v="57.09"/>
    <n v="151.38999999999999"/>
    <n v="3333.87"/>
    <n v="0.44"/>
    <n v="83.66"/>
    <n v="143.53"/>
    <n v="642.69000000000005"/>
    <n v="137.57"/>
    <x v="8"/>
  </r>
  <r>
    <d v="2025-07-15T17:00:00"/>
    <n v="-96.48"/>
    <n v="0"/>
    <n v="-60.01"/>
    <n v="467.9"/>
    <n v="7430.85"/>
    <n v="-1.78"/>
    <n v="449.33"/>
    <n v="861.28"/>
    <n v="116.18"/>
    <n v="975.56"/>
    <n v="1027.3699999999999"/>
    <n v="98.8"/>
    <n v="103.2"/>
    <n v="12.91"/>
    <n v="20.22"/>
    <n v="162.29"/>
    <n v="3364.95"/>
    <n v="0.42"/>
    <n v="83.53"/>
    <n v="278.37"/>
    <n v="655.51"/>
    <n v="175.84"/>
    <x v="9"/>
  </r>
  <r>
    <d v="2025-07-15T17:30:00"/>
    <n v="-133.13999999999999"/>
    <n v="0"/>
    <n v="0"/>
    <n v="569.89"/>
    <n v="7425.79"/>
    <n v="-2.58"/>
    <n v="451.67"/>
    <n v="1037.73"/>
    <n v="186.82"/>
    <n v="1210.01"/>
    <n v="1008.6"/>
    <n v="6.32"/>
    <n v="11.91"/>
    <n v="12.65"/>
    <n v="0"/>
    <n v="209.49"/>
    <n v="3363.85"/>
    <n v="0.41"/>
    <n v="83.97"/>
    <n v="327.92"/>
    <n v="641.49"/>
    <n v="208.37"/>
    <x v="10"/>
  </r>
  <r>
    <d v="2025-07-15T18:00:00"/>
    <n v="-5.15"/>
    <n v="0"/>
    <n v="0"/>
    <n v="1059.2"/>
    <n v="7285.92"/>
    <n v="-2.46"/>
    <n v="450.33"/>
    <n v="1035.6199999999999"/>
    <n v="172.06"/>
    <n v="1262.2"/>
    <n v="1065.6500000000001"/>
    <n v="0.03"/>
    <n v="0.11"/>
    <n v="12.59"/>
    <n v="0"/>
    <n v="379.8"/>
    <n v="3301.45"/>
    <n v="0.41"/>
    <n v="83.72"/>
    <n v="327.14"/>
    <n v="602.54"/>
    <n v="269.77999999999997"/>
    <x v="11"/>
  </r>
  <r>
    <d v="2025-07-15T18:30:00"/>
    <n v="-5.62"/>
    <n v="0"/>
    <n v="0"/>
    <n v="1077.56"/>
    <n v="7043.9"/>
    <n v="-1.97"/>
    <n v="451.83"/>
    <n v="1038.24"/>
    <n v="228.5"/>
    <n v="1389.42"/>
    <n v="1164.3399999999999"/>
    <n v="0.03"/>
    <n v="0"/>
    <n v="12.5"/>
    <n v="0"/>
    <n v="387.46"/>
    <n v="3192.78"/>
    <n v="0.41"/>
    <n v="84"/>
    <n v="328.07"/>
    <n v="582.14"/>
    <n v="203.88"/>
    <x v="12"/>
  </r>
  <r>
    <d v="2025-07-15T19:00:00"/>
    <n v="-6.27"/>
    <n v="0"/>
    <n v="0"/>
    <n v="1066.77"/>
    <n v="7031.93"/>
    <n v="-2.2599999999999998"/>
    <n v="450.83"/>
    <n v="1037.17"/>
    <n v="115.27"/>
    <n v="1339.39"/>
    <n v="1239.46"/>
    <n v="0.03"/>
    <n v="0"/>
    <n v="12.31"/>
    <n v="0"/>
    <n v="379.13"/>
    <n v="3186.75"/>
    <n v="0.42"/>
    <n v="83.81"/>
    <n v="327.58999999999997"/>
    <n v="586.45000000000005"/>
    <n v="153.72"/>
    <x v="13"/>
  </r>
  <r>
    <d v="2025-07-15T19:30:00"/>
    <n v="-17.82"/>
    <n v="0"/>
    <n v="0"/>
    <n v="1049.43"/>
    <n v="7010.03"/>
    <n v="-1.56"/>
    <n v="450.83"/>
    <n v="1036"/>
    <n v="26.49"/>
    <n v="1225.48"/>
    <n v="1337.7"/>
    <n v="0.03"/>
    <n v="0"/>
    <n v="12.01"/>
    <n v="0"/>
    <n v="367.82"/>
    <n v="3177.02"/>
    <n v="0.43"/>
    <n v="83.81"/>
    <n v="327.32"/>
    <n v="592.34"/>
    <n v="193.27"/>
    <x v="14"/>
  </r>
  <r>
    <d v="2025-07-15T20:00:00"/>
    <n v="-12.74"/>
    <n v="0"/>
    <n v="0"/>
    <n v="996.45"/>
    <n v="6974.25"/>
    <n v="-2.63"/>
    <n v="453"/>
    <n v="1028.56"/>
    <n v="2.1800000000000002"/>
    <n v="1143.6500000000001"/>
    <n v="1383.15"/>
    <n v="0.03"/>
    <n v="0"/>
    <n v="11.55"/>
    <n v="0"/>
    <n v="348.18"/>
    <n v="3161.09"/>
    <n v="0.42"/>
    <n v="84.21"/>
    <n v="325.5"/>
    <n v="596.9"/>
    <n v="146.05000000000001"/>
    <x v="15"/>
  </r>
  <r>
    <d v="2025-07-15T20:30:00"/>
    <n v="-8.18"/>
    <n v="0"/>
    <n v="0"/>
    <n v="959.99"/>
    <n v="7001.03"/>
    <n v="-2.11"/>
    <n v="454.33"/>
    <n v="1028.19"/>
    <n v="51.99"/>
    <n v="1059.47"/>
    <n v="1214.76"/>
    <n v="0.03"/>
    <n v="0"/>
    <n v="11.14"/>
    <n v="0"/>
    <n v="330.18"/>
    <n v="3174.39"/>
    <n v="0.43"/>
    <n v="84.46"/>
    <n v="325.42"/>
    <n v="609.66999999999996"/>
    <n v="128.78"/>
    <x v="16"/>
  </r>
  <r>
    <d v="2025-07-15T21:00:00"/>
    <n v="-6.76"/>
    <n v="0"/>
    <n v="0"/>
    <n v="823.84"/>
    <n v="6981.95"/>
    <n v="-2.66"/>
    <n v="454.33"/>
    <n v="998.64"/>
    <n v="38.4"/>
    <n v="927.6"/>
    <n v="1100"/>
    <n v="0.03"/>
    <n v="0"/>
    <n v="10.84"/>
    <n v="0"/>
    <n v="284.25"/>
    <n v="3165.74"/>
    <n v="0.4"/>
    <n v="84.46"/>
    <n v="314.93"/>
    <n v="630.21"/>
    <n v="153.12"/>
    <x v="17"/>
  </r>
  <r>
    <d v="2025-07-15T21:30:00"/>
    <n v="-13.72"/>
    <n v="0"/>
    <n v="0"/>
    <n v="826.52"/>
    <n v="6969.56"/>
    <n v="-2.46"/>
    <n v="453"/>
    <n v="656.22"/>
    <n v="9.33"/>
    <n v="870.78"/>
    <n v="983.93"/>
    <n v="0.03"/>
    <n v="0"/>
    <n v="10.7"/>
    <n v="0"/>
    <n v="282.54000000000002"/>
    <n v="3160.4"/>
    <n v="0.43"/>
    <n v="84.21"/>
    <n v="187.15"/>
    <n v="638.36"/>
    <n v="163.04"/>
    <x v="18"/>
  </r>
  <r>
    <d v="2025-07-15T22:00:00"/>
    <n v="-14.12"/>
    <n v="0"/>
    <n v="0"/>
    <n v="839.63"/>
    <n v="6924.38"/>
    <n v="-1.59"/>
    <n v="430.83"/>
    <n v="551.91999999999996"/>
    <n v="0.96"/>
    <n v="623.46"/>
    <n v="917.71"/>
    <n v="0.03"/>
    <n v="0"/>
    <n v="10.5"/>
    <n v="0"/>
    <n v="286.86"/>
    <n v="3139.14"/>
    <n v="0.42"/>
    <n v="80.09"/>
    <n v="156.54"/>
    <n v="657.28"/>
    <n v="119.99"/>
    <x v="19"/>
  </r>
  <r>
    <d v="2025-07-15T22:30:00"/>
    <n v="-7.64"/>
    <n v="0"/>
    <n v="0"/>
    <n v="789.57"/>
    <n v="6895.02"/>
    <n v="-2.08"/>
    <n v="455"/>
    <n v="334.57"/>
    <n v="88.99"/>
    <n v="600.72"/>
    <n v="828.47"/>
    <n v="0.03"/>
    <n v="0"/>
    <n v="10.14"/>
    <n v="0"/>
    <n v="268.52"/>
    <n v="3124.56"/>
    <n v="0.41"/>
    <n v="84.58"/>
    <n v="95.23"/>
    <n v="662.11"/>
    <n v="158.80000000000001"/>
    <x v="20"/>
  </r>
  <r>
    <d v="2025-07-15T23:00:00"/>
    <n v="-11.04"/>
    <n v="0"/>
    <n v="0"/>
    <n v="788.15"/>
    <n v="6891.76"/>
    <n v="-1.45"/>
    <n v="422.83"/>
    <n v="67.81"/>
    <n v="19.87"/>
    <n v="538.44000000000005"/>
    <n v="879.75"/>
    <n v="0.03"/>
    <n v="0"/>
    <n v="9.84"/>
    <n v="0"/>
    <n v="265.55"/>
    <n v="3123.02"/>
    <n v="0.43"/>
    <n v="78.599999999999994"/>
    <n v="19.989999999999998"/>
    <n v="671.53"/>
    <n v="142"/>
    <x v="21"/>
  </r>
  <r>
    <d v="2025-07-15T23:30:00"/>
    <n v="-8.8000000000000007"/>
    <n v="0"/>
    <n v="0"/>
    <n v="786.67"/>
    <n v="6848.61"/>
    <n v="-2.06"/>
    <n v="302.17"/>
    <n v="45.33"/>
    <n v="0.57999999999999996"/>
    <n v="372.84"/>
    <n v="979.2"/>
    <n v="0.03"/>
    <n v="0"/>
    <n v="9.6999999999999993"/>
    <n v="0"/>
    <n v="262.47000000000003"/>
    <n v="3103.31"/>
    <n v="0.41"/>
    <n v="56.17"/>
    <n v="13.65"/>
    <n v="680.68"/>
    <n v="87.28"/>
    <x v="22"/>
  </r>
  <r>
    <d v="2025-07-16T00:00:00"/>
    <n v="-48.46"/>
    <n v="0"/>
    <n v="0"/>
    <n v="782.11"/>
    <n v="6764.92"/>
    <n v="-2.4500000000000002"/>
    <n v="291"/>
    <n v="45.1"/>
    <n v="1.87"/>
    <n v="302.93"/>
    <n v="933.73"/>
    <n v="0.03"/>
    <n v="0"/>
    <n v="9.52"/>
    <n v="0"/>
    <n v="257.55"/>
    <n v="3066.23"/>
    <n v="0.41"/>
    <n v="54.1"/>
    <n v="13.58"/>
    <n v="691.08"/>
    <n v="80.03"/>
    <x v="23"/>
  </r>
  <r>
    <d v="2025-07-16T00:30:00"/>
    <n v="-11.98"/>
    <n v="-67.36"/>
    <n v="0"/>
    <n v="856.85"/>
    <n v="6589.13"/>
    <n v="-0.92"/>
    <n v="194"/>
    <n v="44.54"/>
    <n v="0.11"/>
    <n v="226.89"/>
    <n v="954.46"/>
    <n v="0.03"/>
    <n v="0"/>
    <n v="9.32"/>
    <n v="0"/>
    <n v="282.08"/>
    <n v="2987.85"/>
    <n v="0.44"/>
    <n v="36.06"/>
    <n v="13.41"/>
    <n v="691.52"/>
    <n v="83.72"/>
    <x v="24"/>
  </r>
  <r>
    <d v="2025-07-16T01:00:00"/>
    <n v="-43.37"/>
    <n v="-80.8"/>
    <n v="0"/>
    <n v="940.09"/>
    <n v="6365.28"/>
    <n v="-0.75"/>
    <n v="190"/>
    <n v="44.21"/>
    <n v="1.17"/>
    <n v="74.290000000000006"/>
    <n v="985.39"/>
    <n v="0.03"/>
    <n v="0"/>
    <n v="9.14"/>
    <n v="0"/>
    <n v="307.88"/>
    <n v="2887.8"/>
    <n v="0.45"/>
    <n v="35.32"/>
    <n v="13.31"/>
    <n v="693.03"/>
    <n v="75.25"/>
    <x v="25"/>
  </r>
  <r>
    <d v="2025-07-16T01:30:00"/>
    <n v="-106.28"/>
    <n v="-80.760000000000005"/>
    <n v="0"/>
    <n v="911.07"/>
    <n v="6234.07"/>
    <n v="-2.37"/>
    <n v="189.83"/>
    <n v="42.96"/>
    <n v="3.33"/>
    <n v="76.22"/>
    <n v="1041.4000000000001"/>
    <n v="0.03"/>
    <n v="0"/>
    <n v="9.16"/>
    <n v="0"/>
    <n v="303.41000000000003"/>
    <n v="2827.98"/>
    <n v="0.42"/>
    <n v="35.29"/>
    <n v="12.94"/>
    <n v="692.37"/>
    <n v="76.58"/>
    <x v="26"/>
  </r>
  <r>
    <d v="2025-07-16T02:00:00"/>
    <n v="-123.26"/>
    <n v="-80.78"/>
    <n v="0"/>
    <n v="940.03"/>
    <n v="6096.22"/>
    <n v="-4.2699999999999996"/>
    <n v="190"/>
    <n v="43"/>
    <n v="3.31"/>
    <n v="59.41"/>
    <n v="1014.4"/>
    <n v="0.03"/>
    <n v="0"/>
    <n v="8.94"/>
    <n v="0"/>
    <n v="311.58999999999997"/>
    <n v="2762.77"/>
    <n v="0.41"/>
    <n v="35.32"/>
    <n v="12.95"/>
    <n v="690.94"/>
    <n v="60.26"/>
    <x v="27"/>
  </r>
  <r>
    <d v="2025-07-16T02:30:00"/>
    <n v="-90.15"/>
    <n v="-80.78"/>
    <n v="0"/>
    <n v="888.7"/>
    <n v="6098.62"/>
    <n v="-4.49"/>
    <n v="190.33"/>
    <n v="43.36"/>
    <n v="3.86"/>
    <n v="27.58"/>
    <n v="918.22"/>
    <n v="0.03"/>
    <n v="0"/>
    <n v="8.81"/>
    <n v="0"/>
    <n v="291.85000000000002"/>
    <n v="2764.35"/>
    <n v="0.41"/>
    <n v="35.380000000000003"/>
    <n v="13.05"/>
    <n v="703.71"/>
    <n v="76.8"/>
    <x v="28"/>
  </r>
  <r>
    <d v="2025-07-16T03:00:00"/>
    <n v="-112.17"/>
    <n v="-80.75"/>
    <n v="0"/>
    <n v="979.77"/>
    <n v="5986.73"/>
    <n v="-4.3600000000000003"/>
    <n v="190"/>
    <n v="43.2"/>
    <n v="3.74"/>
    <n v="4.97"/>
    <n v="822.27"/>
    <n v="0.03"/>
    <n v="0"/>
    <n v="8.68"/>
    <n v="0"/>
    <n v="324.26"/>
    <n v="2714.28"/>
    <n v="0.41"/>
    <n v="35.32"/>
    <n v="13.01"/>
    <n v="705.44"/>
    <n v="76.8"/>
    <x v="29"/>
  </r>
  <r>
    <d v="2025-07-16T03:30:00"/>
    <n v="-121.77"/>
    <n v="-80.75"/>
    <n v="0"/>
    <n v="1177.1400000000001"/>
    <n v="5813.57"/>
    <n v="-4.25"/>
    <n v="190"/>
    <n v="43.31"/>
    <n v="0.05"/>
    <n v="0.28000000000000003"/>
    <n v="831.72"/>
    <n v="0.03"/>
    <n v="0"/>
    <n v="8.35"/>
    <n v="0"/>
    <n v="391.34"/>
    <n v="2635.84"/>
    <n v="0.4"/>
    <n v="35.32"/>
    <n v="13.04"/>
    <n v="684.04"/>
    <n v="64.89"/>
    <x v="30"/>
  </r>
  <r>
    <d v="2025-07-16T04:00:00"/>
    <n v="-130.87"/>
    <n v="-80.61"/>
    <n v="0"/>
    <n v="1162.75"/>
    <n v="5836.79"/>
    <n v="5.95"/>
    <n v="190.33"/>
    <n v="42.78"/>
    <n v="0.6"/>
    <n v="39.700000000000003"/>
    <n v="880.97"/>
    <n v="0.03"/>
    <n v="0"/>
    <n v="8.1300000000000008"/>
    <n v="0"/>
    <n v="381.33"/>
    <n v="2646.12"/>
    <n v="0.41"/>
    <n v="35.380000000000003"/>
    <n v="12.88"/>
    <n v="678.07"/>
    <n v="77.97"/>
    <x v="31"/>
  </r>
  <r>
    <d v="2025-07-16T04:30:00"/>
    <n v="-100.34"/>
    <n v="-80.64"/>
    <n v="0"/>
    <n v="1146.95"/>
    <n v="5783.17"/>
    <n v="21.02"/>
    <n v="189.83"/>
    <n v="42.48"/>
    <n v="0.59"/>
    <n v="50.75"/>
    <n v="947.86"/>
    <n v="0.03"/>
    <n v="0"/>
    <n v="8.1"/>
    <n v="0"/>
    <n v="376.89"/>
    <n v="2619.7399999999998"/>
    <n v="0.41"/>
    <n v="35.29"/>
    <n v="12.79"/>
    <n v="666.91"/>
    <n v="76.58"/>
    <x v="32"/>
  </r>
  <r>
    <d v="2025-07-16T05:00:00"/>
    <n v="-42.13"/>
    <n v="-67.17"/>
    <n v="0"/>
    <n v="1084.27"/>
    <n v="5928.17"/>
    <n v="20.59"/>
    <n v="190.33"/>
    <n v="41.28"/>
    <n v="1.36"/>
    <n v="74.22"/>
    <n v="980.55"/>
    <n v="0.03"/>
    <n v="0"/>
    <n v="8.07"/>
    <n v="0"/>
    <n v="361.35"/>
    <n v="2684.62"/>
    <n v="0.4"/>
    <n v="35.380000000000003"/>
    <n v="12.43"/>
    <n v="665.61"/>
    <n v="76.58"/>
    <x v="33"/>
  </r>
  <r>
    <d v="2025-07-16T05:30:00"/>
    <n v="-8.7799999999999994"/>
    <n v="0"/>
    <n v="-52.04"/>
    <n v="989.79"/>
    <n v="6183.11"/>
    <n v="20.440000000000001"/>
    <n v="198.33"/>
    <n v="40.58"/>
    <n v="2.0299999999999998"/>
    <n v="221.8"/>
    <n v="995.76"/>
    <n v="0.03"/>
    <n v="0"/>
    <n v="7.85"/>
    <n v="19.34"/>
    <n v="345.36"/>
    <n v="2799.97"/>
    <n v="0.38"/>
    <n v="36.869999999999997"/>
    <n v="12.22"/>
    <n v="663.35"/>
    <n v="80.010000000000005"/>
    <x v="34"/>
  </r>
  <r>
    <d v="2025-07-16T06:00:00"/>
    <n v="-6.42"/>
    <n v="0"/>
    <n v="-66.040000000000006"/>
    <n v="707.07"/>
    <n v="6584.98"/>
    <n v="21.97"/>
    <n v="400.33"/>
    <n v="62.36"/>
    <n v="19.12"/>
    <n v="478.8"/>
    <n v="991.43"/>
    <n v="0.03"/>
    <n v="0"/>
    <n v="7.81"/>
    <n v="24.09"/>
    <n v="259.02"/>
    <n v="2983.66"/>
    <n v="0.4"/>
    <n v="74.42"/>
    <n v="18.559999999999999"/>
    <n v="669.39"/>
    <n v="118.95"/>
    <x v="35"/>
  </r>
  <r>
    <d v="2025-07-16T06:30:00"/>
    <n v="-6.26"/>
    <n v="0"/>
    <n v="-117.59"/>
    <n v="667.32"/>
    <n v="6800.91"/>
    <n v="22.15"/>
    <n v="450.5"/>
    <n v="353.98"/>
    <n v="96.17"/>
    <n v="789.86"/>
    <n v="984.67"/>
    <n v="0.03"/>
    <n v="0.12"/>
    <n v="7.88"/>
    <n v="41.91"/>
    <n v="251.56"/>
    <n v="3078.74"/>
    <n v="0.41"/>
    <n v="83.75"/>
    <n v="104.83"/>
    <n v="650.82000000000005"/>
    <n v="120.01"/>
    <x v="36"/>
  </r>
  <r>
    <d v="2025-07-16T07:00:00"/>
    <n v="-6.04"/>
    <n v="0"/>
    <n v="-35.78"/>
    <n v="583.91999999999996"/>
    <n v="6816.89"/>
    <n v="23.93"/>
    <n v="451"/>
    <n v="795.02"/>
    <n v="167.76"/>
    <n v="983.02"/>
    <n v="904.96"/>
    <n v="1.18"/>
    <n v="7.98"/>
    <n v="7.81"/>
    <n v="12.58"/>
    <n v="220.79"/>
    <n v="3086.18"/>
    <n v="0.43"/>
    <n v="83.84"/>
    <n v="258.36"/>
    <n v="641.27"/>
    <n v="150.07"/>
    <x v="37"/>
  </r>
  <r>
    <d v="2025-07-16T07:30:00"/>
    <n v="-22.83"/>
    <n v="0"/>
    <n v="-7.54"/>
    <n v="734.9"/>
    <n v="6875.66"/>
    <n v="26.83"/>
    <n v="451.5"/>
    <n v="871.8"/>
    <n v="125.37"/>
    <n v="1089.02"/>
    <n v="842.58"/>
    <n v="67.34"/>
    <n v="96.5"/>
    <n v="7.74"/>
    <n v="2.65"/>
    <n v="270.94"/>
    <n v="3115.65"/>
    <n v="0.48"/>
    <n v="83.93"/>
    <n v="281.26"/>
    <n v="624.39"/>
    <n v="176.21"/>
    <x v="38"/>
  </r>
  <r>
    <d v="2025-07-16T08:00:00"/>
    <n v="-7.13"/>
    <n v="0"/>
    <n v="0"/>
    <n v="714.54"/>
    <n v="6884.99"/>
    <n v="28.03"/>
    <n v="451.33"/>
    <n v="852.25"/>
    <n v="133.88999999999999"/>
    <n v="843.08"/>
    <n v="786.68"/>
    <n v="434.25"/>
    <n v="401.36"/>
    <n v="8.0299999999999994"/>
    <n v="0"/>
    <n v="262.97000000000003"/>
    <n v="3120.4"/>
    <n v="0.51"/>
    <n v="83.9"/>
    <n v="273.57"/>
    <n v="603.71"/>
    <n v="143.37"/>
    <x v="39"/>
  </r>
  <r>
    <d v="2025-07-16T08:30:00"/>
    <n v="-7.14"/>
    <n v="0"/>
    <n v="-103.05"/>
    <n v="962.71"/>
    <n v="6740.14"/>
    <n v="28.17"/>
    <n v="380.33"/>
    <n v="609.87"/>
    <n v="77.94"/>
    <n v="243.18"/>
    <n v="728.07"/>
    <n v="1038.1199999999999"/>
    <n v="889.76"/>
    <n v="8.9600000000000009"/>
    <n v="35.06"/>
    <n v="318.33"/>
    <n v="3048.82"/>
    <n v="0.51"/>
    <n v="70.7"/>
    <n v="188.3"/>
    <n v="570.99"/>
    <n v="134.05000000000001"/>
    <x v="40"/>
  </r>
  <r>
    <d v="2025-07-16T09:00:00"/>
    <n v="-6.88"/>
    <n v="0"/>
    <n v="-276.20999999999998"/>
    <n v="1228.28"/>
    <n v="6353.45"/>
    <n v="26.62"/>
    <n v="120.67"/>
    <n v="370.52"/>
    <n v="37.97"/>
    <n v="80"/>
    <n v="577.47"/>
    <n v="1505.56"/>
    <n v="1469.23"/>
    <n v="10.35"/>
    <n v="92.93"/>
    <n v="346.36"/>
    <n v="2872.29"/>
    <n v="0.48"/>
    <n v="22.43"/>
    <n v="105.24"/>
    <n v="522.41999999999996"/>
    <n v="76.8"/>
    <x v="41"/>
  </r>
  <r>
    <d v="2025-07-16T09:30:00"/>
    <n v="-6.98"/>
    <n v="0"/>
    <n v="-254.46"/>
    <n v="1162.07"/>
    <n v="6027.26"/>
    <n v="7.14"/>
    <n v="0"/>
    <n v="71.680000000000007"/>
    <n v="6.25"/>
    <n v="32.31"/>
    <n v="520.59"/>
    <n v="1840.47"/>
    <n v="2052.06"/>
    <n v="11.57"/>
    <n v="85.82"/>
    <n v="323.36"/>
    <n v="2727.61"/>
    <n v="0.14000000000000001"/>
    <n v="0"/>
    <n v="20.93"/>
    <n v="479.77"/>
    <n v="63.76"/>
    <x v="42"/>
  </r>
  <r>
    <d v="2025-07-16T10:00:00"/>
    <n v="-77.48"/>
    <n v="0"/>
    <n v="-278.38"/>
    <n v="1122.33"/>
    <n v="5381.56"/>
    <n v="-0.23"/>
    <n v="0"/>
    <n v="36.799999999999997"/>
    <n v="0.53"/>
    <n v="34.25"/>
    <n v="506.81"/>
    <n v="2087.0500000000002"/>
    <n v="2591.34"/>
    <n v="12.44"/>
    <n v="91.56"/>
    <n v="316.43"/>
    <n v="2435.9699999999998"/>
    <n v="0.02"/>
    <n v="0"/>
    <n v="11.08"/>
    <n v="429.14"/>
    <n v="-0.01"/>
    <x v="43"/>
  </r>
  <r>
    <d v="2025-07-16T10:30:00"/>
    <n v="-111.94"/>
    <n v="0"/>
    <n v="-290.77999999999997"/>
    <n v="1114.8900000000001"/>
    <n v="4791.59"/>
    <n v="-0.13"/>
    <n v="0"/>
    <n v="36.56"/>
    <n v="0.03"/>
    <n v="0"/>
    <n v="457.49"/>
    <n v="2175.84"/>
    <n v="3025.77"/>
    <n v="13.29"/>
    <n v="94.65"/>
    <n v="317.63"/>
    <n v="2166.2600000000002"/>
    <n v="0.02"/>
    <n v="0"/>
    <n v="11.01"/>
    <n v="388.83"/>
    <n v="56.98"/>
    <x v="44"/>
  </r>
  <r>
    <d v="2025-07-16T11:00:00"/>
    <n v="-75.11"/>
    <n v="-67.3"/>
    <n v="-357.6"/>
    <n v="1113.3"/>
    <n v="4094.45"/>
    <n v="-0.03"/>
    <n v="0"/>
    <n v="36.17"/>
    <n v="137.94999999999999"/>
    <n v="0"/>
    <n v="466.01"/>
    <n v="2357.94"/>
    <n v="3358.54"/>
    <n v="13.85"/>
    <n v="111.66"/>
    <n v="319.74"/>
    <n v="1850.78"/>
    <n v="0.02"/>
    <n v="0"/>
    <n v="10.89"/>
    <n v="336.52"/>
    <n v="-14.01"/>
    <x v="45"/>
  </r>
  <r>
    <d v="2025-07-16T11:30:00"/>
    <n v="-105.88"/>
    <n v="-256.69"/>
    <n v="-236.64"/>
    <n v="1052.3499999999999"/>
    <n v="3594.12"/>
    <n v="-0.05"/>
    <n v="0"/>
    <n v="35.770000000000003"/>
    <n v="129.59"/>
    <n v="0"/>
    <n v="437.97"/>
    <n v="2518.3200000000002"/>
    <n v="3578.98"/>
    <n v="14.32"/>
    <n v="68.989999999999995"/>
    <n v="299.70999999999998"/>
    <n v="1624.87"/>
    <n v="0.03"/>
    <n v="0"/>
    <n v="10.77"/>
    <n v="304.37"/>
    <n v="35.880000000000003"/>
    <x v="46"/>
  </r>
  <r>
    <d v="2025-07-16T12:00:00"/>
    <n v="-92.17"/>
    <n v="-271.67"/>
    <n v="-248.87"/>
    <n v="925.28"/>
    <n v="3480.66"/>
    <n v="-0.81"/>
    <n v="0"/>
    <n v="35.65"/>
    <n v="0.75"/>
    <n v="0"/>
    <n v="394.03"/>
    <n v="2607.6"/>
    <n v="3698.06"/>
    <n v="15.18"/>
    <n v="58.04"/>
    <n v="240.05"/>
    <n v="1574.42"/>
    <n v="0.03"/>
    <n v="0"/>
    <n v="10.73"/>
    <n v="301.12"/>
    <n v="-9.5"/>
    <x v="47"/>
  </r>
  <r>
    <d v="2025-07-16T12:30:00"/>
    <n v="-92.57"/>
    <n v="-271.18"/>
    <n v="-283.45"/>
    <n v="914.72"/>
    <n v="3401.49"/>
    <n v="-0.89"/>
    <n v="0"/>
    <n v="36.44"/>
    <n v="1.18"/>
    <n v="0"/>
    <n v="418.58"/>
    <n v="2571.08"/>
    <n v="3708.24"/>
    <n v="15.85"/>
    <n v="65.56"/>
    <n v="241.96"/>
    <n v="1539.08"/>
    <n v="0.03"/>
    <n v="0"/>
    <n v="10.97"/>
    <n v="297.99"/>
    <n v="56.98"/>
    <x v="0"/>
  </r>
  <r>
    <d v="2025-07-16T13:00:00"/>
    <n v="-213.99"/>
    <n v="-271.22000000000003"/>
    <n v="-265.19"/>
    <n v="907.66"/>
    <n v="3382.89"/>
    <n v="5.98"/>
    <n v="0"/>
    <n v="37.31"/>
    <n v="0.42"/>
    <n v="0"/>
    <n v="507.13"/>
    <n v="2446.92"/>
    <n v="3593.2"/>
    <n v="16.43"/>
    <n v="61.46"/>
    <n v="241.73"/>
    <n v="1530.81"/>
    <n v="0.12"/>
    <n v="0"/>
    <n v="11.23"/>
    <n v="304.44"/>
    <n v="-14.99"/>
    <x v="1"/>
  </r>
  <r>
    <d v="2025-07-16T13:30:00"/>
    <n v="-154.68"/>
    <n v="-270.79000000000002"/>
    <n v="-282.10000000000002"/>
    <n v="906.06"/>
    <n v="3391.47"/>
    <n v="17.32"/>
    <n v="0"/>
    <n v="36.93"/>
    <n v="17.059999999999999"/>
    <n v="0"/>
    <n v="550.49"/>
    <n v="2344.6"/>
    <n v="3386.53"/>
    <n v="16.79"/>
    <n v="65.8"/>
    <n v="239.66"/>
    <n v="1534.69"/>
    <n v="0.31"/>
    <n v="0"/>
    <n v="11.12"/>
    <n v="311"/>
    <n v="-18"/>
    <x v="2"/>
  </r>
  <r>
    <d v="2025-07-16T14:00:00"/>
    <n v="-57.89"/>
    <n v="-271.17"/>
    <n v="-265.55"/>
    <n v="863.9"/>
    <n v="3393.65"/>
    <n v="16.13"/>
    <n v="0"/>
    <n v="36.880000000000003"/>
    <n v="1.87"/>
    <n v="0"/>
    <n v="618.38"/>
    <n v="2393.77"/>
    <n v="3096.16"/>
    <n v="17.25"/>
    <n v="60.99"/>
    <n v="234.58"/>
    <n v="1535.72"/>
    <n v="0.28000000000000003"/>
    <n v="0"/>
    <n v="11.1"/>
    <n v="314.89999999999998"/>
    <n v="-9.5"/>
    <x v="3"/>
  </r>
  <r>
    <d v="2025-07-16T14:30:00"/>
    <n v="-116.89"/>
    <n v="-271.07"/>
    <n v="-233.49"/>
    <n v="907.39"/>
    <n v="3576.46"/>
    <n v="14.86"/>
    <n v="0"/>
    <n v="37.08"/>
    <n v="1.87"/>
    <n v="0"/>
    <n v="660.47"/>
    <n v="2390.09"/>
    <n v="2720.09"/>
    <n v="17.63"/>
    <n v="54.79"/>
    <n v="243.47"/>
    <n v="1619.36"/>
    <n v="0.26"/>
    <n v="0"/>
    <n v="11.17"/>
    <n v="336.7"/>
    <n v="-14.99"/>
    <x v="4"/>
  </r>
  <r>
    <d v="2025-07-16T15:00:00"/>
    <n v="-5.53"/>
    <n v="-271.54000000000002"/>
    <n v="-253.13"/>
    <n v="804.33"/>
    <n v="3890.8"/>
    <n v="14.82"/>
    <n v="3.83"/>
    <n v="37.17"/>
    <n v="6.61"/>
    <n v="0"/>
    <n v="663.22"/>
    <n v="2312.6"/>
    <n v="2242.0500000000002"/>
    <n v="17.66"/>
    <n v="62.32"/>
    <n v="207.72"/>
    <n v="1761.27"/>
    <n v="0.26"/>
    <n v="0.71"/>
    <n v="11.19"/>
    <n v="375.52"/>
    <n v="35.880000000000003"/>
    <x v="5"/>
  </r>
  <r>
    <d v="2025-07-16T15:30:00"/>
    <n v="-17.36"/>
    <n v="-58.45"/>
    <n v="-270.01"/>
    <n v="805.58"/>
    <n v="4338.79"/>
    <n v="15.96"/>
    <n v="101.33"/>
    <n v="37.840000000000003"/>
    <n v="32.04"/>
    <n v="0"/>
    <n v="642.19000000000005"/>
    <n v="2153.73"/>
    <n v="1667.16"/>
    <n v="17.87"/>
    <n v="73"/>
    <n v="218.14"/>
    <n v="1965.32"/>
    <n v="0.28000000000000003"/>
    <n v="18.84"/>
    <n v="11.39"/>
    <n v="422.45"/>
    <n v="0"/>
    <x v="6"/>
  </r>
  <r>
    <d v="2025-07-16T16:00:00"/>
    <n v="-16.07"/>
    <n v="0"/>
    <n v="-170.57"/>
    <n v="726.44"/>
    <n v="5004.04"/>
    <n v="15.33"/>
    <n v="233.17"/>
    <n v="103.98"/>
    <n v="46.69"/>
    <n v="0"/>
    <n v="613.4"/>
    <n v="1732.88"/>
    <n v="1077.18"/>
    <n v="16.55"/>
    <n v="51.42"/>
    <n v="219.37"/>
    <n v="2269.4899999999998"/>
    <n v="0.28000000000000003"/>
    <n v="43.35"/>
    <n v="30.76"/>
    <n v="500.48"/>
    <n v="102.78"/>
    <x v="7"/>
  </r>
  <r>
    <d v="2025-07-16T16:30:00"/>
    <n v="-155.34"/>
    <n v="0"/>
    <n v="-294.61"/>
    <n v="617.04"/>
    <n v="6023.8"/>
    <n v="5.85"/>
    <n v="401.83"/>
    <n v="544.23"/>
    <n v="117.61"/>
    <n v="360.59"/>
    <n v="600.11"/>
    <n v="1049.21"/>
    <n v="544.84"/>
    <n v="15.73"/>
    <n v="95.76"/>
    <n v="204.6"/>
    <n v="2732.22"/>
    <n v="0.28000000000000003"/>
    <n v="74.7"/>
    <n v="154.22999999999999"/>
    <n v="603.44000000000005"/>
    <n v="97.87"/>
    <x v="8"/>
  </r>
  <r>
    <d v="2025-07-16T17:00:00"/>
    <n v="-8.01"/>
    <n v="0"/>
    <n v="-203.07"/>
    <n v="645.45000000000005"/>
    <n v="6450.83"/>
    <n v="-4.87"/>
    <n v="441.5"/>
    <n v="727.54"/>
    <n v="269.66000000000003"/>
    <n v="873.38"/>
    <n v="555.47"/>
    <n v="294.99"/>
    <n v="161.56"/>
    <n v="14.95"/>
    <n v="67.55"/>
    <n v="224.01"/>
    <n v="2920.34"/>
    <n v="0.37"/>
    <n v="82.07"/>
    <n v="209.64"/>
    <n v="629.61"/>
    <n v="173.64"/>
    <x v="9"/>
  </r>
  <r>
    <d v="2025-07-16T17:30:00"/>
    <n v="-1.68"/>
    <n v="0"/>
    <n v="-73.92"/>
    <n v="667.17"/>
    <n v="6796.95"/>
    <n v="-6.02"/>
    <n v="449"/>
    <n v="1026.98"/>
    <n v="307.17"/>
    <n v="1086.53"/>
    <n v="513.66999999999996"/>
    <n v="12.64"/>
    <n v="18.989999999999998"/>
    <n v="14.01"/>
    <n v="25.25"/>
    <n v="233.29"/>
    <n v="3077.33"/>
    <n v="0.38"/>
    <n v="83.47"/>
    <n v="323.76"/>
    <n v="645.51"/>
    <n v="158.97999999999999"/>
    <x v="10"/>
  </r>
  <r>
    <d v="2025-07-16T18:00:00"/>
    <n v="-2.61"/>
    <n v="0"/>
    <n v="0"/>
    <n v="1031.05"/>
    <n v="6879"/>
    <n v="-4.0199999999999996"/>
    <n v="476.23"/>
    <n v="1039.6400000000001"/>
    <n v="253.76"/>
    <n v="1265.21"/>
    <n v="530.42999999999995"/>
    <n v="0.05"/>
    <n v="0.26"/>
    <n v="13.34"/>
    <n v="0"/>
    <n v="366.43"/>
    <n v="3116.91"/>
    <n v="0.42"/>
    <n v="93.16"/>
    <n v="328.64"/>
    <n v="617.16"/>
    <n v="277.92"/>
    <x v="11"/>
  </r>
  <r>
    <d v="2025-07-16T18:30:00"/>
    <n v="-1.85"/>
    <n v="0"/>
    <n v="0"/>
    <n v="1143.03"/>
    <n v="6902.17"/>
    <n v="-2.09"/>
    <n v="529.34"/>
    <n v="1032.6600000000001"/>
    <n v="241.43"/>
    <n v="1389.06"/>
    <n v="528.08000000000004"/>
    <n v="0.05"/>
    <n v="0"/>
    <n v="13.36"/>
    <n v="0"/>
    <n v="402.87"/>
    <n v="3128.49"/>
    <n v="0.45"/>
    <n v="112.27"/>
    <n v="326.66000000000003"/>
    <n v="606.67999999999995"/>
    <n v="261.18"/>
    <x v="12"/>
  </r>
  <r>
    <d v="2025-07-16T19:00:00"/>
    <n v="-1.62"/>
    <n v="0"/>
    <n v="0"/>
    <n v="1149.19"/>
    <n v="6929.51"/>
    <n v="-2.2000000000000002"/>
    <n v="530.91999999999996"/>
    <n v="1023.79"/>
    <n v="186.71"/>
    <n v="1433.19"/>
    <n v="540.27"/>
    <n v="0.05"/>
    <n v="0"/>
    <n v="12.53"/>
    <n v="0"/>
    <n v="409.93"/>
    <n v="3140.87"/>
    <n v="0.45"/>
    <n v="112.61"/>
    <n v="324.31"/>
    <n v="607.01"/>
    <n v="299.99"/>
    <x v="13"/>
  </r>
  <r>
    <d v="2025-07-16T19:30:00"/>
    <n v="-4.66"/>
    <n v="0"/>
    <n v="0"/>
    <n v="1184.05"/>
    <n v="6949.18"/>
    <n v="-0.41"/>
    <n v="530.16999999999996"/>
    <n v="1042.5"/>
    <n v="65.61"/>
    <n v="1398.95"/>
    <n v="466.98"/>
    <n v="0.05"/>
    <n v="0"/>
    <n v="11.86"/>
    <n v="0"/>
    <n v="420.19"/>
    <n v="3149.38"/>
    <n v="0.45"/>
    <n v="112.45"/>
    <n v="329.49"/>
    <n v="617.54999999999995"/>
    <n v="240.57"/>
    <x v="14"/>
  </r>
  <r>
    <d v="2025-07-16T20:00:00"/>
    <n v="-2.19"/>
    <n v="0"/>
    <n v="0"/>
    <n v="1264.25"/>
    <n v="6958.2"/>
    <n v="-1.6"/>
    <n v="531.04999999999995"/>
    <n v="1036.0999999999999"/>
    <n v="38.51"/>
    <n v="1178.3399999999999"/>
    <n v="444.76"/>
    <n v="0.05"/>
    <n v="0"/>
    <n v="11.34"/>
    <n v="0"/>
    <n v="448.01"/>
    <n v="3151.81"/>
    <n v="0.41"/>
    <n v="112.77"/>
    <n v="327.74"/>
    <n v="627.69000000000005"/>
    <n v="207.34"/>
    <x v="15"/>
  </r>
  <r>
    <d v="2025-07-16T20:30:00"/>
    <n v="-3.13"/>
    <n v="0"/>
    <n v="0"/>
    <n v="1288.56"/>
    <n v="6928.49"/>
    <n v="-1.25"/>
    <n v="517.71"/>
    <n v="1030.04"/>
    <n v="19.989999999999998"/>
    <n v="1096.73"/>
    <n v="427.13"/>
    <n v="0.05"/>
    <n v="0"/>
    <n v="10.84"/>
    <n v="0"/>
    <n v="451.79"/>
    <n v="3134.31"/>
    <n v="0.43"/>
    <n v="107.97"/>
    <n v="326.01"/>
    <n v="631.39"/>
    <n v="175.46"/>
    <x v="16"/>
  </r>
  <r>
    <d v="2025-07-16T21:00:00"/>
    <n v="-3.06"/>
    <n v="0"/>
    <n v="0"/>
    <n v="1368.04"/>
    <n v="6979.48"/>
    <n v="-0.04"/>
    <n v="450"/>
    <n v="855.34"/>
    <n v="4.79"/>
    <n v="1021.54"/>
    <n v="419.54"/>
    <n v="0.05"/>
    <n v="0"/>
    <n v="10.38"/>
    <n v="0"/>
    <n v="474.17"/>
    <n v="3157.86"/>
    <n v="0.43"/>
    <n v="83.65"/>
    <n v="276.74"/>
    <n v="634.24"/>
    <n v="158.97999999999999"/>
    <x v="17"/>
  </r>
  <r>
    <d v="2025-07-16T21:30:00"/>
    <n v="-9.59"/>
    <n v="0"/>
    <n v="0"/>
    <n v="1437.46"/>
    <n v="7052.77"/>
    <n v="-1.1499999999999999"/>
    <n v="451.33"/>
    <n v="687.79"/>
    <n v="0.43"/>
    <n v="819.09"/>
    <n v="389.36"/>
    <n v="0.05"/>
    <n v="0"/>
    <n v="10.23"/>
    <n v="0"/>
    <n v="489.94"/>
    <n v="3191.83"/>
    <n v="0.42"/>
    <n v="83.9"/>
    <n v="227.36"/>
    <n v="647.15"/>
    <n v="158.99"/>
    <x v="18"/>
  </r>
  <r>
    <d v="2025-07-16T22:00:00"/>
    <n v="-4.28"/>
    <n v="0"/>
    <n v="0"/>
    <n v="1507.01"/>
    <n v="7089.3"/>
    <n v="-0.57999999999999996"/>
    <n v="449.17"/>
    <n v="359.53"/>
    <n v="5.94"/>
    <n v="540.91"/>
    <n v="384.31"/>
    <n v="0.05"/>
    <n v="0"/>
    <n v="9.6300000000000008"/>
    <n v="0"/>
    <n v="507.73"/>
    <n v="3208.5"/>
    <n v="0.44"/>
    <n v="83.5"/>
    <n v="122.54"/>
    <n v="661.09"/>
    <n v="149.99"/>
    <x v="19"/>
  </r>
  <r>
    <d v="2025-07-16T22:30:00"/>
    <n v="-5.45"/>
    <n v="0"/>
    <n v="0"/>
    <n v="1490.62"/>
    <n v="7103.07"/>
    <n v="0.47"/>
    <n v="451.83"/>
    <n v="155.96"/>
    <n v="6.51"/>
    <n v="506.52"/>
    <n v="350.06"/>
    <n v="0.05"/>
    <n v="0"/>
    <n v="9.3699999999999992"/>
    <n v="0"/>
    <n v="495.48"/>
    <n v="3214.65"/>
    <n v="0.44"/>
    <n v="84"/>
    <n v="44.77"/>
    <n v="664.81"/>
    <n v="158.97999999999999"/>
    <x v="20"/>
  </r>
  <r>
    <d v="2025-07-16T23:00:00"/>
    <n v="-7.99"/>
    <n v="0"/>
    <n v="0"/>
    <n v="1442.74"/>
    <n v="7103.03"/>
    <n v="3.5"/>
    <n v="451.5"/>
    <n v="46.71"/>
    <n v="0.17"/>
    <n v="346.11"/>
    <n v="323.37"/>
    <n v="0.05"/>
    <n v="0"/>
    <n v="8.92"/>
    <n v="0"/>
    <n v="467.69"/>
    <n v="3214.53"/>
    <n v="0.44"/>
    <n v="83.93"/>
    <n v="13.97"/>
    <n v="682.42"/>
    <n v="120.01"/>
    <x v="21"/>
  </r>
  <r>
    <d v="2025-07-16T23:30:00"/>
    <n v="-21.5"/>
    <n v="0"/>
    <n v="0"/>
    <n v="1363.85"/>
    <n v="7075.44"/>
    <n v="4.43"/>
    <n v="409.5"/>
    <n v="41.68"/>
    <n v="0.15"/>
    <n v="280.95999999999998"/>
    <n v="322.82"/>
    <n v="0.05"/>
    <n v="0"/>
    <n v="9.06"/>
    <n v="0"/>
    <n v="429.92"/>
    <n v="3202.17"/>
    <n v="0.44"/>
    <n v="76.13"/>
    <n v="12.55"/>
    <n v="694.56"/>
    <n v="101.36"/>
    <x v="22"/>
  </r>
  <r>
    <d v="2025-07-17T00:00:00"/>
    <n v="-24.29"/>
    <n v="0"/>
    <n v="0"/>
    <n v="1352.12"/>
    <n v="6928.5"/>
    <n v="3.16"/>
    <n v="253.83"/>
    <n v="41.52"/>
    <n v="1.59"/>
    <n v="258.74"/>
    <n v="381.32"/>
    <n v="0.05"/>
    <n v="0"/>
    <n v="9.19"/>
    <n v="0"/>
    <n v="408.93"/>
    <n v="3136.41"/>
    <n v="0.44"/>
    <n v="47.19"/>
    <n v="12.5"/>
    <n v="695.16"/>
    <n v="80.760000000000005"/>
    <x v="23"/>
  </r>
  <r>
    <d v="2025-07-17T00:30:00"/>
    <n v="-53.84"/>
    <n v="0"/>
    <n v="0"/>
    <n v="1481.85"/>
    <n v="6704.77"/>
    <n v="0.84"/>
    <n v="50.17"/>
    <n v="41.75"/>
    <n v="3.05"/>
    <n v="255.46"/>
    <n v="431.06"/>
    <n v="0.05"/>
    <n v="0"/>
    <n v="9.27"/>
    <n v="0"/>
    <n v="430.36"/>
    <n v="3032.31"/>
    <n v="0.44"/>
    <n v="9.33"/>
    <n v="12.57"/>
    <n v="685.27"/>
    <n v="80.02"/>
    <x v="24"/>
  </r>
  <r>
    <d v="2025-07-17T01:00:00"/>
    <n v="-7.03"/>
    <n v="0"/>
    <n v="0"/>
    <n v="1570.65"/>
    <n v="6563.28"/>
    <n v="-1.02"/>
    <n v="0"/>
    <n v="41.97"/>
    <n v="0.6"/>
    <n v="244.72"/>
    <n v="373.11"/>
    <n v="0.05"/>
    <n v="0"/>
    <n v="9.18"/>
    <n v="0"/>
    <n v="455"/>
    <n v="2966.03"/>
    <n v="0.44"/>
    <n v="0"/>
    <n v="12.64"/>
    <n v="678.12"/>
    <n v="84.19"/>
    <x v="25"/>
  </r>
  <r>
    <d v="2025-07-17T01:30:00"/>
    <n v="-9.25"/>
    <n v="0"/>
    <n v="0"/>
    <n v="1408.46"/>
    <n v="6593.27"/>
    <n v="-0.79"/>
    <n v="0"/>
    <n v="42.18"/>
    <n v="1.62"/>
    <n v="179.58"/>
    <n v="327.67"/>
    <n v="0.05"/>
    <n v="0"/>
    <n v="8.85"/>
    <n v="0"/>
    <n v="397.67"/>
    <n v="2978.73"/>
    <n v="0.44"/>
    <n v="0"/>
    <n v="12.7"/>
    <n v="700.44"/>
    <n v="80.02"/>
    <x v="26"/>
  </r>
  <r>
    <d v="2025-07-17T02:00:00"/>
    <n v="-80.16"/>
    <n v="0"/>
    <n v="0"/>
    <n v="1588.21"/>
    <n v="6335.81"/>
    <n v="-1.03"/>
    <n v="0"/>
    <n v="41.86"/>
    <n v="0.28999999999999998"/>
    <n v="106.65"/>
    <n v="358.86"/>
    <n v="0.05"/>
    <n v="0"/>
    <n v="8.6199999999999992"/>
    <n v="0"/>
    <n v="455.66"/>
    <n v="2864.88"/>
    <n v="0.44"/>
    <n v="0"/>
    <n v="12.6"/>
    <n v="689.28"/>
    <n v="76.8"/>
    <x v="27"/>
  </r>
  <r>
    <d v="2025-07-17T02:30:00"/>
    <n v="-61.47"/>
    <n v="0"/>
    <n v="0"/>
    <n v="1510.71"/>
    <n v="6186.98"/>
    <n v="-0.9"/>
    <n v="0"/>
    <n v="41.82"/>
    <n v="0.19"/>
    <n v="99.53"/>
    <n v="398.15"/>
    <n v="0.05"/>
    <n v="0"/>
    <n v="8.52"/>
    <n v="0"/>
    <n v="426.12"/>
    <n v="2801.25"/>
    <n v="0.44"/>
    <n v="0"/>
    <n v="12.59"/>
    <n v="688.5"/>
    <n v="76.8"/>
    <x v="28"/>
  </r>
  <r>
    <d v="2025-07-17T03:00:00"/>
    <n v="-37.4"/>
    <n v="0"/>
    <n v="0"/>
    <n v="1457.04"/>
    <n v="6094.46"/>
    <n v="-0.59"/>
    <n v="0"/>
    <n v="41.55"/>
    <n v="0.42"/>
    <n v="113.11"/>
    <n v="366.58"/>
    <n v="0.05"/>
    <n v="0"/>
    <n v="8.49"/>
    <n v="0"/>
    <n v="419.29"/>
    <n v="2759.53"/>
    <n v="0.44"/>
    <n v="0"/>
    <n v="12.51"/>
    <n v="690.08"/>
    <n v="80.02"/>
    <x v="29"/>
  </r>
  <r>
    <d v="2025-07-17T03:30:00"/>
    <n v="-72.31"/>
    <n v="0"/>
    <n v="0"/>
    <n v="1511.17"/>
    <n v="6042.81"/>
    <n v="-0.97"/>
    <n v="0"/>
    <n v="41.79"/>
    <n v="0.71"/>
    <n v="85.95"/>
    <n v="315.26"/>
    <n v="0.05"/>
    <n v="0"/>
    <n v="8.39"/>
    <n v="0"/>
    <n v="443.91"/>
    <n v="2736.76"/>
    <n v="0.44"/>
    <n v="0"/>
    <n v="12.58"/>
    <n v="694"/>
    <n v="80.02"/>
    <x v="30"/>
  </r>
  <r>
    <d v="2025-07-17T04:00:00"/>
    <n v="-76.900000000000006"/>
    <n v="0"/>
    <n v="0"/>
    <n v="1536.81"/>
    <n v="6084.84"/>
    <n v="-0.6"/>
    <n v="0"/>
    <n v="41.67"/>
    <n v="0.53"/>
    <n v="67.39"/>
    <n v="346.46"/>
    <n v="0.05"/>
    <n v="0"/>
    <n v="8.11"/>
    <n v="0"/>
    <n v="442.78"/>
    <n v="2755.91"/>
    <n v="0.45"/>
    <n v="0"/>
    <n v="12.55"/>
    <n v="692.2"/>
    <n v="80.02"/>
    <x v="31"/>
  </r>
  <r>
    <d v="2025-07-17T04:30:00"/>
    <n v="-114.78"/>
    <n v="0"/>
    <n v="0"/>
    <n v="1496.86"/>
    <n v="6235.52"/>
    <n v="-1.36"/>
    <n v="0"/>
    <n v="41.39"/>
    <n v="0.45"/>
    <n v="181.98"/>
    <n v="326.74"/>
    <n v="0.05"/>
    <n v="0"/>
    <n v="7.67"/>
    <n v="0"/>
    <n v="429.41"/>
    <n v="2823.04"/>
    <n v="0.44"/>
    <n v="0"/>
    <n v="12.46"/>
    <n v="694.5"/>
    <n v="84.85"/>
    <x v="32"/>
  </r>
  <r>
    <d v="2025-07-17T05:00:00"/>
    <n v="-111.86"/>
    <n v="0"/>
    <n v="0"/>
    <n v="1417.78"/>
    <n v="6404.62"/>
    <n v="-0.95"/>
    <n v="0"/>
    <n v="41.15"/>
    <n v="0.62"/>
    <n v="175.05"/>
    <n v="315.12"/>
    <n v="0.05"/>
    <n v="0"/>
    <n v="7.43"/>
    <n v="0"/>
    <n v="399.26"/>
    <n v="2898.57"/>
    <n v="0.45"/>
    <n v="0"/>
    <n v="12.39"/>
    <n v="706.52"/>
    <n v="78.47"/>
    <x v="33"/>
  </r>
  <r>
    <d v="2025-07-17T05:30:00"/>
    <n v="-78.739999999999995"/>
    <n v="0"/>
    <n v="0"/>
    <n v="1450.46"/>
    <n v="6728.24"/>
    <n v="-1.57"/>
    <n v="0"/>
    <n v="41.32"/>
    <n v="0.39"/>
    <n v="195.19"/>
    <n v="314.33"/>
    <n v="0.05"/>
    <n v="0"/>
    <n v="7.39"/>
    <n v="0"/>
    <n v="412.71"/>
    <n v="3042.73"/>
    <n v="0.44"/>
    <n v="0"/>
    <n v="12.44"/>
    <n v="706.53"/>
    <n v="80.010000000000005"/>
    <x v="34"/>
  </r>
  <r>
    <d v="2025-07-17T06:00:00"/>
    <n v="-36.92"/>
    <n v="0"/>
    <n v="0"/>
    <n v="1265.78"/>
    <n v="7186.1"/>
    <n v="-0.95"/>
    <n v="0"/>
    <n v="40.590000000000003"/>
    <n v="6.89"/>
    <n v="246.57"/>
    <n v="354.1"/>
    <n v="0.05"/>
    <n v="0"/>
    <n v="7.29"/>
    <n v="0"/>
    <n v="354.2"/>
    <n v="3245.36"/>
    <n v="0.44"/>
    <n v="0"/>
    <n v="12.41"/>
    <n v="719.08"/>
    <n v="80.010000000000005"/>
    <x v="35"/>
  </r>
  <r>
    <d v="2025-07-17T06:30:00"/>
    <n v="-21.25"/>
    <n v="0"/>
    <n v="0"/>
    <n v="1204.83"/>
    <n v="7720.06"/>
    <n v="0.36"/>
    <n v="0"/>
    <n v="136.79"/>
    <n v="40.200000000000003"/>
    <n v="397.02"/>
    <n v="374.29"/>
    <n v="0.05"/>
    <n v="0.09"/>
    <n v="7.02"/>
    <n v="0"/>
    <n v="359.82"/>
    <n v="3480.38"/>
    <n v="0.44"/>
    <n v="0"/>
    <n v="39.67"/>
    <n v="714.64"/>
    <n v="96.96"/>
    <x v="36"/>
  </r>
  <r>
    <d v="2025-07-17T07:00:00"/>
    <n v="-6.31"/>
    <n v="0"/>
    <n v="0"/>
    <n v="1077.33"/>
    <n v="7916.34"/>
    <n v="3.42"/>
    <n v="0"/>
    <n v="388.59"/>
    <n v="114.13"/>
    <n v="557.1"/>
    <n v="393.91"/>
    <n v="7.53"/>
    <n v="9.4600000000000009"/>
    <n v="6.75"/>
    <n v="0"/>
    <n v="345.23"/>
    <n v="3564.22"/>
    <n v="0.44"/>
    <n v="0"/>
    <n v="121.46"/>
    <n v="704.7"/>
    <n v="158.97999999999999"/>
    <x v="37"/>
  </r>
  <r>
    <d v="2025-07-17T07:30:00"/>
    <n v="-8.93"/>
    <n v="0"/>
    <n v="0"/>
    <n v="1339.87"/>
    <n v="7991.77"/>
    <n v="1.62"/>
    <n v="0"/>
    <n v="374.39"/>
    <n v="41.37"/>
    <n v="679.26"/>
    <n v="442.05"/>
    <n v="167.44"/>
    <n v="114.83"/>
    <n v="6.73"/>
    <n v="0"/>
    <n v="419.91"/>
    <n v="3599.62"/>
    <n v="0.45"/>
    <n v="0"/>
    <n v="123.86"/>
    <n v="668.35"/>
    <n v="107.41"/>
    <x v="38"/>
  </r>
  <r>
    <d v="2025-07-17T08:00:00"/>
    <n v="-4.79"/>
    <n v="0"/>
    <n v="0"/>
    <n v="1200.06"/>
    <n v="7934.04"/>
    <n v="-0.55000000000000004"/>
    <n v="0"/>
    <n v="374.46"/>
    <n v="130"/>
    <n v="395.6"/>
    <n v="491.51"/>
    <n v="626.09"/>
    <n v="422.41"/>
    <n v="7.15"/>
    <n v="0"/>
    <n v="362.07"/>
    <n v="3574.48"/>
    <n v="0.45"/>
    <n v="0"/>
    <n v="123.88"/>
    <n v="639.45000000000005"/>
    <n v="105.89"/>
    <x v="39"/>
  </r>
  <r>
    <d v="2025-07-17T08:30:00"/>
    <n v="-1.91"/>
    <n v="0"/>
    <n v="0"/>
    <n v="1182.24"/>
    <n v="7701.28"/>
    <n v="1.71"/>
    <n v="0"/>
    <n v="256.95"/>
    <n v="68.739999999999995"/>
    <n v="218.88"/>
    <n v="487.72"/>
    <n v="1178.45"/>
    <n v="822.95"/>
    <n v="8.31"/>
    <n v="0"/>
    <n v="342.1"/>
    <n v="3467.58"/>
    <n v="0.45"/>
    <n v="0"/>
    <n v="88.92"/>
    <n v="596.95000000000005"/>
    <n v="52.14"/>
    <x v="40"/>
  </r>
  <r>
    <d v="2025-07-17T09:00:00"/>
    <n v="-5.2"/>
    <n v="0"/>
    <n v="-135.08000000000001"/>
    <n v="1013.79"/>
    <n v="7238.66"/>
    <n v="12.53"/>
    <n v="0"/>
    <n v="41.48"/>
    <n v="240"/>
    <n v="101.15"/>
    <n v="463.52"/>
    <n v="1704.69"/>
    <n v="1286.24"/>
    <n v="9.01"/>
    <n v="44.35"/>
    <n v="263.74"/>
    <n v="3262.47"/>
    <n v="0.45"/>
    <n v="0"/>
    <n v="12.49"/>
    <n v="547.64"/>
    <n v="76.8"/>
    <x v="41"/>
  </r>
  <r>
    <d v="2025-07-17T09:30:00"/>
    <n v="-7.06"/>
    <n v="0"/>
    <n v="-267.99"/>
    <n v="1046.6300000000001"/>
    <n v="6365.08"/>
    <n v="10.27"/>
    <n v="0"/>
    <n v="41.56"/>
    <n v="278.85000000000002"/>
    <n v="11.25"/>
    <n v="423.89"/>
    <n v="2013.7"/>
    <n v="1870.36"/>
    <n v="10"/>
    <n v="84.45"/>
    <n v="267.43"/>
    <n v="2871.86"/>
    <n v="0.4"/>
    <n v="0"/>
    <n v="12.51"/>
    <n v="489.5"/>
    <n v="76.8"/>
    <x v="42"/>
  </r>
  <r>
    <d v="2025-07-17T10:00:00"/>
    <n v="-2.8"/>
    <n v="0"/>
    <n v="-177.23"/>
    <n v="964.61"/>
    <n v="5709.09"/>
    <n v="5.35"/>
    <n v="0"/>
    <n v="41.74"/>
    <n v="37.770000000000003"/>
    <n v="29.64"/>
    <n v="343.03"/>
    <n v="2277.38"/>
    <n v="2385.1"/>
    <n v="10.98"/>
    <n v="54.32"/>
    <n v="240.39"/>
    <n v="2575.9"/>
    <n v="0.37"/>
    <n v="0"/>
    <n v="12.57"/>
    <n v="445.83"/>
    <n v="44.76"/>
    <x v="43"/>
  </r>
  <r>
    <d v="2025-07-17T10:30:00"/>
    <n v="-10.07"/>
    <n v="0"/>
    <n v="-162.01"/>
    <n v="899.33"/>
    <n v="5334.09"/>
    <n v="6.48"/>
    <n v="0"/>
    <n v="40.880000000000003"/>
    <n v="2.42"/>
    <n v="0"/>
    <n v="299.51"/>
    <n v="2201.2199999999998"/>
    <n v="2805.63"/>
    <n v="11.72"/>
    <n v="49.45"/>
    <n v="223.88"/>
    <n v="2405.81"/>
    <n v="0.38"/>
    <n v="0"/>
    <n v="12.31"/>
    <n v="423.65"/>
    <n v="84.85"/>
    <x v="44"/>
  </r>
  <r>
    <d v="2025-07-17T11:00:00"/>
    <n v="-38.36"/>
    <n v="0"/>
    <n v="-226.79"/>
    <n v="960.5"/>
    <n v="4956.08"/>
    <n v="9.8800000000000008"/>
    <n v="0"/>
    <n v="40.71"/>
    <n v="0.64"/>
    <n v="0"/>
    <n v="330.91"/>
    <n v="2164.7600000000002"/>
    <n v="3092"/>
    <n v="12.9"/>
    <n v="67.62"/>
    <n v="237.2"/>
    <n v="2236.8200000000002"/>
    <n v="0.38"/>
    <n v="0"/>
    <n v="12.26"/>
    <n v="398.47"/>
    <n v="57.01"/>
    <x v="45"/>
  </r>
  <r>
    <d v="2025-07-17T11:30:00"/>
    <n v="-123.22"/>
    <n v="0"/>
    <n v="-287.95999999999998"/>
    <n v="861.21"/>
    <n v="4581.97"/>
    <n v="9.6"/>
    <n v="0"/>
    <n v="39.68"/>
    <n v="36.93"/>
    <n v="0"/>
    <n v="436.13"/>
    <n v="2313.7600000000002"/>
    <n v="3264.92"/>
    <n v="13.53"/>
    <n v="80.28"/>
    <n v="216.7"/>
    <n v="2066.67"/>
    <n v="0.37"/>
    <n v="0"/>
    <n v="11.95"/>
    <n v="373.48"/>
    <n v="0"/>
    <x v="46"/>
  </r>
  <r>
    <d v="2025-07-17T12:00:00"/>
    <n v="-224.54"/>
    <n v="-15.55"/>
    <n v="-247.01"/>
    <n v="715.38"/>
    <n v="4220.4799999999996"/>
    <n v="9.5399999999999991"/>
    <n v="0"/>
    <n v="37.090000000000003"/>
    <n v="9.25"/>
    <n v="0"/>
    <n v="535.34"/>
    <n v="2350.3200000000002"/>
    <n v="3402.32"/>
    <n v="14.48"/>
    <n v="65.84"/>
    <n v="178.12"/>
    <n v="1901.58"/>
    <n v="0.37"/>
    <n v="0"/>
    <n v="11.17"/>
    <n v="354.52"/>
    <n v="48.23"/>
    <x v="47"/>
  </r>
  <r>
    <d v="2025-07-17T12:30:00"/>
    <n v="-156.88"/>
    <n v="-205.37"/>
    <n v="-170.09"/>
    <n v="752.23"/>
    <n v="3998.16"/>
    <n v="9.18"/>
    <n v="0"/>
    <n v="34.85"/>
    <n v="0.38"/>
    <n v="20.54"/>
    <n v="600.41"/>
    <n v="2352.5700000000002"/>
    <n v="3411.24"/>
    <n v="15.33"/>
    <n v="42.7"/>
    <n v="188.41"/>
    <n v="1802.5"/>
    <n v="0.36"/>
    <n v="0"/>
    <n v="10.49"/>
    <n v="340.62"/>
    <n v="40.119999999999997"/>
    <x v="0"/>
  </r>
  <r>
    <d v="2025-07-17T13:00:00"/>
    <n v="-214.46"/>
    <n v="-454.87"/>
    <n v="-129.07"/>
    <n v="795.81"/>
    <n v="4020.32"/>
    <n v="8.73"/>
    <n v="0"/>
    <n v="34.19"/>
    <n v="0.51"/>
    <n v="0"/>
    <n v="595.41999999999996"/>
    <n v="2336.7399999999998"/>
    <n v="3346.16"/>
    <n v="16.12"/>
    <n v="31.56"/>
    <n v="199.68"/>
    <n v="1811.94"/>
    <n v="0.35"/>
    <n v="0"/>
    <n v="10.29"/>
    <n v="352.55"/>
    <n v="20.43"/>
    <x v="1"/>
  </r>
  <r>
    <d v="2025-07-17T13:30:00"/>
    <n v="-199.66"/>
    <n v="-470.54"/>
    <n v="-130.47"/>
    <n v="825.72"/>
    <n v="4073.91"/>
    <n v="8.4"/>
    <n v="0"/>
    <n v="32.159999999999997"/>
    <n v="4.05"/>
    <n v="0"/>
    <n v="541.29999999999995"/>
    <n v="2308.9299999999998"/>
    <n v="3132.37"/>
    <n v="16.73"/>
    <n v="32.31"/>
    <n v="209.14"/>
    <n v="1835.81"/>
    <n v="0.35"/>
    <n v="0"/>
    <n v="9.68"/>
    <n v="364.57"/>
    <n v="57.01"/>
    <x v="2"/>
  </r>
  <r>
    <d v="2025-07-17T14:00:00"/>
    <n v="-111.6"/>
    <n v="-470.43"/>
    <n v="-187.52"/>
    <n v="801.68"/>
    <n v="4130.7700000000004"/>
    <n v="8.9700000000000006"/>
    <n v="0"/>
    <n v="30.94"/>
    <n v="2.91"/>
    <n v="0"/>
    <n v="519.39"/>
    <n v="2385.1"/>
    <n v="2826.82"/>
    <n v="17.13"/>
    <n v="46.43"/>
    <n v="207.39"/>
    <n v="1861.93"/>
    <n v="0.37"/>
    <n v="0"/>
    <n v="9.32"/>
    <n v="376.69"/>
    <n v="1.65"/>
    <x v="3"/>
  </r>
  <r>
    <d v="2025-07-17T14:30:00"/>
    <n v="-25.92"/>
    <n v="-470.54"/>
    <n v="-170.98"/>
    <n v="796.69"/>
    <n v="4290.54"/>
    <n v="9.51"/>
    <n v="0"/>
    <n v="32.28"/>
    <n v="19.100000000000001"/>
    <n v="0"/>
    <n v="540.59"/>
    <n v="2378.4299999999998"/>
    <n v="2414.62"/>
    <n v="17.2"/>
    <n v="42.86"/>
    <n v="212.64"/>
    <n v="1934.78"/>
    <n v="0.38"/>
    <n v="0"/>
    <n v="9.7200000000000006"/>
    <n v="396.33"/>
    <n v="57.01"/>
    <x v="4"/>
  </r>
  <r>
    <d v="2025-07-17T15:00:00"/>
    <n v="-27.79"/>
    <n v="-241.81"/>
    <n v="-190.58"/>
    <n v="819.58"/>
    <n v="4915.79"/>
    <n v="9.5399999999999991"/>
    <n v="0"/>
    <n v="33.39"/>
    <n v="5.82"/>
    <n v="0"/>
    <n v="524.08000000000004"/>
    <n v="1984.17"/>
    <n v="1945.37"/>
    <n v="17.190000000000001"/>
    <n v="55.2"/>
    <n v="220.1"/>
    <n v="2214.08"/>
    <n v="0.37"/>
    <n v="0"/>
    <n v="10.050000000000001"/>
    <n v="455.02"/>
    <n v="140.36000000000001"/>
    <x v="5"/>
  </r>
  <r>
    <d v="2025-07-17T15:30:00"/>
    <n v="-79.58"/>
    <n v="-80.64"/>
    <n v="-271.32"/>
    <n v="780.88"/>
    <n v="5674.82"/>
    <n v="10.43"/>
    <n v="1"/>
    <n v="34.92"/>
    <n v="6.11"/>
    <n v="0"/>
    <n v="492.07"/>
    <n v="1801.47"/>
    <n v="1469.53"/>
    <n v="17.02"/>
    <n v="85.57"/>
    <n v="217.01"/>
    <n v="2554.38"/>
    <n v="0.39"/>
    <n v="0.19"/>
    <n v="10.51"/>
    <n v="521.45000000000005"/>
    <n v="0"/>
    <x v="6"/>
  </r>
  <r>
    <d v="2025-07-17T16:00:00"/>
    <n v="-105.3"/>
    <n v="-67.239999999999995"/>
    <n v="-227.11"/>
    <n v="805.28"/>
    <n v="6816.53"/>
    <n v="9.0299999999999994"/>
    <n v="52.17"/>
    <n v="36.58"/>
    <n v="6.49"/>
    <n v="0"/>
    <n v="425.11"/>
    <n v="1142.27"/>
    <n v="1000.25"/>
    <n v="16.02"/>
    <n v="82.2"/>
    <n v="247.78"/>
    <n v="3068.9"/>
    <n v="0.45"/>
    <n v="9.6999999999999993"/>
    <n v="11.01"/>
    <n v="624.63"/>
    <n v="106.28"/>
    <x v="7"/>
  </r>
  <r>
    <d v="2025-07-17T16:30:00"/>
    <n v="-26.84"/>
    <n v="0"/>
    <n v="-224.95"/>
    <n v="893.14"/>
    <n v="7710.41"/>
    <n v="-0.04"/>
    <n v="189.67"/>
    <n v="36.67"/>
    <n v="0.78"/>
    <n v="62.31"/>
    <n v="383.55"/>
    <n v="459.69"/>
    <n v="542.21"/>
    <n v="14.99"/>
    <n v="89.1"/>
    <n v="301.45999999999998"/>
    <n v="3470.41"/>
    <n v="0.45"/>
    <n v="35.26"/>
    <n v="11.22"/>
    <n v="701.6"/>
    <n v="84.7"/>
    <x v="8"/>
  </r>
  <r>
    <d v="2025-07-17T17:00:00"/>
    <n v="-6.92"/>
    <n v="0"/>
    <n v="-238.14"/>
    <n v="931.81"/>
    <n v="7965.6"/>
    <n v="-0.95"/>
    <n v="308.83"/>
    <n v="163.5"/>
    <n v="48.3"/>
    <n v="528.14"/>
    <n v="489.01"/>
    <n v="115.34"/>
    <n v="173.77"/>
    <n v="14.12"/>
    <n v="91"/>
    <n v="324.83999999999997"/>
    <n v="3586.54"/>
    <n v="0.45"/>
    <n v="57.41"/>
    <n v="47.21"/>
    <n v="704.62"/>
    <n v="165.24"/>
    <x v="9"/>
  </r>
  <r>
    <d v="2025-07-17T17:30:00"/>
    <n v="-2.33"/>
    <n v="0"/>
    <n v="-247.09"/>
    <n v="952.48"/>
    <n v="7969.07"/>
    <n v="-0.15"/>
    <n v="443.33"/>
    <n v="500.54"/>
    <n v="148.81"/>
    <n v="781.62"/>
    <n v="446.51"/>
    <n v="10.119999999999999"/>
    <n v="21.45"/>
    <n v="13.62"/>
    <n v="91.32"/>
    <n v="326.08"/>
    <n v="3588.3"/>
    <n v="0.46"/>
    <n v="82.42"/>
    <n v="142.02000000000001"/>
    <n v="691.78"/>
    <n v="202.35"/>
    <x v="10"/>
  </r>
  <r>
    <d v="2025-07-17T18:00:00"/>
    <n v="-2.59"/>
    <n v="0"/>
    <n v="-211.31"/>
    <n v="1048.56"/>
    <n v="7997.94"/>
    <n v="0.25"/>
    <n v="441.67"/>
    <n v="699.88"/>
    <n v="225.61"/>
    <n v="839.56"/>
    <n v="463.5"/>
    <n v="0.05"/>
    <n v="0.27"/>
    <n v="13.09"/>
    <n v="76.75"/>
    <n v="347.02"/>
    <n v="3603.26"/>
    <n v="0.47"/>
    <n v="82.11"/>
    <n v="198.16"/>
    <n v="675.28"/>
    <n v="254.96"/>
    <x v="11"/>
  </r>
  <r>
    <d v="2025-07-17T18:30:00"/>
    <n v="-3.52"/>
    <n v="0"/>
    <n v="-103.97"/>
    <n v="1203.54"/>
    <n v="8078.78"/>
    <n v="-0.3"/>
    <n v="443.5"/>
    <n v="701.87"/>
    <n v="194.77"/>
    <n v="863.3"/>
    <n v="379.57"/>
    <n v="0.05"/>
    <n v="0"/>
    <n v="12.89"/>
    <n v="38.090000000000003"/>
    <n v="397.77"/>
    <n v="3642.82"/>
    <n v="0.47"/>
    <n v="82.45"/>
    <n v="198.73"/>
    <n v="667.56"/>
    <n v="186.83"/>
    <x v="12"/>
  </r>
  <r>
    <d v="2025-07-17T19:00:00"/>
    <n v="-4.9400000000000004"/>
    <n v="0"/>
    <n v="-47.36"/>
    <n v="1320.33"/>
    <n v="8130.66"/>
    <n v="-0.02"/>
    <n v="450.33"/>
    <n v="704.97"/>
    <n v="175.64"/>
    <n v="876.02"/>
    <n v="361.17"/>
    <n v="0.05"/>
    <n v="0"/>
    <n v="12.58"/>
    <n v="17.48"/>
    <n v="436.41"/>
    <n v="3668.4"/>
    <n v="0.47"/>
    <n v="83.72"/>
    <n v="199.61"/>
    <n v="660.52"/>
    <n v="185.72"/>
    <x v="13"/>
  </r>
  <r>
    <d v="2025-07-17T19:30:00"/>
    <n v="-5.38"/>
    <n v="0"/>
    <n v="-87.06"/>
    <n v="1351.63"/>
    <n v="8129.35"/>
    <n v="-0.18"/>
    <n v="450.83"/>
    <n v="703.35"/>
    <n v="50.57"/>
    <n v="876.66"/>
    <n v="395.45"/>
    <n v="0.05"/>
    <n v="0"/>
    <n v="11.9"/>
    <n v="32.35"/>
    <n v="447.23"/>
    <n v="3667.86"/>
    <n v="0.47"/>
    <n v="83.81"/>
    <n v="199.15"/>
    <n v="666.03"/>
    <n v="239.65"/>
    <x v="14"/>
  </r>
  <r>
    <d v="2025-07-17T20:00:00"/>
    <n v="-13.84"/>
    <n v="0"/>
    <n v="-155.18"/>
    <n v="1331.13"/>
    <n v="8134.41"/>
    <n v="0.51"/>
    <n v="451.5"/>
    <n v="703.88"/>
    <n v="59.39"/>
    <n v="866.48"/>
    <n v="441.89"/>
    <n v="0.05"/>
    <n v="0"/>
    <n v="11.47"/>
    <n v="57.42"/>
    <n v="443.66"/>
    <n v="3670.05"/>
    <n v="0.47"/>
    <n v="83.93"/>
    <n v="199.31"/>
    <n v="668.98"/>
    <n v="154.57"/>
    <x v="15"/>
  </r>
  <r>
    <d v="2025-07-17T20:30:00"/>
    <n v="-3.69"/>
    <n v="0"/>
    <n v="-230.05"/>
    <n v="1338.94"/>
    <n v="8147.78"/>
    <n v="0.03"/>
    <n v="451.5"/>
    <n v="704.96"/>
    <n v="21.79"/>
    <n v="837.13"/>
    <n v="426.13"/>
    <n v="0.05"/>
    <n v="0"/>
    <n v="11.44"/>
    <n v="85.82"/>
    <n v="450.77"/>
    <n v="3676.3"/>
    <n v="0.47"/>
    <n v="83.93"/>
    <n v="199.62"/>
    <n v="677.29"/>
    <n v="163.07"/>
    <x v="16"/>
  </r>
  <r>
    <d v="2025-07-17T21:00:00"/>
    <n v="-10.78"/>
    <n v="0"/>
    <n v="-180.76"/>
    <n v="1324.47"/>
    <n v="8145.84"/>
    <n v="-0.2"/>
    <n v="450.17"/>
    <n v="621.1"/>
    <n v="44.87"/>
    <n v="621.15"/>
    <n v="441.88"/>
    <n v="0.05"/>
    <n v="0"/>
    <n v="11.79"/>
    <n v="68.62"/>
    <n v="450.24"/>
    <n v="3675.39"/>
    <n v="0.47"/>
    <n v="83.69"/>
    <n v="175.98"/>
    <n v="686.96"/>
    <n v="234.56"/>
    <x v="17"/>
  </r>
  <r>
    <d v="2025-07-17T21:30:00"/>
    <n v="-14.03"/>
    <n v="0"/>
    <n v="-202.07"/>
    <n v="1249.76"/>
    <n v="8129.83"/>
    <n v="0.27"/>
    <n v="450.67"/>
    <n v="350.09"/>
    <n v="18.8"/>
    <n v="560"/>
    <n v="434.36"/>
    <n v="0.05"/>
    <n v="0"/>
    <n v="11.62"/>
    <n v="78.209999999999994"/>
    <n v="430.44"/>
    <n v="3667.04"/>
    <n v="0.47"/>
    <n v="83.78"/>
    <n v="99.55"/>
    <n v="701.57"/>
    <n v="134.12"/>
    <x v="18"/>
  </r>
  <r>
    <d v="2025-07-17T22:00:00"/>
    <n v="-13.46"/>
    <n v="0"/>
    <n v="-191.8"/>
    <n v="1112.75"/>
    <n v="8061.09"/>
    <n v="-2.5499999999999998"/>
    <n v="449.83"/>
    <n v="195.03"/>
    <n v="5.35"/>
    <n v="238.7"/>
    <n v="457.35"/>
    <n v="0.05"/>
    <n v="0"/>
    <n v="11.19"/>
    <n v="76.540000000000006"/>
    <n v="387.71"/>
    <n v="3633.08"/>
    <n v="0.45"/>
    <n v="83.62"/>
    <n v="55.83"/>
    <n v="731.74"/>
    <n v="134.53"/>
    <x v="19"/>
  </r>
  <r>
    <d v="2025-07-17T22:30:00"/>
    <n v="-12.4"/>
    <n v="0"/>
    <n v="-108.46"/>
    <n v="1004.62"/>
    <n v="8073.74"/>
    <n v="-2.5099999999999998"/>
    <n v="453.17"/>
    <n v="52.8"/>
    <n v="3.78"/>
    <n v="25.97"/>
    <n v="522.1"/>
    <n v="0.05"/>
    <n v="0"/>
    <n v="10.42"/>
    <n v="44.3"/>
    <n v="355.6"/>
    <n v="3638.95"/>
    <n v="0.45"/>
    <n v="84.24"/>
    <n v="15.71"/>
    <n v="746.91"/>
    <n v="171.65"/>
    <x v="20"/>
  </r>
  <r>
    <d v="2025-07-17T23:00:00"/>
    <n v="-11.46"/>
    <n v="0"/>
    <n v="-184.95"/>
    <n v="934.67"/>
    <n v="8119.62"/>
    <n v="-0.33"/>
    <n v="444.17"/>
    <n v="42.55"/>
    <n v="0.21"/>
    <n v="0"/>
    <n v="506.45"/>
    <n v="0.05"/>
    <n v="0"/>
    <n v="9.98"/>
    <n v="76.069999999999993"/>
    <n v="339.03"/>
    <n v="3661.95"/>
    <n v="0.44"/>
    <n v="82.57"/>
    <n v="12.81"/>
    <n v="762.92"/>
    <n v="140.94"/>
    <x v="21"/>
  </r>
  <r>
    <d v="2025-07-17T23:30:00"/>
    <n v="-10.81"/>
    <n v="0"/>
    <n v="-188.5"/>
    <n v="903.45"/>
    <n v="8122.02"/>
    <n v="-0.5"/>
    <n v="305.17"/>
    <n v="42.53"/>
    <n v="0.72"/>
    <n v="0"/>
    <n v="421.67"/>
    <n v="0.05"/>
    <n v="0"/>
    <n v="10.050000000000001"/>
    <n v="78.91"/>
    <n v="328.94"/>
    <n v="3663.22"/>
    <n v="0.45"/>
    <n v="56.73"/>
    <n v="12.8"/>
    <n v="778.09"/>
    <n v="109.92"/>
    <x v="22"/>
  </r>
  <r>
    <d v="2025-07-18T00:00:00"/>
    <n v="-12.24"/>
    <n v="0"/>
    <n v="-218.38"/>
    <n v="956.18"/>
    <n v="8067.67"/>
    <n v="-0.74"/>
    <n v="194.33"/>
    <n v="42.68"/>
    <n v="0.13"/>
    <n v="0"/>
    <n v="261.79000000000002"/>
    <n v="0.05"/>
    <n v="0"/>
    <n v="9.8800000000000008"/>
    <n v="93.78"/>
    <n v="345.93"/>
    <n v="3639.42"/>
    <n v="0.44"/>
    <n v="36.130000000000003"/>
    <n v="12.85"/>
    <n v="794.03"/>
    <n v="127.6"/>
    <x v="23"/>
  </r>
  <r>
    <d v="2025-07-18T00:30:00"/>
    <n v="-20.67"/>
    <n v="0"/>
    <n v="-189.4"/>
    <n v="731.18"/>
    <n v="7973.44"/>
    <n v="-2.65"/>
    <n v="190"/>
    <n v="42.71"/>
    <n v="0.28999999999999998"/>
    <n v="0"/>
    <n v="298.75"/>
    <n v="0.05"/>
    <n v="0"/>
    <n v="9.32"/>
    <n v="81.010000000000005"/>
    <n v="262.89"/>
    <n v="3598.52"/>
    <n v="0.41"/>
    <n v="35.32"/>
    <n v="12.86"/>
    <n v="808.34"/>
    <n v="98.1"/>
    <x v="24"/>
  </r>
  <r>
    <d v="2025-07-18T01:00:00"/>
    <n v="-59.56"/>
    <n v="0"/>
    <n v="-143.83000000000001"/>
    <n v="570.51"/>
    <n v="7814.07"/>
    <n v="-1.69"/>
    <n v="189.83"/>
    <n v="42.84"/>
    <n v="0.1"/>
    <n v="0"/>
    <n v="353.75"/>
    <n v="0.05"/>
    <n v="0"/>
    <n v="9.18"/>
    <n v="61.06"/>
    <n v="208.47"/>
    <n v="3528.49"/>
    <n v="0.43"/>
    <n v="35.29"/>
    <n v="12.9"/>
    <n v="816.13"/>
    <n v="96.55"/>
    <x v="25"/>
  </r>
  <r>
    <d v="2025-07-18T01:30:00"/>
    <n v="-16.57"/>
    <n v="-67.48"/>
    <n v="-174.89"/>
    <n v="567.84"/>
    <n v="7627.58"/>
    <n v="-1.04"/>
    <n v="189.67"/>
    <n v="42.78"/>
    <n v="0.06"/>
    <n v="0"/>
    <n v="376.66"/>
    <n v="0.05"/>
    <n v="0"/>
    <n v="9.0299999999999994"/>
    <n v="73.39"/>
    <n v="211.86"/>
    <n v="3446.4"/>
    <n v="0.44"/>
    <n v="35.26"/>
    <n v="12.88"/>
    <n v="818.05"/>
    <n v="90.63"/>
    <x v="26"/>
  </r>
  <r>
    <d v="2025-07-18T02:00:00"/>
    <n v="-16.52"/>
    <n v="-80.81"/>
    <n v="-165.42"/>
    <n v="523.20000000000005"/>
    <n v="7425.33"/>
    <n v="-1.43"/>
    <n v="190"/>
    <n v="42.9"/>
    <n v="0.16"/>
    <n v="0"/>
    <n v="465.77"/>
    <n v="0.05"/>
    <n v="0"/>
    <n v="9"/>
    <n v="68.44"/>
    <n v="200.39"/>
    <n v="3355.9"/>
    <n v="0.45"/>
    <n v="35.32"/>
    <n v="12.92"/>
    <n v="812.24"/>
    <n v="84.85"/>
    <x v="27"/>
  </r>
  <r>
    <d v="2025-07-18T02:30:00"/>
    <n v="-50.46"/>
    <n v="-80.709999999999994"/>
    <n v="-156.04"/>
    <n v="459.56"/>
    <n v="7290"/>
    <n v="-2.1800000000000002"/>
    <n v="190.17"/>
    <n v="43.32"/>
    <n v="0.13"/>
    <n v="0"/>
    <n v="453.06"/>
    <n v="0.05"/>
    <n v="0"/>
    <n v="8.99"/>
    <n v="64.489999999999995"/>
    <n v="178.55"/>
    <n v="3291.3"/>
    <n v="0.43"/>
    <n v="35.35"/>
    <n v="13.04"/>
    <n v="819.98"/>
    <n v="90.36"/>
    <x v="28"/>
  </r>
  <r>
    <d v="2025-07-18T03:00:00"/>
    <n v="-70.569999999999993"/>
    <n v="-80.61"/>
    <n v="-128.77000000000001"/>
    <n v="457.41"/>
    <n v="7203.53"/>
    <n v="-2.29"/>
    <n v="189.83"/>
    <n v="43"/>
    <n v="0.42"/>
    <n v="0"/>
    <n v="404.65"/>
    <n v="0.05"/>
    <n v="0"/>
    <n v="8.91"/>
    <n v="53.45"/>
    <n v="178.63"/>
    <n v="3250.63"/>
    <n v="0.43"/>
    <n v="35.29"/>
    <n v="12.95"/>
    <n v="823.11"/>
    <n v="81.17"/>
    <x v="29"/>
  </r>
  <r>
    <d v="2025-07-18T03:30:00"/>
    <n v="-67.290000000000006"/>
    <n v="-80.709999999999994"/>
    <n v="-150.55000000000001"/>
    <n v="461.84"/>
    <n v="7227.16"/>
    <n v="-2.92"/>
    <n v="189.67"/>
    <n v="42.73"/>
    <n v="0.75"/>
    <n v="0"/>
    <n v="332.93"/>
    <n v="0.05"/>
    <n v="0"/>
    <n v="8.8000000000000007"/>
    <n v="63.09"/>
    <n v="183.18"/>
    <n v="3260.44"/>
    <n v="0.41"/>
    <n v="35.26"/>
    <n v="12.87"/>
    <n v="832.06"/>
    <n v="102.32"/>
    <x v="30"/>
  </r>
  <r>
    <d v="2025-07-18T04:00:00"/>
    <n v="-77.040000000000006"/>
    <n v="-80.73"/>
    <n v="-134.76"/>
    <n v="336.68"/>
    <n v="7270.43"/>
    <n v="-2.83"/>
    <n v="190"/>
    <n v="43.12"/>
    <n v="0.44"/>
    <n v="0"/>
    <n v="337.84"/>
    <n v="0.05"/>
    <n v="0"/>
    <n v="8.6300000000000008"/>
    <n v="56.57"/>
    <n v="133.55000000000001"/>
    <n v="3297.93"/>
    <n v="0.42"/>
    <n v="35.31"/>
    <n v="12.98"/>
    <n v="849.05"/>
    <n v="85.84"/>
    <x v="31"/>
  </r>
  <r>
    <d v="2025-07-18T04:30:00"/>
    <n v="-76.790000000000006"/>
    <n v="-80.75"/>
    <n v="-91.01"/>
    <n v="316.18"/>
    <n v="7289.57"/>
    <n v="-2.35"/>
    <n v="189.83"/>
    <n v="43.54"/>
    <n v="0.42"/>
    <n v="0"/>
    <n v="327.20999999999998"/>
    <n v="0.05"/>
    <n v="0"/>
    <n v="8.58"/>
    <n v="38.18"/>
    <n v="126.7"/>
    <n v="3270.58"/>
    <n v="0.42"/>
    <n v="35.31"/>
    <n v="13.07"/>
    <n v="838.66"/>
    <n v="100.25"/>
    <x v="32"/>
  </r>
  <r>
    <d v="2025-07-18T05:00:00"/>
    <n v="-45.92"/>
    <n v="-67.25"/>
    <n v="-92.89"/>
    <n v="316.49"/>
    <n v="7449.21"/>
    <n v="-3.22"/>
    <n v="190.17"/>
    <n v="43.19"/>
    <n v="3"/>
    <n v="0"/>
    <n v="307.83"/>
    <n v="0.05"/>
    <n v="0"/>
    <n v="8.43"/>
    <n v="39.07"/>
    <n v="127.7"/>
    <n v="3306.44"/>
    <n v="0.42"/>
    <n v="35.340000000000003"/>
    <n v="13.02"/>
    <n v="828.38"/>
    <n v="112.24"/>
    <x v="33"/>
  </r>
  <r>
    <d v="2025-07-18T05:30:00"/>
    <n v="-78.44"/>
    <n v="0"/>
    <n v="-139.56"/>
    <n v="279.83"/>
    <n v="7844.03"/>
    <n v="-0.92"/>
    <n v="208.17"/>
    <n v="43.6"/>
    <n v="0.28999999999999998"/>
    <n v="43.07"/>
    <n v="289.05"/>
    <n v="0.05"/>
    <n v="0"/>
    <n v="8.32"/>
    <n v="59.34"/>
    <n v="113.94"/>
    <n v="3470.37"/>
    <n v="0.42"/>
    <n v="37.01"/>
    <n v="13.11"/>
    <n v="829.51"/>
    <n v="122.82"/>
    <x v="34"/>
  </r>
  <r>
    <d v="2025-07-18T06:00:00"/>
    <n v="-95.53"/>
    <n v="0"/>
    <n v="-203.96"/>
    <n v="217.05"/>
    <n v="8092.69"/>
    <n v="-1.32"/>
    <n v="376.17"/>
    <n v="43.57"/>
    <n v="6.73"/>
    <n v="250.05"/>
    <n v="281.88"/>
    <n v="0.05"/>
    <n v="0"/>
    <n v="8.36"/>
    <n v="85.47"/>
    <n v="87.53"/>
    <n v="3603.66"/>
    <n v="0.42"/>
    <n v="52.63"/>
    <n v="13.14"/>
    <n v="818.49"/>
    <n v="120.89"/>
    <x v="35"/>
  </r>
  <r>
    <d v="2025-07-18T06:30:00"/>
    <n v="-32.76"/>
    <n v="0"/>
    <n v="-142.37"/>
    <n v="340.96"/>
    <n v="8143.84"/>
    <n v="0.45"/>
    <n v="457.92"/>
    <n v="43.84"/>
    <n v="0.49"/>
    <n v="288.27999999999997"/>
    <n v="290.02999999999997"/>
    <n v="0.05"/>
    <n v="0.01"/>
    <n v="8.16"/>
    <n v="59.39"/>
    <n v="133.6"/>
    <n v="3616.08"/>
    <n v="0.43"/>
    <n v="60.81"/>
    <n v="13.18"/>
    <n v="785.99"/>
    <n v="162.19"/>
    <x v="36"/>
  </r>
  <r>
    <d v="2025-07-18T07:00:00"/>
    <n v="-6.85"/>
    <n v="0"/>
    <n v="-72.849999999999994"/>
    <n v="431.06"/>
    <n v="8100.52"/>
    <n v="-0.76"/>
    <n v="534.85"/>
    <n v="43.74"/>
    <n v="125"/>
    <n v="328.44"/>
    <n v="310.75"/>
    <n v="1.51"/>
    <n v="4.3099999999999996"/>
    <n v="8.18"/>
    <n v="30.05"/>
    <n v="166.08"/>
    <n v="3605.06"/>
    <n v="0.43"/>
    <n v="74.45"/>
    <n v="13.16"/>
    <n v="753.72"/>
    <n v="202.46"/>
    <x v="37"/>
  </r>
  <r>
    <d v="2025-07-18T07:30:00"/>
    <n v="-6.86"/>
    <n v="0"/>
    <n v="0"/>
    <n v="514.67999999999995"/>
    <n v="8064.88"/>
    <n v="-0.59"/>
    <n v="576.74"/>
    <n v="43.56"/>
    <n v="159.91"/>
    <n v="402.95"/>
    <n v="309.8"/>
    <n v="70.709999999999994"/>
    <n v="62.82"/>
    <n v="8.23"/>
    <n v="0"/>
    <n v="197.8"/>
    <n v="3596.15"/>
    <n v="0.43"/>
    <n v="81.89"/>
    <n v="13.14"/>
    <n v="723.94"/>
    <n v="299.98"/>
    <x v="38"/>
  </r>
  <r>
    <d v="2025-07-18T08:00:00"/>
    <n v="-7.68"/>
    <n v="0"/>
    <n v="-60.3"/>
    <n v="380.35"/>
    <n v="8133.81"/>
    <n v="-0.13"/>
    <n v="568.51"/>
    <n v="43.51"/>
    <n v="118.35"/>
    <n v="590.59"/>
    <n v="331.23"/>
    <n v="451.78"/>
    <n v="284.2"/>
    <n v="8.52"/>
    <n v="23.62"/>
    <n v="146.85"/>
    <n v="3613.21"/>
    <n v="0.43"/>
    <n v="81.08"/>
    <n v="13.13"/>
    <n v="684.47"/>
    <n v="291.7"/>
    <x v="39"/>
  </r>
  <r>
    <d v="2025-07-18T08:30:00"/>
    <n v="-6.08"/>
    <n v="0"/>
    <n v="-180.12"/>
    <n v="352.23"/>
    <n v="8086.29"/>
    <n v="2.06"/>
    <n v="373.48"/>
    <n v="43.92"/>
    <n v="89.09"/>
    <n v="483.07"/>
    <n v="340.28"/>
    <n v="1086.8599999999999"/>
    <n v="607.22"/>
    <n v="9.42"/>
    <n v="66.92"/>
    <n v="132.28"/>
    <n v="3615.6"/>
    <n v="0.44"/>
    <n v="69.010000000000005"/>
    <n v="13.19"/>
    <n v="655.82"/>
    <n v="263.02"/>
    <x v="40"/>
  </r>
  <r>
    <d v="2025-07-18T09:00:00"/>
    <n v="-25.04"/>
    <n v="0"/>
    <n v="-274.92"/>
    <n v="421.08"/>
    <n v="7942.53"/>
    <n v="12.36"/>
    <n v="9.67"/>
    <n v="43.94"/>
    <n v="41.4"/>
    <n v="335.99"/>
    <n v="293.14"/>
    <n v="1599.19"/>
    <n v="1041.28"/>
    <n v="11.24"/>
    <n v="97.07"/>
    <n v="151.81"/>
    <n v="3608.63"/>
    <n v="0.45"/>
    <n v="42.14"/>
    <n v="13.18"/>
    <n v="640.59"/>
    <n v="168.06"/>
    <x v="41"/>
  </r>
  <r>
    <d v="2025-07-18T09:30:00"/>
    <n v="-15.09"/>
    <n v="0"/>
    <n v="-277.29000000000002"/>
    <n v="503.39"/>
    <n v="7744.28"/>
    <n v="12.89"/>
    <n v="0"/>
    <n v="43.91"/>
    <n v="0.19"/>
    <n v="0.08"/>
    <n v="251.66"/>
    <n v="1745.82"/>
    <n v="1387.69"/>
    <n v="12.41"/>
    <n v="101.25"/>
    <n v="178.59"/>
    <n v="3561.32"/>
    <n v="0.45"/>
    <n v="41.24"/>
    <n v="13.17"/>
    <n v="634.54999999999995"/>
    <n v="122.8"/>
    <x v="42"/>
  </r>
  <r>
    <d v="2025-07-18T10:00:00"/>
    <n v="-232.19"/>
    <n v="0"/>
    <n v="-264.02999999999997"/>
    <n v="589.14"/>
    <n v="7298.85"/>
    <n v="10.83"/>
    <n v="0"/>
    <n v="43.76"/>
    <n v="2.9"/>
    <n v="0"/>
    <n v="209.68"/>
    <n v="1869.52"/>
    <n v="1629.2"/>
    <n v="12.49"/>
    <n v="95.76"/>
    <n v="204.69"/>
    <n v="3460.31"/>
    <n v="0.43"/>
    <n v="41.24"/>
    <n v="13.15"/>
    <n v="630.08000000000004"/>
    <n v="128.81"/>
    <x v="43"/>
  </r>
  <r>
    <d v="2025-07-18T10:30:00"/>
    <n v="-140.24"/>
    <n v="0"/>
    <n v="-152.61000000000001"/>
    <n v="527.89"/>
    <n v="6846.27"/>
    <n v="10.45"/>
    <n v="0"/>
    <n v="42.91"/>
    <n v="1.58"/>
    <n v="0"/>
    <n v="172.27"/>
    <n v="1960.16"/>
    <n v="1810"/>
    <n v="12.29"/>
    <n v="54.89"/>
    <n v="185.74"/>
    <n v="3359.77"/>
    <n v="0.43"/>
    <n v="41.24"/>
    <n v="13.02"/>
    <n v="616.4"/>
    <n v="123.83"/>
    <x v="44"/>
  </r>
  <r>
    <d v="2025-07-18T11:00:00"/>
    <n v="-31.11"/>
    <n v="-67.319999999999993"/>
    <n v="-30.38"/>
    <n v="445.49"/>
    <n v="6486.45"/>
    <n v="10.32"/>
    <n v="0"/>
    <n v="42.78"/>
    <n v="30.87"/>
    <n v="0"/>
    <n v="131.25"/>
    <n v="2070.46"/>
    <n v="1888.35"/>
    <n v="12.72"/>
    <n v="10.87"/>
    <n v="158.21"/>
    <n v="3281.08"/>
    <n v="0.43"/>
    <n v="41.24"/>
    <n v="13"/>
    <n v="607.76"/>
    <n v="94.8"/>
    <x v="45"/>
  </r>
  <r>
    <d v="2025-07-18T11:30:00"/>
    <n v="-134.41"/>
    <n v="-80.92"/>
    <n v="0"/>
    <n v="743.35"/>
    <n v="5928.26"/>
    <n v="10.49"/>
    <n v="0"/>
    <n v="43.28"/>
    <n v="0.2"/>
    <n v="0"/>
    <n v="108.99"/>
    <n v="2085.91"/>
    <n v="2083.17"/>
    <n v="13.8"/>
    <n v="0"/>
    <n v="270.67"/>
    <n v="3068.8"/>
    <n v="0.42"/>
    <n v="34.369999999999997"/>
    <n v="13.08"/>
    <n v="577.79"/>
    <n v="91.02"/>
    <x v="46"/>
  </r>
  <r>
    <d v="2025-07-18T12:00:00"/>
    <n v="-217.25"/>
    <n v="-80.709999999999994"/>
    <n v="0"/>
    <n v="1170.92"/>
    <n v="5705.43"/>
    <n v="10.53"/>
    <n v="0"/>
    <n v="43.43"/>
    <n v="65.849999999999994"/>
    <n v="0"/>
    <n v="84.04"/>
    <n v="2225.7800000000002"/>
    <n v="2323.2600000000002"/>
    <n v="14.95"/>
    <n v="0"/>
    <n v="439.94"/>
    <n v="2576.42"/>
    <n v="0.4"/>
    <n v="0"/>
    <n v="13.14"/>
    <n v="457.13"/>
    <n v="88.28"/>
    <x v="47"/>
  </r>
  <r>
    <d v="2025-07-18T12:30:00"/>
    <n v="-224.94"/>
    <n v="-80.709999999999994"/>
    <n v="0"/>
    <n v="1156.31"/>
    <n v="5653.77"/>
    <n v="9.66"/>
    <n v="0"/>
    <n v="43.58"/>
    <n v="67.41"/>
    <n v="0"/>
    <n v="40.29"/>
    <n v="2169.0700000000002"/>
    <n v="2342.9499999999998"/>
    <n v="15.55"/>
    <n v="0"/>
    <n v="431.15"/>
    <n v="2564.1"/>
    <n v="0.4"/>
    <n v="0"/>
    <n v="13.16"/>
    <n v="461.23"/>
    <n v="59.5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x v="0"/>
    <n v="-190.82"/>
    <n v="-469.14"/>
    <n v="-255.91"/>
    <n v="913.45"/>
    <n v="3381.98"/>
    <n v="28.92"/>
    <n v="0"/>
    <n v="37.35"/>
    <n v="353.88"/>
    <n v="0"/>
    <n v="1569.25"/>
    <n v="1561.96"/>
    <n v="0"/>
    <n v="17.7"/>
    <n v="9.02"/>
    <n v="41.99"/>
    <n v="254.19"/>
    <n v="0.08"/>
    <n v="0"/>
    <n v="1.87"/>
    <n v="443.49"/>
    <n v="-22.01"/>
    <x v="0"/>
    <s v=""/>
    <n v="0"/>
    <n v="163.06"/>
    <n v="-469.14"/>
  </r>
  <r>
    <x v="1"/>
    <n v="-401.87"/>
    <n v="-468.66"/>
    <n v="-132.59"/>
    <n v="873.89"/>
    <n v="3430.37"/>
    <n v="29.64"/>
    <n v="0"/>
    <n v="37.369999999999997"/>
    <n v="152.37"/>
    <n v="0"/>
    <n v="1626.93"/>
    <n v="1760.86"/>
    <n v="1653.29"/>
    <n v="17.86"/>
    <n v="27.69"/>
    <n v="251.17"/>
    <n v="1547.5"/>
    <n v="0.51"/>
    <n v="0"/>
    <n v="11.25"/>
    <n v="364.25"/>
    <n v="-14.01"/>
    <x v="1"/>
    <s v=""/>
    <n v="0"/>
    <n v="-249.5"/>
    <n v="-468.66"/>
  </r>
  <r>
    <x v="2"/>
    <n v="-649.61"/>
    <n v="-468.04"/>
    <n v="-10.54"/>
    <n v="886.3"/>
    <n v="3463.22"/>
    <n v="20.71"/>
    <n v="0"/>
    <n v="37.19"/>
    <n v="1.82"/>
    <n v="0"/>
    <n v="1717.61"/>
    <n v="1879.89"/>
    <n v="3109.92"/>
    <n v="17.98"/>
    <n v="2.2000000000000002"/>
    <n v="254.96"/>
    <n v="1562.28"/>
    <n v="0.45"/>
    <n v="0"/>
    <n v="11.2"/>
    <n v="315.14999999999998"/>
    <n v="13.96"/>
    <x v="2"/>
    <s v=""/>
    <n v="0"/>
    <n v="-647.79"/>
    <n v="-468.04"/>
  </r>
  <r>
    <x v="3"/>
    <n v="-162.4"/>
    <n v="-467.76"/>
    <n v="-159.88999999999999"/>
    <n v="897.81"/>
    <n v="3444.6"/>
    <n v="11.93"/>
    <n v="1.17"/>
    <n v="38.090000000000003"/>
    <n v="97.38"/>
    <n v="0"/>
    <n v="1735.37"/>
    <n v="1686.57"/>
    <n v="2800.7"/>
    <n v="17.87"/>
    <n v="34.130000000000003"/>
    <n v="246.76"/>
    <n v="1554.06"/>
    <n v="0.38"/>
    <n v="0.22"/>
    <n v="11.47"/>
    <n v="315.64"/>
    <n v="0.04"/>
    <x v="3"/>
    <s v=""/>
    <n v="0"/>
    <n v="-65.02000000000001"/>
    <n v="-467.76"/>
  </r>
  <r>
    <x v="4"/>
    <n v="-22.51"/>
    <n v="-468.28"/>
    <n v="-151.47999999999999"/>
    <n v="917.95"/>
    <n v="3513.54"/>
    <n v="11.22"/>
    <n v="52.33"/>
    <n v="38.33"/>
    <n v="241.68"/>
    <n v="0"/>
    <n v="1759.84"/>
    <n v="1445.08"/>
    <n v="2425.0500000000002"/>
    <n v="17.37"/>
    <n v="32.479999999999997"/>
    <n v="239.86"/>
    <n v="1584.67"/>
    <n v="0.37"/>
    <n v="9.73"/>
    <n v="11.54"/>
    <n v="329.07"/>
    <n v="20.3"/>
    <x v="4"/>
    <s v=""/>
    <n v="0"/>
    <n v="219.17000000000002"/>
    <n v="-468.28"/>
  </r>
  <r>
    <x v="5"/>
    <n v="-379.85"/>
    <n v="-467.17"/>
    <n v="-0.59"/>
    <n v="919.42"/>
    <n v="3972.11"/>
    <n v="12.25"/>
    <n v="179.83"/>
    <n v="37.979999999999997"/>
    <n v="78.8"/>
    <n v="0"/>
    <n v="1832.99"/>
    <n v="1392.68"/>
    <n v="1963.82"/>
    <n v="16.97"/>
    <n v="0.14000000000000001"/>
    <n v="239.01"/>
    <n v="1788.98"/>
    <n v="0.39"/>
    <n v="33.43"/>
    <n v="11.44"/>
    <n v="384.44"/>
    <n v="46.74"/>
    <x v="5"/>
    <s v=""/>
    <n v="0"/>
    <n v="-301.05"/>
    <n v="-467.17"/>
  </r>
  <r>
    <x v="6"/>
    <n v="-100.81"/>
    <n v="-436.42"/>
    <n v="-125.35"/>
    <n v="885.51"/>
    <n v="4521.03"/>
    <n v="11.73"/>
    <n v="190"/>
    <n v="38.64"/>
    <n v="235.41"/>
    <n v="0"/>
    <n v="1820.41"/>
    <n v="1220.54"/>
    <n v="1440.64"/>
    <n v="16.91"/>
    <n v="31.3"/>
    <n v="207.77"/>
    <n v="2041.49"/>
    <n v="0.37"/>
    <n v="35.32"/>
    <n v="11.63"/>
    <n v="430.63"/>
    <n v="-11.05"/>
    <x v="6"/>
    <s v=""/>
    <n v="0"/>
    <n v="134.6"/>
    <n v="-436.42"/>
  </r>
  <r>
    <x v="7"/>
    <n v="-84.16"/>
    <n v="-230.55"/>
    <n v="-105.76"/>
    <n v="751.42"/>
    <n v="5370.25"/>
    <n v="13.43"/>
    <n v="199.67"/>
    <n v="40.81"/>
    <n v="60.13"/>
    <n v="11.96"/>
    <n v="1870.99"/>
    <n v="1049.7"/>
    <n v="914.26"/>
    <n v="16.22"/>
    <n v="29.46"/>
    <n v="200.61"/>
    <n v="2430.58"/>
    <n v="0.42"/>
    <n v="37.119999999999997"/>
    <n v="12.29"/>
    <n v="503.02"/>
    <n v="37.74"/>
    <x v="7"/>
    <s v=""/>
    <n v="0"/>
    <n v="-24.029999999999994"/>
    <n v="-218.59"/>
  </r>
  <r>
    <x v="8"/>
    <n v="-307.23"/>
    <n v="0"/>
    <n v="-157.65"/>
    <n v="754.07"/>
    <n v="6233.9"/>
    <n v="1.38"/>
    <n v="345.83"/>
    <n v="41.5"/>
    <n v="186.7"/>
    <n v="76.8"/>
    <n v="1904.08"/>
    <n v="592.71"/>
    <n v="440.91"/>
    <n v="15.82"/>
    <n v="48.61"/>
    <n v="237.38"/>
    <n v="2824.61"/>
    <n v="0.46"/>
    <n v="64.290000000000006"/>
    <n v="12.7"/>
    <n v="573.92999999999995"/>
    <n v="63.4"/>
    <x v="8"/>
    <s v=""/>
    <n v="0"/>
    <n v="-120.53000000000003"/>
    <n v="76.8"/>
  </r>
  <r>
    <x v="9"/>
    <n v="-300.85000000000002"/>
    <n v="0"/>
    <n v="-200.52"/>
    <n v="638.88"/>
    <n v="6792.19"/>
    <n v="-0.54"/>
    <n v="447.33"/>
    <n v="159.38"/>
    <n v="279.3"/>
    <n v="506.54"/>
    <n v="1924.31"/>
    <n v="166.79"/>
    <n v="116.99"/>
    <n v="15.44"/>
    <n v="62.35"/>
    <n v="223.1"/>
    <n v="3078.15"/>
    <n v="0.45"/>
    <n v="83.16"/>
    <n v="45.76"/>
    <n v="609.23"/>
    <n v="100.59"/>
    <x v="9"/>
    <s v=""/>
    <n v="0"/>
    <n v="-21.550000000000011"/>
    <n v="506.54"/>
  </r>
  <r>
    <x v="10"/>
    <n v="-60.4"/>
    <n v="0"/>
    <n v="-208.53"/>
    <n v="614.17999999999995"/>
    <n v="7173.65"/>
    <n v="-1.78"/>
    <n v="445.5"/>
    <n v="207.84"/>
    <n v="202.42"/>
    <n v="692.02"/>
    <n v="1944.45"/>
    <n v="8.5399999999999991"/>
    <n v="12.03"/>
    <n v="15.12"/>
    <n v="65.650000000000006"/>
    <n v="219.51"/>
    <n v="3248.93"/>
    <n v="0.44"/>
    <n v="82.82"/>
    <n v="59.43"/>
    <n v="614.98"/>
    <n v="135.19999999999999"/>
    <x v="10"/>
    <s v=""/>
    <n v="0"/>
    <n v="142.01999999999998"/>
    <n v="692.02"/>
  </r>
  <r>
    <x v="11"/>
    <n v="-2.2799999999999998"/>
    <n v="0"/>
    <n v="-487.92"/>
    <n v="372.96"/>
    <n v="7371.04"/>
    <n v="-1.23"/>
    <n v="445.5"/>
    <n v="208.9"/>
    <n v="204.59"/>
    <n v="993.21"/>
    <n v="1999.15"/>
    <n v="0.02"/>
    <n v="0.09"/>
    <n v="14.85"/>
    <n v="150.97"/>
    <n v="131.74"/>
    <n v="3337.58"/>
    <n v="0.44"/>
    <n v="82.82"/>
    <n v="59.74"/>
    <n v="626.9"/>
    <n v="163.44999999999999"/>
    <x v="11"/>
    <s v=""/>
    <n v="0"/>
    <n v="202.31"/>
    <n v="993.21"/>
  </r>
  <r>
    <x v="12"/>
    <n v="-2.2000000000000002"/>
    <n v="0"/>
    <n v="-510.44"/>
    <n v="358.28"/>
    <n v="7404.26"/>
    <n v="-0.77"/>
    <n v="445.33"/>
    <n v="208.73"/>
    <n v="254.8"/>
    <n v="941.37"/>
    <n v="2028.92"/>
    <n v="0.02"/>
    <n v="0"/>
    <n v="14.73"/>
    <n v="157.80000000000001"/>
    <n v="125.88"/>
    <n v="3352.88"/>
    <n v="0.44"/>
    <n v="82.79"/>
    <n v="59.68"/>
    <n v="628.27"/>
    <n v="129.05000000000001"/>
    <x v="12"/>
    <s v=""/>
    <n v="0"/>
    <n v="252.60000000000002"/>
    <n v="941.37"/>
  </r>
  <r>
    <x v="13"/>
    <n v="-3.18"/>
    <n v="0"/>
    <n v="-501.92"/>
    <n v="369.47"/>
    <n v="7406.87"/>
    <n v="-0.91"/>
    <n v="446"/>
    <n v="207.75"/>
    <n v="132.97999999999999"/>
    <n v="961.9"/>
    <n v="1986.17"/>
    <n v="0.02"/>
    <n v="0"/>
    <n v="13.97"/>
    <n v="157.35"/>
    <n v="129.35"/>
    <n v="3354"/>
    <n v="0.44"/>
    <n v="82.91"/>
    <n v="59.38"/>
    <n v="635.47"/>
    <n v="133.6"/>
    <x v="13"/>
    <s v=""/>
    <n v="0"/>
    <n v="129.79999999999998"/>
    <n v="961.9"/>
  </r>
  <r>
    <x v="14"/>
    <n v="-4.08"/>
    <n v="0"/>
    <n v="-551.23"/>
    <n v="423.87"/>
    <n v="7405.12"/>
    <n v="-0.89"/>
    <n v="445.83"/>
    <n v="208.19"/>
    <n v="61.78"/>
    <n v="967.99"/>
    <n v="1944.55"/>
    <n v="0.02"/>
    <n v="0"/>
    <n v="13.17"/>
    <n v="174.28"/>
    <n v="144.09"/>
    <n v="3353.18"/>
    <n v="0.44"/>
    <n v="82.88"/>
    <n v="59.5"/>
    <n v="641.4"/>
    <n v="123.74"/>
    <x v="14"/>
    <s v=""/>
    <n v="0"/>
    <n v="57.7"/>
    <n v="967.99"/>
  </r>
  <r>
    <x v="15"/>
    <n v="-1.94"/>
    <n v="0"/>
    <n v="-558.29"/>
    <n v="391.52"/>
    <n v="7406.79"/>
    <n v="-0.47"/>
    <n v="446"/>
    <n v="202.7"/>
    <n v="51.27"/>
    <n v="963.75"/>
    <n v="1893.48"/>
    <n v="0.02"/>
    <n v="0"/>
    <n v="13.17"/>
    <n v="177.6"/>
    <n v="133.1"/>
    <n v="3353.85"/>
    <n v="0.44"/>
    <n v="82.91"/>
    <n v="57.97"/>
    <n v="647.57000000000005"/>
    <n v="111.94"/>
    <x v="15"/>
    <s v=""/>
    <n v="0"/>
    <n v="49.330000000000005"/>
    <n v="963.75"/>
  </r>
  <r>
    <x v="16"/>
    <n v="-3.76"/>
    <n v="0"/>
    <n v="-555.45000000000005"/>
    <n v="426.23"/>
    <n v="7394.76"/>
    <n v="-0.82"/>
    <n v="448.33"/>
    <n v="134.81"/>
    <n v="4.51"/>
    <n v="940.19"/>
    <n v="1840.63"/>
    <n v="0.02"/>
    <n v="0"/>
    <n v="13.23"/>
    <n v="178.64"/>
    <n v="144.19999999999999"/>
    <n v="3347.24"/>
    <n v="0.45"/>
    <n v="83.35"/>
    <n v="38.840000000000003"/>
    <n v="652.88"/>
    <n v="96.23"/>
    <x v="16"/>
    <s v=""/>
    <n v="0"/>
    <n v="0.75"/>
    <n v="940.19"/>
  </r>
  <r>
    <x v="17"/>
    <n v="-4.08"/>
    <n v="0"/>
    <n v="-561.46"/>
    <n v="480.95"/>
    <n v="7400.16"/>
    <n v="-1.1000000000000001"/>
    <n v="446.83"/>
    <n v="43.05"/>
    <n v="6.95"/>
    <n v="890.52"/>
    <n v="1711.43"/>
    <n v="0.02"/>
    <n v="0"/>
    <n v="12.78"/>
    <n v="183.5"/>
    <n v="166.51"/>
    <n v="3349.59"/>
    <n v="0.45"/>
    <n v="83.07"/>
    <n v="12.96"/>
    <n v="661.86"/>
    <n v="96.52"/>
    <x v="17"/>
    <s v=""/>
    <n v="0"/>
    <n v="2.87"/>
    <n v="890.52"/>
  </r>
  <r>
    <x v="18"/>
    <n v="-4.13"/>
    <n v="0"/>
    <n v="-599.28"/>
    <n v="609.55999999999995"/>
    <n v="7394.61"/>
    <n v="-0.79"/>
    <n v="445.67"/>
    <n v="42.96"/>
    <n v="2.73"/>
    <n v="579.07000000000005"/>
    <n v="1597.28"/>
    <n v="0.02"/>
    <n v="0"/>
    <n v="12.54"/>
    <n v="204.56"/>
    <n v="205.62"/>
    <n v="3347.11"/>
    <n v="0.45"/>
    <n v="82.85"/>
    <n v="12.94"/>
    <n v="684.04"/>
    <n v="106.16"/>
    <x v="18"/>
    <s v=""/>
    <n v="0"/>
    <n v="-1.4"/>
    <n v="579.07000000000005"/>
  </r>
  <r>
    <x v="19"/>
    <n v="-3.78"/>
    <n v="0"/>
    <n v="-604.04"/>
    <n v="591.14"/>
    <n v="7344.47"/>
    <n v="-0.79"/>
    <n v="437.5"/>
    <n v="43.81"/>
    <n v="0.04"/>
    <n v="453.65"/>
    <n v="1542.07"/>
    <n v="0.02"/>
    <n v="0"/>
    <n v="12.57"/>
    <n v="209.6"/>
    <n v="199.86"/>
    <n v="3324.68"/>
    <n v="0.45"/>
    <n v="81.33"/>
    <n v="13.19"/>
    <n v="697.6"/>
    <n v="100.01"/>
    <x v="19"/>
    <s v=""/>
    <n v="0"/>
    <n v="-3.7399999999999998"/>
    <n v="453.65"/>
  </r>
  <r>
    <x v="20"/>
    <n v="-3.23"/>
    <n v="0"/>
    <n v="-480.9"/>
    <n v="399.6"/>
    <n v="7331.12"/>
    <n v="-0.99"/>
    <n v="448.67"/>
    <n v="44.19"/>
    <n v="13.33"/>
    <n v="419"/>
    <n v="1524.18"/>
    <n v="0.02"/>
    <n v="0"/>
    <n v="12.54"/>
    <n v="167.51"/>
    <n v="135.80000000000001"/>
    <n v="3318.79"/>
    <n v="0.45"/>
    <n v="83.41"/>
    <n v="13.31"/>
    <n v="704.69"/>
    <n v="100.01"/>
    <x v="20"/>
    <s v=""/>
    <n v="0"/>
    <n v="10.1"/>
    <n v="419"/>
  </r>
  <r>
    <x v="21"/>
    <n v="-3.47"/>
    <n v="0"/>
    <n v="-487.3"/>
    <n v="406.69"/>
    <n v="7136.3"/>
    <n v="-0.71"/>
    <n v="440.5"/>
    <n v="44.26"/>
    <n v="8.36"/>
    <n v="426.01"/>
    <n v="1476.49"/>
    <n v="0.02"/>
    <n v="0"/>
    <n v="12.76"/>
    <n v="169.68"/>
    <n v="138.15"/>
    <n v="3231.86"/>
    <n v="0.44"/>
    <n v="81.89"/>
    <n v="13.33"/>
    <n v="704.45"/>
    <n v="100.01"/>
    <x v="21"/>
    <s v=""/>
    <n v="0"/>
    <n v="4.8899999999999988"/>
    <n v="426.01"/>
  </r>
  <r>
    <x v="22"/>
    <n v="-8.66"/>
    <n v="0"/>
    <n v="-480.83"/>
    <n v="473.88"/>
    <n v="6924.32"/>
    <n v="-1.29"/>
    <n v="443"/>
    <n v="43.43"/>
    <n v="4.6500000000000004"/>
    <n v="266.63"/>
    <n v="1382.8"/>
    <n v="0.02"/>
    <n v="0"/>
    <n v="12.91"/>
    <n v="171.05"/>
    <n v="160.26"/>
    <n v="3137.37"/>
    <n v="0.44"/>
    <n v="82.35"/>
    <n v="13.08"/>
    <n v="714.69"/>
    <n v="99.24"/>
    <x v="22"/>
    <s v=""/>
    <n v="0"/>
    <n v="-4.01"/>
    <n v="266.63"/>
  </r>
  <r>
    <x v="23"/>
    <n v="-5.73"/>
    <n v="0"/>
    <n v="-525.99"/>
    <n v="386.95"/>
    <n v="6706.91"/>
    <n v="-1.49"/>
    <n v="357.83"/>
    <n v="43.2"/>
    <n v="5.28"/>
    <n v="368.5"/>
    <n v="1309.52"/>
    <n v="0.02"/>
    <n v="0"/>
    <n v="13.14"/>
    <n v="185.48"/>
    <n v="133.27000000000001"/>
    <n v="3040.37"/>
    <n v="0.44"/>
    <n v="66.52"/>
    <n v="13.01"/>
    <n v="721.88"/>
    <n v="88.25"/>
    <x v="23"/>
    <s v="12 Jul"/>
    <n v="0"/>
    <n v="-0.45000000000000018"/>
    <n v="368.5"/>
  </r>
  <r>
    <x v="24"/>
    <n v="-2.97"/>
    <n v="0"/>
    <n v="-597.52"/>
    <n v="244.68"/>
    <n v="6653.65"/>
    <n v="-0.83"/>
    <n v="300.5"/>
    <n v="43.07"/>
    <n v="5.2"/>
    <n v="550.14"/>
    <n v="1326.11"/>
    <n v="0.02"/>
    <n v="0"/>
    <n v="13.11"/>
    <n v="207.54"/>
    <n v="83.71"/>
    <n v="3016.74"/>
    <n v="0.44"/>
    <n v="55.86"/>
    <n v="12.97"/>
    <n v="724.24"/>
    <n v="78.92"/>
    <x v="24"/>
    <s v=""/>
    <n v="0"/>
    <n v="2.23"/>
    <n v="550.14"/>
  </r>
  <r>
    <x v="25"/>
    <n v="-6.6"/>
    <n v="0"/>
    <n v="-670.27"/>
    <n v="357.03"/>
    <n v="6514.32"/>
    <n v="-0.99"/>
    <n v="291.83"/>
    <n v="43.06"/>
    <n v="1.08"/>
    <n v="554.45000000000005"/>
    <n v="1360.1"/>
    <n v="0.02"/>
    <n v="0"/>
    <n v="13.01"/>
    <n v="230.46"/>
    <n v="122.7"/>
    <n v="2954.58"/>
    <n v="0.45"/>
    <n v="54.25"/>
    <n v="12.96"/>
    <n v="715.83"/>
    <n v="80.59"/>
    <x v="25"/>
    <s v=""/>
    <n v="0"/>
    <n v="-5.52"/>
    <n v="554.45000000000005"/>
  </r>
  <r>
    <x v="26"/>
    <n v="-6.97"/>
    <n v="0"/>
    <n v="-476.18"/>
    <n v="339.97"/>
    <n v="6333.29"/>
    <n v="-0.74"/>
    <n v="194.17"/>
    <n v="43.13"/>
    <n v="2.64"/>
    <n v="345.43"/>
    <n v="1420.98"/>
    <n v="0.02"/>
    <n v="0"/>
    <n v="12.89"/>
    <n v="166.27"/>
    <n v="115.89"/>
    <n v="2873.75"/>
    <n v="0.45"/>
    <n v="36.1"/>
    <n v="12.99"/>
    <n v="713.37"/>
    <n v="82.29"/>
    <x v="26"/>
    <s v=""/>
    <n v="0"/>
    <n v="-4.33"/>
    <n v="345.43"/>
  </r>
  <r>
    <x v="27"/>
    <n v="-12.24"/>
    <n v="0"/>
    <n v="-472.52"/>
    <n v="468.28"/>
    <n v="6183.43"/>
    <n v="-0.75"/>
    <n v="190"/>
    <n v="43.12"/>
    <n v="3.17"/>
    <n v="245.01"/>
    <n v="1340.77"/>
    <n v="0.02"/>
    <n v="0"/>
    <n v="12.68"/>
    <n v="168.05"/>
    <n v="159.94999999999999"/>
    <n v="2806.97"/>
    <n v="0.45"/>
    <n v="35.32"/>
    <n v="12.98"/>
    <n v="714.98"/>
    <n v="80.709999999999994"/>
    <x v="27"/>
    <s v=""/>
    <n v="0"/>
    <n v="-9.07"/>
    <n v="245.01"/>
  </r>
  <r>
    <x v="28"/>
    <n v="-38.869999999999997"/>
    <n v="0"/>
    <n v="-507.07"/>
    <n v="443.37"/>
    <n v="6012.58"/>
    <n v="-0.76"/>
    <n v="190"/>
    <n v="43.23"/>
    <n v="2.41"/>
    <n v="268.77"/>
    <n v="1443.86"/>
    <n v="0.02"/>
    <n v="0"/>
    <n v="12.95"/>
    <n v="176.46"/>
    <n v="151.66"/>
    <n v="2730.75"/>
    <n v="0.45"/>
    <n v="35.32"/>
    <n v="13.02"/>
    <n v="707.48"/>
    <n v="84.85"/>
    <x v="28"/>
    <s v=""/>
    <n v="0"/>
    <n v="-36.459999999999994"/>
    <n v="268.77"/>
  </r>
  <r>
    <x v="29"/>
    <n v="-43.54"/>
    <n v="0"/>
    <n v="-435.67"/>
    <n v="358.18"/>
    <n v="5886.86"/>
    <n v="-0.85"/>
    <n v="190"/>
    <n v="43.27"/>
    <n v="2.5499999999999998"/>
    <n v="154.43"/>
    <n v="1499.18"/>
    <n v="0.02"/>
    <n v="0"/>
    <n v="13.14"/>
    <n v="152.13999999999999"/>
    <n v="121.17"/>
    <n v="2674.14"/>
    <n v="0.45"/>
    <n v="35.32"/>
    <n v="13.03"/>
    <n v="711.47"/>
    <n v="79.08"/>
    <x v="29"/>
    <s v=""/>
    <n v="0"/>
    <n v="-40.99"/>
    <n v="154.43"/>
  </r>
  <r>
    <x v="30"/>
    <n v="-51.93"/>
    <n v="0"/>
    <n v="-431.77"/>
    <n v="563.08000000000004"/>
    <n v="5576.23"/>
    <n v="-0.73"/>
    <n v="190"/>
    <n v="43.26"/>
    <n v="0"/>
    <n v="146.91999999999999"/>
    <n v="1488.17"/>
    <n v="0.02"/>
    <n v="0"/>
    <n v="12.94"/>
    <n v="149.61000000000001"/>
    <n v="189.23"/>
    <n v="2535.8000000000002"/>
    <n v="0.45"/>
    <n v="35.32"/>
    <n v="13.03"/>
    <n v="687.09"/>
    <n v="84.85"/>
    <x v="30"/>
    <s v=""/>
    <n v="0"/>
    <n v="-51.93"/>
    <n v="146.91999999999999"/>
  </r>
  <r>
    <x v="31"/>
    <n v="-30.81"/>
    <n v="0"/>
    <n v="-288.58999999999997"/>
    <n v="550.07000000000005"/>
    <n v="5208.9399999999996"/>
    <n v="-1.29"/>
    <n v="199"/>
    <n v="43.36"/>
    <n v="0.73"/>
    <n v="151.85"/>
    <n v="1509.53"/>
    <n v="0.02"/>
    <n v="0"/>
    <n v="12.8"/>
    <n v="98.12"/>
    <n v="184.56"/>
    <n v="2372.3200000000002"/>
    <n v="0.45"/>
    <n v="36.99"/>
    <n v="13.05"/>
    <n v="659.92"/>
    <n v="84.85"/>
    <x v="31"/>
    <s v=""/>
    <n v="0"/>
    <n v="-30.08"/>
    <n v="151.85"/>
  </r>
  <r>
    <x v="32"/>
    <n v="-3.04"/>
    <n v="0"/>
    <n v="-146.09"/>
    <n v="717.55"/>
    <n v="4885.05"/>
    <n v="-0.95"/>
    <n v="208.33"/>
    <n v="43.29"/>
    <n v="1.2"/>
    <n v="161.01"/>
    <n v="1425.83"/>
    <n v="0.02"/>
    <n v="0"/>
    <n v="12.66"/>
    <n v="49.5"/>
    <n v="243.84"/>
    <n v="2227.9499999999998"/>
    <n v="0.45"/>
    <n v="38.729999999999997"/>
    <n v="13.04"/>
    <n v="625.37"/>
    <n v="85.11"/>
    <x v="32"/>
    <s v=""/>
    <n v="0"/>
    <n v="-1.84"/>
    <n v="161.01"/>
  </r>
  <r>
    <x v="33"/>
    <n v="-3.4"/>
    <n v="0"/>
    <n v="-30.49"/>
    <n v="825.98"/>
    <n v="4551.1000000000004"/>
    <n v="-0.84"/>
    <n v="258.33"/>
    <n v="43.34"/>
    <n v="5.23"/>
    <n v="165.47"/>
    <n v="1482.43"/>
    <n v="0.02"/>
    <n v="0"/>
    <n v="12.87"/>
    <n v="10.050000000000001"/>
    <n v="283.58"/>
    <n v="2078.98"/>
    <n v="0.44"/>
    <n v="48.02"/>
    <n v="13.25"/>
    <n v="586.72"/>
    <n v="84.85"/>
    <x v="33"/>
    <s v=""/>
    <n v="0"/>
    <n v="1.8300000000000005"/>
    <n v="165.47"/>
  </r>
  <r>
    <x v="34"/>
    <n v="-3.83"/>
    <n v="0"/>
    <n v="0"/>
    <n v="913.24"/>
    <n v="4439.37"/>
    <n v="-1.22"/>
    <n v="308"/>
    <n v="188.84"/>
    <n v="5.26"/>
    <n v="246.49"/>
    <n v="1371.53"/>
    <n v="0.02"/>
    <n v="0"/>
    <n v="13.03"/>
    <n v="0"/>
    <n v="322.3"/>
    <n v="2029.17"/>
    <n v="0.45"/>
    <n v="57.26"/>
    <n v="54.27"/>
    <n v="573.44000000000005"/>
    <n v="91.72"/>
    <x v="34"/>
    <s v=""/>
    <n v="0"/>
    <n v="1.4299999999999997"/>
    <n v="246.49"/>
  </r>
  <r>
    <x v="35"/>
    <n v="-2.94"/>
    <n v="0"/>
    <n v="-9.35"/>
    <n v="777.94"/>
    <n v="4467.91"/>
    <n v="-1.65"/>
    <n v="442.17"/>
    <n v="276.87"/>
    <n v="7.77"/>
    <n v="455.65"/>
    <n v="1262.98"/>
    <n v="0.02"/>
    <n v="0"/>
    <n v="12.64"/>
    <n v="2.93"/>
    <n v="269.42"/>
    <n v="2041.81"/>
    <n v="0.44"/>
    <n v="82.2"/>
    <n v="78.930000000000007"/>
    <n v="573.99"/>
    <n v="96.72"/>
    <x v="35"/>
    <s v=""/>
    <n v="0"/>
    <n v="4.83"/>
    <n v="455.65"/>
  </r>
  <r>
    <x v="36"/>
    <n v="-4.3"/>
    <n v="0"/>
    <n v="-35.47"/>
    <n v="683.95"/>
    <n v="4683.13"/>
    <n v="-0.77"/>
    <n v="444.67"/>
    <n v="366.33"/>
    <n v="113.87"/>
    <n v="576.05999999999995"/>
    <n v="1211.46"/>
    <n v="0.02"/>
    <n v="0.12"/>
    <n v="11.38"/>
    <n v="11.11"/>
    <n v="238.33"/>
    <n v="2137.79"/>
    <n v="0.45"/>
    <n v="82.66"/>
    <n v="104.16"/>
    <n v="578.44000000000005"/>
    <n v="108.08"/>
    <x v="36"/>
    <s v=""/>
    <n v="0"/>
    <n v="109.57000000000001"/>
    <n v="576.05999999999995"/>
  </r>
  <r>
    <x v="37"/>
    <n v="-3.38"/>
    <n v="0"/>
    <n v="-4.84"/>
    <n v="648.62"/>
    <n v="4935.49"/>
    <n v="-0.84"/>
    <n v="445.83"/>
    <n v="398.12"/>
    <n v="144.33000000000001"/>
    <n v="649.33000000000004"/>
    <n v="1196.57"/>
    <n v="3.98"/>
    <n v="7.55"/>
    <n v="10.46"/>
    <n v="1.52"/>
    <n v="226.75"/>
    <n v="2250.38"/>
    <n v="0.45"/>
    <n v="82.88"/>
    <n v="113.31"/>
    <n v="581.19000000000005"/>
    <n v="138.79"/>
    <x v="37"/>
    <s v=""/>
    <n v="0"/>
    <n v="140.95000000000002"/>
    <n v="649.33000000000004"/>
  </r>
  <r>
    <x v="38"/>
    <n v="-3.76"/>
    <n v="0"/>
    <n v="-198.95"/>
    <n v="975.45"/>
    <n v="5117.78"/>
    <n v="-0.57999999999999996"/>
    <n v="444.83"/>
    <n v="470.75"/>
    <n v="142.56"/>
    <n v="674.62"/>
    <n v="1088.75"/>
    <n v="106.34"/>
    <n v="90.41"/>
    <n v="10.42"/>
    <n v="62.75"/>
    <n v="317.48"/>
    <n v="2331.67"/>
    <n v="0.45"/>
    <n v="82.69"/>
    <n v="133.62"/>
    <n v="572.15"/>
    <n v="144.01"/>
    <x v="38"/>
    <s v=""/>
    <n v="0"/>
    <n v="138.80000000000001"/>
    <n v="674.62"/>
  </r>
  <r>
    <x v="39"/>
    <n v="-4.1900000000000004"/>
    <n v="0"/>
    <n v="-658.99"/>
    <n v="1201.9000000000001"/>
    <n v="5303.66"/>
    <n v="-0.16"/>
    <n v="443.83"/>
    <n v="526.64"/>
    <n v="58.45"/>
    <n v="649.25"/>
    <n v="1027.05"/>
    <n v="454.44"/>
    <n v="375.8"/>
    <n v="10.81"/>
    <n v="205.13"/>
    <n v="342.57"/>
    <n v="2413.5500000000002"/>
    <n v="0.45"/>
    <n v="82.51"/>
    <n v="149.4"/>
    <n v="564.29999999999995"/>
    <n v="178"/>
    <x v="39"/>
    <s v=""/>
    <n v="0"/>
    <n v="54.260000000000005"/>
    <n v="649.25"/>
  </r>
  <r>
    <x v="40"/>
    <n v="-9.08"/>
    <n v="0"/>
    <n v="-805"/>
    <n v="1010.35"/>
    <n v="5316.74"/>
    <n v="-0.73"/>
    <n v="429.67"/>
    <n v="443.49"/>
    <n v="21.3"/>
    <n v="506.13"/>
    <n v="922.26"/>
    <n v="982.56"/>
    <n v="830.33"/>
    <n v="11.73"/>
    <n v="244.03"/>
    <n v="243.23"/>
    <n v="2416.84"/>
    <n v="0.44"/>
    <n v="79.88"/>
    <n v="125.96"/>
    <n v="543.76"/>
    <n v="127.56"/>
    <x v="40"/>
    <s v=""/>
    <n v="0"/>
    <n v="12.22"/>
    <n v="506.13"/>
  </r>
  <r>
    <x v="41"/>
    <n v="-10"/>
    <n v="0"/>
    <n v="-805.21"/>
    <n v="894.28"/>
    <n v="4978.33"/>
    <n v="-0.99"/>
    <n v="240"/>
    <n v="272.06"/>
    <n v="2.87"/>
    <n v="251.97"/>
    <n v="928.76"/>
    <n v="1604.72"/>
    <n v="1368.94"/>
    <n v="13.64"/>
    <n v="231.29"/>
    <n v="197.97"/>
    <n v="2261.91"/>
    <n v="0.44"/>
    <n v="44.62"/>
    <n v="77.61"/>
    <n v="490.36"/>
    <n v="100.01"/>
    <x v="41"/>
    <s v=""/>
    <n v="0"/>
    <n v="-7.13"/>
    <n v="251.97"/>
  </r>
  <r>
    <x v="42"/>
    <n v="-8.0299999999999994"/>
    <n v="0"/>
    <n v="-824.64"/>
    <n v="897.83"/>
    <n v="4610.5200000000004"/>
    <n v="-1.86"/>
    <n v="6.33"/>
    <n v="138.19999999999999"/>
    <n v="14.61"/>
    <n v="162.88"/>
    <n v="954.13"/>
    <n v="1895.65"/>
    <n v="1912.81"/>
    <n v="15.05"/>
    <n v="224.62"/>
    <n v="201.87"/>
    <n v="2089.54"/>
    <n v="0.43"/>
    <n v="1.18"/>
    <n v="39.85"/>
    <n v="436.75"/>
    <n v="100.01"/>
    <x v="42"/>
    <s v=""/>
    <n v="0"/>
    <n v="6.58"/>
    <n v="162.88"/>
  </r>
  <r>
    <x v="43"/>
    <n v="-106.11"/>
    <n v="0"/>
    <n v="-811.29"/>
    <n v="826.34"/>
    <n v="4159.3"/>
    <n v="-4.28"/>
    <n v="0"/>
    <n v="44.13"/>
    <n v="4.43"/>
    <n v="22.68"/>
    <n v="950.09"/>
    <n v="2152.4499999999998"/>
    <n v="2415.17"/>
    <n v="15.92"/>
    <n v="209.28"/>
    <n v="199.9"/>
    <n v="1881.84"/>
    <n v="0.38"/>
    <n v="0"/>
    <n v="13.29"/>
    <n v="392.73"/>
    <n v="84.85"/>
    <x v="43"/>
    <s v=""/>
    <n v="0"/>
    <n v="-101.68"/>
    <n v="22.68"/>
  </r>
  <r>
    <x v="44"/>
    <n v="-201.76"/>
    <n v="0"/>
    <n v="-738.74"/>
    <n v="799.83"/>
    <n v="3605.46"/>
    <n v="-5.28"/>
    <n v="0"/>
    <n v="41.45"/>
    <n v="0.02"/>
    <n v="0"/>
    <n v="940.09"/>
    <n v="2357.34"/>
    <n v="2838.32"/>
    <n v="16.559999999999999"/>
    <n v="174.67"/>
    <n v="199.5"/>
    <n v="1631.61"/>
    <n v="0.36"/>
    <n v="0"/>
    <n v="12.48"/>
    <n v="341.29"/>
    <n v="8.01"/>
    <x v="44"/>
    <s v=""/>
    <n v="0"/>
    <n v="-201.73999999999998"/>
    <n v="0"/>
  </r>
  <r>
    <x v="45"/>
    <n v="-318.83"/>
    <n v="-83.29"/>
    <n v="-644.01"/>
    <n v="803.56"/>
    <n v="3174.08"/>
    <n v="-2.37"/>
    <n v="0"/>
    <n v="45.3"/>
    <n v="0"/>
    <n v="0"/>
    <n v="934"/>
    <n v="2465.61"/>
    <n v="3144.54"/>
    <n v="17.190000000000001"/>
    <n v="138.74"/>
    <n v="206.31"/>
    <n v="1436.88"/>
    <n v="0.38"/>
    <n v="0"/>
    <n v="13.64"/>
    <n v="304.85000000000002"/>
    <n v="5"/>
    <x v="45"/>
    <s v=""/>
    <n v="0"/>
    <n v="-318.83"/>
    <n v="-83.29"/>
  </r>
  <r>
    <x v="46"/>
    <n v="-358.97"/>
    <n v="-285.31"/>
    <n v="-730.81"/>
    <n v="783.73"/>
    <n v="3001.72"/>
    <n v="1.53"/>
    <n v="0"/>
    <n v="44.94"/>
    <n v="0.54"/>
    <n v="0"/>
    <n v="990.65"/>
    <n v="2647.82"/>
    <n v="3349.84"/>
    <n v="17.43"/>
    <n v="143.4"/>
    <n v="205.2"/>
    <n v="1359.24"/>
    <n v="0.37"/>
    <n v="0"/>
    <n v="13.53"/>
    <n v="290.74"/>
    <n v="-8.9499999999999993"/>
    <x v="46"/>
    <s v=""/>
    <n v="0"/>
    <n v="-358.43"/>
    <n v="-285.31"/>
  </r>
  <r>
    <x v="47"/>
    <n v="-405.98"/>
    <n v="-481.08"/>
    <n v="-729.48"/>
    <n v="765.53"/>
    <n v="2956.86"/>
    <n v="1.76"/>
    <n v="0"/>
    <n v="44.95"/>
    <n v="0.08"/>
    <n v="0"/>
    <n v="997.2"/>
    <n v="2598.02"/>
    <n v="3470.55"/>
    <n v="17.88"/>
    <n v="139.05000000000001"/>
    <n v="214.96"/>
    <n v="1340.31"/>
    <n v="0.37"/>
    <n v="0"/>
    <n v="13.53"/>
    <n v="293.8"/>
    <n v="-14.01"/>
    <x v="47"/>
    <s v=""/>
    <n v="0"/>
    <n v="-405.90000000000003"/>
    <n v="-481.08"/>
  </r>
  <r>
    <x v="48"/>
    <n v="-345.19"/>
    <n v="-658.89"/>
    <n v="-558.66999999999996"/>
    <n v="783.02"/>
    <n v="2976.78"/>
    <n v="2.52"/>
    <n v="0"/>
    <n v="44.78"/>
    <n v="0.92"/>
    <n v="0"/>
    <n v="942.36"/>
    <n v="2420.1799999999998"/>
    <n v="3475.53"/>
    <n v="18.57"/>
    <n v="107.78"/>
    <n v="230.04"/>
    <n v="1349.55"/>
    <n v="0.38"/>
    <n v="0"/>
    <n v="13.48"/>
    <n v="300.2"/>
    <n v="-22.01"/>
    <x v="0"/>
    <s v=""/>
    <n v="0"/>
    <n v="-344.27"/>
    <n v="-658.89"/>
  </r>
  <r>
    <x v="49"/>
    <n v="-267.83999999999997"/>
    <n v="-660.31"/>
    <n v="-493.76"/>
    <n v="803.69"/>
    <n v="2954.66"/>
    <n v="8.02"/>
    <n v="0"/>
    <n v="44.91"/>
    <n v="1.02"/>
    <n v="0"/>
    <n v="897.81"/>
    <n v="2357.1799999999998"/>
    <n v="3343.25"/>
    <n v="18.78"/>
    <n v="96.17"/>
    <n v="234.27"/>
    <n v="1338.64"/>
    <n v="0.37"/>
    <n v="0"/>
    <n v="13.52"/>
    <n v="300.94"/>
    <n v="-18"/>
    <x v="1"/>
    <s v=""/>
    <n v="0"/>
    <n v="-266.82"/>
    <n v="-660.31"/>
  </r>
  <r>
    <x v="50"/>
    <n v="-223.94"/>
    <n v="-659.22"/>
    <n v="-525.74"/>
    <n v="760.26"/>
    <n v="2922.89"/>
    <n v="8.64"/>
    <n v="0"/>
    <n v="38.96"/>
    <n v="1.95"/>
    <n v="0"/>
    <n v="937.44"/>
    <n v="2451.46"/>
    <n v="3122.3"/>
    <n v="18.75"/>
    <n v="99.78"/>
    <n v="219.82"/>
    <n v="1322.39"/>
    <n v="0.36"/>
    <n v="0"/>
    <n v="11.73"/>
    <n v="302.08999999999997"/>
    <n v="-14.01"/>
    <x v="2"/>
    <s v=""/>
    <n v="0"/>
    <n v="-221.99"/>
    <n v="-659.22"/>
  </r>
  <r>
    <x v="51"/>
    <n v="-91.91"/>
    <n v="-659.99"/>
    <n v="-530.42999999999995"/>
    <n v="742.33"/>
    <n v="2930.97"/>
    <n v="9.1"/>
    <n v="0"/>
    <n v="37.880000000000003"/>
    <n v="2.19"/>
    <n v="0"/>
    <n v="886.17"/>
    <n v="2589.39"/>
    <n v="2872.62"/>
    <n v="18.989999999999998"/>
    <n v="99.64"/>
    <n v="209.7"/>
    <n v="1326.55"/>
    <n v="0.38"/>
    <n v="0"/>
    <n v="11.4"/>
    <n v="304.57"/>
    <n v="-14.01"/>
    <x v="3"/>
    <s v=""/>
    <n v="0"/>
    <n v="-89.72"/>
    <n v="-659.99"/>
  </r>
  <r>
    <x v="52"/>
    <n v="-23.34"/>
    <n v="-659.91"/>
    <n v="-415.64"/>
    <n v="761.55"/>
    <n v="2953.08"/>
    <n v="8.36"/>
    <n v="0"/>
    <n v="37.840000000000003"/>
    <n v="3.43"/>
    <n v="0"/>
    <n v="882.42"/>
    <n v="2642.71"/>
    <n v="2499.4299999999998"/>
    <n v="18.670000000000002"/>
    <n v="77.87"/>
    <n v="202.45"/>
    <n v="1337"/>
    <n v="0.37"/>
    <n v="0"/>
    <n v="11.39"/>
    <n v="310.42"/>
    <n v="-8.91"/>
    <x v="4"/>
    <s v=""/>
    <n v="0"/>
    <n v="-19.91"/>
    <n v="-659.91"/>
  </r>
  <r>
    <x v="53"/>
    <n v="-5.71"/>
    <n v="-628.64"/>
    <n v="-329.66"/>
    <n v="775.64"/>
    <n v="3081.65"/>
    <n v="8.32"/>
    <n v="2"/>
    <n v="37.83"/>
    <n v="7.54"/>
    <n v="0"/>
    <n v="948.74"/>
    <n v="2595.16"/>
    <n v="2089.39"/>
    <n v="18.38"/>
    <n v="63.34"/>
    <n v="195.15"/>
    <n v="1395.4"/>
    <n v="0.37"/>
    <n v="0.37"/>
    <n v="11.39"/>
    <n v="328.01"/>
    <n v="9.06"/>
    <x v="5"/>
    <s v=""/>
    <n v="0"/>
    <n v="1.83"/>
    <n v="-628.64"/>
  </r>
  <r>
    <x v="54"/>
    <n v="-10.58"/>
    <n v="-304.86"/>
    <n v="-323.95"/>
    <n v="830.64"/>
    <n v="3254.49"/>
    <n v="9.65"/>
    <n v="131"/>
    <n v="37.880000000000003"/>
    <n v="7.59"/>
    <n v="0"/>
    <n v="972.05"/>
    <n v="2346.75"/>
    <n v="1577.29"/>
    <n v="17.809999999999999"/>
    <n v="68.959999999999994"/>
    <n v="199.65"/>
    <n v="1472.34"/>
    <n v="0.4"/>
    <n v="24.35"/>
    <n v="11.41"/>
    <n v="353.78"/>
    <n v="35.880000000000003"/>
    <x v="6"/>
    <s v=""/>
    <n v="0"/>
    <n v="-2.99"/>
    <n v="-304.86"/>
  </r>
  <r>
    <x v="55"/>
    <n v="-3.08"/>
    <n v="-67.099999999999994"/>
    <n v="-178.82"/>
    <n v="851.57"/>
    <n v="3737.21"/>
    <n v="5.32"/>
    <n v="264.5"/>
    <n v="42.68"/>
    <n v="9.9700000000000006"/>
    <n v="0"/>
    <n v="928.08"/>
    <n v="1809.05"/>
    <n v="1015.1"/>
    <n v="16.82"/>
    <n v="44.82"/>
    <n v="224.13"/>
    <n v="1692.04"/>
    <n v="0.45"/>
    <n v="49.17"/>
    <n v="12.85"/>
    <n v="417.02"/>
    <n v="51.95"/>
    <x v="7"/>
    <s v=""/>
    <n v="0"/>
    <n v="6.8900000000000006"/>
    <n v="-67.099999999999994"/>
  </r>
  <r>
    <x v="56"/>
    <n v="-2"/>
    <n v="0"/>
    <n v="-125.98"/>
    <n v="859.14"/>
    <n v="4544.6099999999997"/>
    <n v="1.41"/>
    <n v="399.67"/>
    <n v="45.07"/>
    <n v="229.5"/>
    <n v="148.13"/>
    <n v="936.68"/>
    <n v="1029.74"/>
    <n v="498.78"/>
    <n v="16.05"/>
    <n v="36.17"/>
    <n v="272.17"/>
    <n v="2051.33"/>
    <n v="0.46"/>
    <n v="74.3"/>
    <n v="13.57"/>
    <n v="499.64"/>
    <n v="140.01"/>
    <x v="8"/>
    <s v=""/>
    <n v="0"/>
    <n v="227.5"/>
    <n v="148.13"/>
  </r>
  <r>
    <x v="57"/>
    <n v="-1.59"/>
    <n v="0"/>
    <n v="-126.06"/>
    <n v="882.76"/>
    <n v="5435.55"/>
    <n v="-1.76"/>
    <n v="270.83"/>
    <n v="121.89"/>
    <n v="393.4"/>
    <n v="671.58"/>
    <n v="842.16"/>
    <n v="250.07"/>
    <n v="139.47"/>
    <n v="15.3"/>
    <n v="40.08"/>
    <n v="299.18"/>
    <n v="2453.4699999999998"/>
    <n v="0.43"/>
    <n v="50.35"/>
    <n v="39.200000000000003"/>
    <n v="572.96"/>
    <n v="191.18"/>
    <x v="9"/>
    <s v=""/>
    <n v="0"/>
    <n v="391.81"/>
    <n v="671.58"/>
  </r>
  <r>
    <x v="58"/>
    <n v="-1.51"/>
    <n v="0"/>
    <n v="-155.11000000000001"/>
    <n v="704.35"/>
    <n v="6348.36"/>
    <n v="-1.57"/>
    <n v="4"/>
    <n v="512.5"/>
    <n v="444.85"/>
    <n v="900.46"/>
    <n v="849.72"/>
    <n v="9.92"/>
    <n v="15.39"/>
    <n v="14.81"/>
    <n v="52.02"/>
    <n v="244.61"/>
    <n v="2871.74"/>
    <n v="0.43"/>
    <n v="0.74"/>
    <n v="178.56"/>
    <n v="633.65"/>
    <n v="186.38"/>
    <x v="10"/>
    <s v=""/>
    <n v="0"/>
    <n v="443.34000000000003"/>
    <n v="900.46"/>
  </r>
  <r>
    <x v="59"/>
    <n v="-2.0099999999999998"/>
    <n v="0"/>
    <n v="-101.71"/>
    <n v="561.28"/>
    <n v="6998.02"/>
    <n v="-1.22"/>
    <n v="26.63"/>
    <n v="570.39"/>
    <n v="379.29"/>
    <n v="921.21"/>
    <n v="918.11"/>
    <n v="0.05"/>
    <n v="0.17"/>
    <n v="14.17"/>
    <n v="35"/>
    <n v="195.46"/>
    <n v="3168.93"/>
    <n v="0.44"/>
    <n v="9.5299999999999994"/>
    <n v="196.31"/>
    <n v="657.28"/>
    <n v="299.99"/>
    <x v="11"/>
    <s v=""/>
    <n v="0"/>
    <n v="377.28000000000003"/>
    <n v="921.21"/>
  </r>
  <r>
    <x v="60"/>
    <n v="-2.0299999999999998"/>
    <n v="0"/>
    <n v="-26.51"/>
    <n v="495.67"/>
    <n v="7255.17"/>
    <n v="-0.99"/>
    <n v="26.56"/>
    <n v="581.52"/>
    <n v="293.07"/>
    <n v="877.88"/>
    <n v="892.72"/>
    <n v="0.05"/>
    <n v="0"/>
    <n v="13.63"/>
    <n v="9.2200000000000006"/>
    <n v="174.34"/>
    <n v="3284.88"/>
    <n v="0.44"/>
    <n v="9.5"/>
    <n v="190.71"/>
    <n v="670.74"/>
    <n v="147.96"/>
    <x v="12"/>
    <s v=""/>
    <n v="0"/>
    <n v="291.04000000000002"/>
    <n v="877.88"/>
  </r>
  <r>
    <x v="61"/>
    <n v="-2.5"/>
    <n v="0"/>
    <n v="-1.6"/>
    <n v="522.91"/>
    <n v="7304.28"/>
    <n v="-0.62"/>
    <n v="0"/>
    <n v="659.66"/>
    <n v="168.81"/>
    <n v="845.9"/>
    <n v="834.08"/>
    <n v="0.05"/>
    <n v="0"/>
    <n v="12.97"/>
    <n v="0.57999999999999996"/>
    <n v="187.43"/>
    <n v="3306.85"/>
    <n v="0.45"/>
    <n v="0"/>
    <n v="221.18"/>
    <n v="683.09"/>
    <n v="252.64"/>
    <x v="13"/>
    <s v=""/>
    <n v="0"/>
    <n v="166.31"/>
    <n v="845.9"/>
  </r>
  <r>
    <x v="62"/>
    <n v="-4.2699999999999996"/>
    <n v="0"/>
    <n v="0"/>
    <n v="655.32000000000005"/>
    <n v="7304.57"/>
    <n v="-0.75"/>
    <n v="0"/>
    <n v="579.75"/>
    <n v="33.909999999999997"/>
    <n v="759.83"/>
    <n v="773.64"/>
    <n v="0.05"/>
    <n v="0"/>
    <n v="12.35"/>
    <n v="0"/>
    <n v="238.5"/>
    <n v="3306.94"/>
    <n v="0.44"/>
    <n v="0"/>
    <n v="195.53"/>
    <n v="693.51"/>
    <n v="139.18"/>
    <x v="14"/>
    <s v=""/>
    <n v="0"/>
    <n v="29.639999999999997"/>
    <n v="759.83"/>
  </r>
  <r>
    <x v="63"/>
    <n v="-6.4"/>
    <n v="0"/>
    <n v="0"/>
    <n v="776.71"/>
    <n v="7305.94"/>
    <n v="-1.31"/>
    <n v="0"/>
    <n v="496.44"/>
    <n v="2.81"/>
    <n v="763.22"/>
    <n v="612.73"/>
    <n v="0.05"/>
    <n v="0"/>
    <n v="11.77"/>
    <n v="0"/>
    <n v="278.08999999999997"/>
    <n v="3307.34"/>
    <n v="0.44"/>
    <n v="0"/>
    <n v="167.64"/>
    <n v="698.56"/>
    <n v="112.18"/>
    <x v="15"/>
    <s v=""/>
    <n v="0"/>
    <n v="-3.5900000000000003"/>
    <n v="763.22"/>
  </r>
  <r>
    <x v="64"/>
    <n v="-3.04"/>
    <n v="0"/>
    <n v="0"/>
    <n v="991.87"/>
    <n v="7345.75"/>
    <n v="-0.97"/>
    <n v="0"/>
    <n v="273.85000000000002"/>
    <n v="6.24"/>
    <n v="598.26"/>
    <n v="613.29999999999995"/>
    <n v="0.05"/>
    <n v="0"/>
    <n v="11.41"/>
    <n v="0"/>
    <n v="345.87"/>
    <n v="3325.23"/>
    <n v="0.45"/>
    <n v="0"/>
    <n v="101.09"/>
    <n v="697.54"/>
    <n v="100.02"/>
    <x v="16"/>
    <s v=""/>
    <n v="0"/>
    <n v="3.2"/>
    <n v="598.26"/>
  </r>
  <r>
    <x v="65"/>
    <n v="-5.24"/>
    <n v="0"/>
    <n v="0"/>
    <n v="1424.57"/>
    <n v="7322.64"/>
    <n v="-1.25"/>
    <n v="0"/>
    <n v="43.6"/>
    <n v="2.4500000000000002"/>
    <n v="397.99"/>
    <n v="679.39"/>
    <n v="0.05"/>
    <n v="0"/>
    <n v="10.97"/>
    <n v="0"/>
    <n v="484.72"/>
    <n v="3314.98"/>
    <n v="0.44"/>
    <n v="0"/>
    <n v="13.13"/>
    <n v="674.87"/>
    <n v="88.68"/>
    <x v="17"/>
    <s v=""/>
    <n v="0"/>
    <n v="-2.79"/>
    <n v="397.99"/>
  </r>
  <r>
    <x v="66"/>
    <n v="-5.66"/>
    <n v="0"/>
    <n v="0"/>
    <n v="1385.5"/>
    <n v="7337.44"/>
    <n v="-1.28"/>
    <n v="0"/>
    <n v="43.97"/>
    <n v="1.79"/>
    <n v="272.16000000000003"/>
    <n v="731.77"/>
    <n v="0.05"/>
    <n v="0"/>
    <n v="10.75"/>
    <n v="0"/>
    <n v="457.31"/>
    <n v="3321.52"/>
    <n v="0.44"/>
    <n v="0"/>
    <n v="13.24"/>
    <n v="683.04"/>
    <n v="87.25"/>
    <x v="18"/>
    <s v=""/>
    <n v="0"/>
    <n v="-3.87"/>
    <n v="272.16000000000003"/>
  </r>
  <r>
    <x v="67"/>
    <n v="-4.1500000000000004"/>
    <n v="0"/>
    <n v="0"/>
    <n v="1340.24"/>
    <n v="7279.91"/>
    <n v="-1.21"/>
    <n v="0"/>
    <n v="43.78"/>
    <n v="5.14"/>
    <n v="231.98"/>
    <n v="696.27"/>
    <n v="0.05"/>
    <n v="0"/>
    <n v="10.83"/>
    <n v="0"/>
    <n v="438.82"/>
    <n v="3296.04"/>
    <n v="0.44"/>
    <n v="0"/>
    <n v="13.18"/>
    <n v="690.09"/>
    <n v="79.02"/>
    <x v="19"/>
    <s v=""/>
    <n v="0"/>
    <n v="0.98999999999999932"/>
    <n v="231.98"/>
  </r>
  <r>
    <x v="68"/>
    <n v="-11.87"/>
    <n v="0"/>
    <n v="0"/>
    <n v="1252.42"/>
    <n v="7283.77"/>
    <n v="-1.43"/>
    <n v="0"/>
    <n v="43.82"/>
    <n v="11.09"/>
    <n v="277.70999999999998"/>
    <n v="658.89"/>
    <n v="0.05"/>
    <n v="0"/>
    <n v="10.52"/>
    <n v="0"/>
    <n v="402.56"/>
    <n v="3294.46"/>
    <n v="0.44"/>
    <n v="0"/>
    <n v="13.19"/>
    <n v="695.38"/>
    <n v="100.02"/>
    <x v="20"/>
    <s v=""/>
    <n v="0"/>
    <n v="-0.77999999999999936"/>
    <n v="277.70999999999998"/>
  </r>
  <r>
    <x v="69"/>
    <n v="-11.65"/>
    <n v="0"/>
    <n v="0"/>
    <n v="1223.02"/>
    <n v="7263.7"/>
    <n v="-1.1299999999999999"/>
    <n v="0"/>
    <n v="43.54"/>
    <n v="2.0299999999999998"/>
    <n v="264.23"/>
    <n v="637.21"/>
    <n v="0.05"/>
    <n v="0"/>
    <n v="10.050000000000001"/>
    <n v="0"/>
    <n v="383.18"/>
    <n v="3285.83"/>
    <n v="0.44"/>
    <n v="0"/>
    <n v="13.11"/>
    <n v="700.43"/>
    <n v="102.76"/>
    <x v="21"/>
    <s v=""/>
    <n v="0"/>
    <n v="-9.620000000000001"/>
    <n v="264.23"/>
  </r>
  <r>
    <x v="70"/>
    <n v="-7.38"/>
    <n v="0"/>
    <n v="0"/>
    <n v="1237.74"/>
    <n v="7253.23"/>
    <n v="-1.45"/>
    <n v="0"/>
    <n v="43.46"/>
    <n v="2.25"/>
    <n v="127.67"/>
    <n v="532.70000000000005"/>
    <n v="0.05"/>
    <n v="0"/>
    <n v="9.6199999999999992"/>
    <n v="0"/>
    <n v="376.35"/>
    <n v="3283.82"/>
    <n v="0.44"/>
    <n v="0"/>
    <n v="13.09"/>
    <n v="717.73"/>
    <n v="100.02"/>
    <x v="22"/>
    <s v=""/>
    <n v="0"/>
    <n v="-5.13"/>
    <n v="127.67"/>
  </r>
  <r>
    <x v="71"/>
    <n v="-13.82"/>
    <n v="0"/>
    <n v="-68.790000000000006"/>
    <n v="1179.3499999999999"/>
    <n v="7003.96"/>
    <n v="-1.01"/>
    <n v="0"/>
    <n v="43.51"/>
    <n v="0.25"/>
    <n v="84.64"/>
    <n v="502.98"/>
    <n v="0.05"/>
    <n v="0"/>
    <n v="9.2100000000000009"/>
    <n v="28.62"/>
    <n v="319.72000000000003"/>
    <n v="3172.56"/>
    <n v="0.44"/>
    <n v="0"/>
    <n v="13.1"/>
    <n v="729.83"/>
    <n v="81.67"/>
    <x v="23"/>
    <s v="13 Jul"/>
    <n v="0"/>
    <n v="-13.57"/>
    <n v="84.64"/>
  </r>
  <r>
    <x v="72"/>
    <n v="-4.16"/>
    <n v="0"/>
    <n v="-47.18"/>
    <n v="1151.67"/>
    <n v="6735.58"/>
    <n v="-1.24"/>
    <n v="0"/>
    <n v="43.54"/>
    <n v="1.57"/>
    <n v="69.61"/>
    <n v="492.94"/>
    <n v="0.05"/>
    <n v="0"/>
    <n v="9.34"/>
    <n v="19.600000000000001"/>
    <n v="295.22000000000003"/>
    <n v="3045.97"/>
    <n v="0.43"/>
    <n v="0"/>
    <n v="13.11"/>
    <n v="724.8"/>
    <n v="88.84"/>
    <x v="24"/>
    <s v=""/>
    <n v="0"/>
    <n v="-2.59"/>
    <n v="69.61"/>
  </r>
  <r>
    <x v="73"/>
    <n v="-5.79"/>
    <n v="0"/>
    <n v="-13.56"/>
    <n v="1158.3399999999999"/>
    <n v="6466.19"/>
    <n v="-3.77"/>
    <n v="0"/>
    <n v="43.1"/>
    <n v="1.5"/>
    <n v="42.89"/>
    <n v="516.82000000000005"/>
    <n v="0.05"/>
    <n v="0"/>
    <n v="9.2899999999999991"/>
    <n v="5.62"/>
    <n v="305.29000000000002"/>
    <n v="2923.28"/>
    <n v="0.39"/>
    <n v="0"/>
    <n v="12.98"/>
    <n v="715.75"/>
    <n v="86.23"/>
    <x v="25"/>
    <s v=""/>
    <n v="0"/>
    <n v="-4.29"/>
    <n v="42.89"/>
  </r>
  <r>
    <x v="74"/>
    <n v="-6.37"/>
    <n v="0"/>
    <n v="-4.1399999999999997"/>
    <n v="1161.68"/>
    <n v="6103.18"/>
    <n v="-1.63"/>
    <n v="0"/>
    <n v="43.18"/>
    <n v="2.14"/>
    <n v="30.59"/>
    <n v="616.01"/>
    <n v="0.05"/>
    <n v="0"/>
    <n v="9.0299999999999994"/>
    <n v="1.69"/>
    <n v="294.89"/>
    <n v="2757.87"/>
    <n v="0.43"/>
    <n v="0"/>
    <n v="13"/>
    <n v="697.65"/>
    <n v="76.58"/>
    <x v="26"/>
    <s v=""/>
    <n v="0"/>
    <n v="-4.2300000000000004"/>
    <n v="30.59"/>
  </r>
  <r>
    <x v="75"/>
    <n v="-6.84"/>
    <n v="0"/>
    <n v="0"/>
    <n v="1161.04"/>
    <n v="5914.4"/>
    <n v="-1.05"/>
    <n v="0"/>
    <n v="42.7"/>
    <n v="2.73"/>
    <n v="30.71"/>
    <n v="587.45000000000005"/>
    <n v="0.05"/>
    <n v="0"/>
    <n v="8.82"/>
    <n v="0"/>
    <n v="287.43"/>
    <n v="2670.32"/>
    <n v="0.45"/>
    <n v="0"/>
    <n v="12.86"/>
    <n v="694.23"/>
    <n v="76.58"/>
    <x v="27"/>
    <s v=""/>
    <n v="0"/>
    <n v="-4.1099999999999994"/>
    <n v="30.71"/>
  </r>
  <r>
    <x v="76"/>
    <n v="-7.97"/>
    <n v="0"/>
    <n v="0"/>
    <n v="1158.72"/>
    <n v="5907.53"/>
    <n v="-1.07"/>
    <n v="0"/>
    <n v="42.92"/>
    <n v="1.41"/>
    <n v="30.6"/>
    <n v="458.51"/>
    <n v="0.05"/>
    <n v="0"/>
    <n v="8.6199999999999992"/>
    <n v="0"/>
    <n v="290.31"/>
    <n v="2670.49"/>
    <n v="0.44"/>
    <n v="0"/>
    <n v="12.92"/>
    <n v="707.14"/>
    <n v="76.8"/>
    <x v="28"/>
    <s v=""/>
    <n v="0"/>
    <n v="-6.56"/>
    <n v="30.6"/>
  </r>
  <r>
    <x v="77"/>
    <n v="-8.36"/>
    <n v="0"/>
    <n v="0"/>
    <n v="1188.4000000000001"/>
    <n v="5740.51"/>
    <n v="-2.63"/>
    <n v="0"/>
    <n v="42.79"/>
    <n v="2.25"/>
    <n v="30.61"/>
    <n v="495.65"/>
    <n v="0.05"/>
    <n v="0"/>
    <n v="8.43"/>
    <n v="0"/>
    <n v="317.52999999999997"/>
    <n v="2593.94"/>
    <n v="0.44"/>
    <n v="0"/>
    <n v="12.88"/>
    <n v="696.27"/>
    <n v="76.42"/>
    <x v="29"/>
    <s v=""/>
    <n v="0"/>
    <n v="-6.1099999999999994"/>
    <n v="30.61"/>
  </r>
  <r>
    <x v="78"/>
    <n v="-12.28"/>
    <n v="0"/>
    <n v="0"/>
    <n v="1211.4000000000001"/>
    <n v="5590.23"/>
    <n v="-0.85"/>
    <n v="0"/>
    <n v="42.66"/>
    <n v="0.73"/>
    <n v="30.61"/>
    <n v="560.57000000000005"/>
    <n v="0.05"/>
    <n v="0"/>
    <n v="8.3699999999999992"/>
    <n v="0"/>
    <n v="327"/>
    <n v="2519.94"/>
    <n v="0.44"/>
    <n v="0"/>
    <n v="12.84"/>
    <n v="682.52"/>
    <n v="76.58"/>
    <x v="30"/>
    <s v=""/>
    <n v="0"/>
    <n v="-11.549999999999999"/>
    <n v="30.61"/>
  </r>
  <r>
    <x v="79"/>
    <n v="-16.11"/>
    <n v="0"/>
    <n v="-1.54"/>
    <n v="1120.46"/>
    <n v="5569.67"/>
    <n v="-1.02"/>
    <n v="0"/>
    <n v="42.41"/>
    <n v="1"/>
    <n v="25.51"/>
    <n v="565.66999999999996"/>
    <n v="0.05"/>
    <n v="0"/>
    <n v="8.0299999999999994"/>
    <n v="0.63"/>
    <n v="293.86"/>
    <n v="2510.21"/>
    <n v="0.45"/>
    <n v="0"/>
    <n v="12.77"/>
    <n v="690.77"/>
    <n v="75.84"/>
    <x v="31"/>
    <s v=""/>
    <n v="0"/>
    <n v="-15.11"/>
    <n v="25.51"/>
  </r>
  <r>
    <x v="80"/>
    <n v="-21.6"/>
    <n v="0"/>
    <n v="-11.78"/>
    <n v="1085.6400000000001"/>
    <n v="5769.39"/>
    <n v="-1.77"/>
    <n v="0"/>
    <n v="43.34"/>
    <n v="1.95"/>
    <n v="-0.32"/>
    <n v="572.49"/>
    <n v="0.05"/>
    <n v="0"/>
    <n v="7.68"/>
    <n v="4.8600000000000003"/>
    <n v="278.2"/>
    <n v="2609.27"/>
    <n v="0.45"/>
    <n v="0"/>
    <n v="13.05"/>
    <n v="705.29"/>
    <n v="72.2"/>
    <x v="32"/>
    <s v=""/>
    <n v="0"/>
    <n v="-19.650000000000002"/>
    <n v="-0.32"/>
  </r>
  <r>
    <x v="81"/>
    <n v="-5.82"/>
    <n v="0"/>
    <n v="0"/>
    <n v="1093.72"/>
    <n v="5952.8"/>
    <n v="-0.21"/>
    <n v="0"/>
    <n v="44.17"/>
    <n v="1.82"/>
    <n v="-0.28000000000000003"/>
    <n v="561.38"/>
    <n v="0.05"/>
    <n v="0"/>
    <n v="7.71"/>
    <n v="0"/>
    <n v="284.94"/>
    <n v="2696.67"/>
    <n v="0.45"/>
    <n v="0"/>
    <n v="13.3"/>
    <n v="708.82"/>
    <n v="75.760000000000005"/>
    <x v="33"/>
    <s v=""/>
    <n v="0"/>
    <n v="-4"/>
    <n v="-0.28000000000000003"/>
  </r>
  <r>
    <x v="82"/>
    <n v="-6.54"/>
    <n v="0"/>
    <n v="-71.02"/>
    <n v="1089.6099999999999"/>
    <n v="6074.21"/>
    <n v="-0.14000000000000001"/>
    <n v="0"/>
    <n v="44.79"/>
    <n v="3.8"/>
    <n v="-0.34"/>
    <n v="539.91999999999996"/>
    <n v="0.05"/>
    <n v="0"/>
    <n v="7.95"/>
    <n v="29.41"/>
    <n v="283.95999999999998"/>
    <n v="2752.7"/>
    <n v="0.45"/>
    <n v="0"/>
    <n v="13.49"/>
    <n v="721.01"/>
    <n v="76.58"/>
    <x v="34"/>
    <s v=""/>
    <n v="0"/>
    <n v="-2.74"/>
    <n v="-0.34"/>
  </r>
  <r>
    <x v="83"/>
    <n v="-16.5"/>
    <n v="-67.34"/>
    <n v="-126.98"/>
    <n v="1083.81"/>
    <n v="6290"/>
    <n v="-2.2200000000000002"/>
    <n v="0"/>
    <n v="44.89"/>
    <n v="2.5099999999999998"/>
    <n v="-0.32"/>
    <n v="529.91"/>
    <n v="0.05"/>
    <n v="0"/>
    <n v="7.99"/>
    <n v="52.26"/>
    <n v="277.75"/>
    <n v="2849.68"/>
    <n v="0.44"/>
    <n v="0"/>
    <n v="13.52"/>
    <n v="740.17"/>
    <n v="76.89"/>
    <x v="35"/>
    <s v=""/>
    <n v="0"/>
    <n v="-13.99"/>
    <n v="-67.66"/>
  </r>
  <r>
    <x v="84"/>
    <n v="-11.07"/>
    <n v="-80.83"/>
    <n v="-106.09"/>
    <n v="1075.53"/>
    <n v="6564.67"/>
    <n v="-0.64"/>
    <n v="0"/>
    <n v="44.66"/>
    <n v="1.74"/>
    <n v="6.56"/>
    <n v="542.15"/>
    <n v="0.05"/>
    <n v="0.13"/>
    <n v="7.91"/>
    <n v="43.62"/>
    <n v="267.61"/>
    <n v="2972.19"/>
    <n v="0.45"/>
    <n v="0"/>
    <n v="13.45"/>
    <n v="743.1"/>
    <n v="81.209999999999994"/>
    <x v="36"/>
    <s v=""/>
    <n v="0"/>
    <n v="-9.33"/>
    <n v="-74.27"/>
  </r>
  <r>
    <x v="85"/>
    <n v="-9.7200000000000006"/>
    <n v="-80.86"/>
    <n v="-110.82"/>
    <n v="1093.71"/>
    <n v="6830.02"/>
    <n v="-0.47"/>
    <n v="0"/>
    <n v="44.76"/>
    <n v="0"/>
    <n v="44.21"/>
    <n v="548.48"/>
    <n v="6.71"/>
    <n v="7.75"/>
    <n v="7.81"/>
    <n v="45.39"/>
    <n v="258.3"/>
    <n v="3090.51"/>
    <n v="0.45"/>
    <n v="0"/>
    <n v="13.48"/>
    <n v="741.47"/>
    <n v="93.02"/>
    <x v="37"/>
    <s v=""/>
    <n v="0"/>
    <n v="-9.7200000000000006"/>
    <n v="-36.65"/>
  </r>
  <r>
    <x v="86"/>
    <n v="-11.97"/>
    <n v="-80.8"/>
    <n v="-27.54"/>
    <n v="1118.21"/>
    <n v="6744.1"/>
    <n v="-1.1599999999999999"/>
    <n v="0"/>
    <n v="44.81"/>
    <n v="0.14000000000000001"/>
    <n v="23.47"/>
    <n v="650.45000000000005"/>
    <n v="119.9"/>
    <n v="88.96"/>
    <n v="7.72"/>
    <n v="11.13"/>
    <n v="261.77999999999997"/>
    <n v="3051.59"/>
    <n v="0.45"/>
    <n v="0"/>
    <n v="13.49"/>
    <n v="707.27"/>
    <n v="81.73"/>
    <x v="38"/>
    <s v=""/>
    <n v="0"/>
    <n v="-11.83"/>
    <n v="-57.33"/>
  </r>
  <r>
    <x v="87"/>
    <n v="-17.34"/>
    <n v="-80.69"/>
    <n v="0"/>
    <n v="1266.75"/>
    <n v="5955.03"/>
    <n v="-0.05"/>
    <n v="0"/>
    <n v="42.18"/>
    <n v="1.99"/>
    <n v="-0.22"/>
    <n v="815.1"/>
    <n v="569.92999999999995"/>
    <n v="350.51"/>
    <n v="7.77"/>
    <n v="0"/>
    <n v="308.13"/>
    <n v="2694.07"/>
    <n v="0.44"/>
    <n v="0"/>
    <n v="12.7"/>
    <n v="608.14"/>
    <n v="57.01"/>
    <x v="39"/>
    <s v=""/>
    <n v="0"/>
    <n v="-15.35"/>
    <n v="-80.91"/>
  </r>
  <r>
    <x v="88"/>
    <n v="-49.15"/>
    <n v="-96.63"/>
    <n v="0"/>
    <n v="1445.28"/>
    <n v="4894.42"/>
    <n v="-0.27"/>
    <n v="0"/>
    <n v="37.869999999999997"/>
    <n v="2.16"/>
    <n v="0"/>
    <n v="909.3"/>
    <n v="1379.32"/>
    <n v="837.43"/>
    <n v="8.5299999999999994"/>
    <n v="0"/>
    <n v="341.62"/>
    <n v="2214.41"/>
    <n v="0.45"/>
    <n v="0"/>
    <n v="11.4"/>
    <n v="475.71"/>
    <n v="-11.86"/>
    <x v="40"/>
    <s v=""/>
    <n v="0"/>
    <n v="-46.989999999999995"/>
    <n v="-96.63"/>
  </r>
  <r>
    <x v="89"/>
    <n v="-25.06"/>
    <n v="-270.41000000000003"/>
    <n v="0"/>
    <n v="1633.49"/>
    <n v="4349.53"/>
    <n v="0.14000000000000001"/>
    <n v="0"/>
    <n v="37.840000000000003"/>
    <n v="6.16"/>
    <n v="0"/>
    <n v="852.04"/>
    <n v="2080.34"/>
    <n v="1337.7"/>
    <n v="9.4600000000000009"/>
    <n v="0"/>
    <n v="378.61"/>
    <n v="1963.61"/>
    <n v="0.44"/>
    <n v="0"/>
    <n v="11.39"/>
    <n v="395.02"/>
    <n v="0"/>
    <x v="41"/>
    <s v=""/>
    <n v="0"/>
    <n v="-18.899999999999999"/>
    <n v="-270.41000000000003"/>
  </r>
  <r>
    <x v="90"/>
    <n v="-18.59"/>
    <n v="-271.38"/>
    <n v="0"/>
    <n v="1518.67"/>
    <n v="4108.16"/>
    <n v="9.33"/>
    <n v="0"/>
    <n v="37.83"/>
    <n v="2.61"/>
    <n v="0"/>
    <n v="822.65"/>
    <n v="2160.31"/>
    <n v="1856.04"/>
    <n v="10.59"/>
    <n v="0"/>
    <n v="355.95"/>
    <n v="1852.64"/>
    <n v="0.4"/>
    <n v="0"/>
    <n v="11.39"/>
    <n v="364.66"/>
    <n v="76.58"/>
    <x v="42"/>
    <s v=""/>
    <n v="0"/>
    <n v="-15.98"/>
    <n v="-271.38"/>
  </r>
  <r>
    <x v="91"/>
    <n v="-35.54"/>
    <n v="-284.11"/>
    <n v="0"/>
    <n v="1468.46"/>
    <n v="3656.04"/>
    <n v="9.5399999999999991"/>
    <n v="0"/>
    <n v="37.89"/>
    <n v="7.44"/>
    <n v="0"/>
    <n v="862.94"/>
    <n v="2277.1799999999998"/>
    <n v="2278.65"/>
    <n v="10.98"/>
    <n v="0"/>
    <n v="358.93"/>
    <n v="1653.52"/>
    <n v="0.38"/>
    <n v="0"/>
    <n v="11.41"/>
    <n v="324.04000000000002"/>
    <n v="24"/>
    <x v="43"/>
    <s v=""/>
    <n v="0"/>
    <n v="-28.099999999999998"/>
    <n v="-284.11"/>
  </r>
  <r>
    <x v="92"/>
    <n v="-60.99"/>
    <n v="-466.75"/>
    <n v="0"/>
    <n v="1763.72"/>
    <n v="2964.61"/>
    <n v="9.11"/>
    <n v="0"/>
    <n v="37.880000000000003"/>
    <n v="3.18"/>
    <n v="0"/>
    <n v="914.75"/>
    <n v="2061.91"/>
    <n v="2658.7"/>
    <n v="11.97"/>
    <n v="0"/>
    <n v="419.83"/>
    <n v="1346.49"/>
    <n v="0.37"/>
    <n v="0"/>
    <n v="11.4"/>
    <n v="274.77999999999997"/>
    <n v="-16.54"/>
    <x v="44"/>
    <s v=""/>
    <n v="0"/>
    <n v="-57.81"/>
    <n v="-466.75"/>
  </r>
  <r>
    <x v="93"/>
    <n v="-72.02"/>
    <n v="-470.18"/>
    <n v="0"/>
    <n v="1753.49"/>
    <n v="2519.48"/>
    <n v="7.68"/>
    <n v="0"/>
    <n v="37.83"/>
    <n v="3.99"/>
    <n v="0"/>
    <n v="981.91"/>
    <n v="2155.25"/>
    <n v="2927"/>
    <n v="12.91"/>
    <n v="0"/>
    <n v="426.21"/>
    <n v="1147.97"/>
    <n v="0.35"/>
    <n v="0"/>
    <n v="11.39"/>
    <n v="235.61"/>
    <n v="-16.54"/>
    <x v="45"/>
    <s v=""/>
    <n v="0"/>
    <n v="-68.03"/>
    <n v="-470.18"/>
  </r>
  <r>
    <x v="94"/>
    <n v="-174.42"/>
    <n v="-582.36"/>
    <n v="0"/>
    <n v="1601.4"/>
    <n v="2448.65"/>
    <n v="4.12"/>
    <n v="0"/>
    <n v="37.840000000000003"/>
    <n v="0.74"/>
    <n v="0"/>
    <n v="968.43"/>
    <n v="2332.9499999999998"/>
    <n v="3166.39"/>
    <n v="13.65"/>
    <n v="0"/>
    <n v="398.34"/>
    <n v="1114.6300000000001"/>
    <n v="0.28000000000000003"/>
    <n v="0"/>
    <n v="11.39"/>
    <n v="229.77"/>
    <n v="-16.18"/>
    <x v="46"/>
    <s v=""/>
    <n v="0"/>
    <n v="-173.67999999999998"/>
    <n v="-582.36"/>
  </r>
  <r>
    <x v="95"/>
    <n v="-88.23"/>
    <n v="-660.52"/>
    <n v="0"/>
    <n v="1342.77"/>
    <n v="2458.89"/>
    <n v="1.95"/>
    <n v="0"/>
    <n v="37.89"/>
    <n v="1.59"/>
    <n v="0"/>
    <n v="1108.4000000000001"/>
    <n v="2353.9499999999998"/>
    <n v="3250.92"/>
    <n v="14.42"/>
    <n v="0"/>
    <n v="349.16"/>
    <n v="1118.68"/>
    <n v="0.24"/>
    <n v="0"/>
    <n v="11.41"/>
    <n v="230.5"/>
    <n v="-14.71"/>
    <x v="47"/>
    <s v=""/>
    <n v="0"/>
    <n v="-86.64"/>
    <n v="-660.52"/>
  </r>
  <r>
    <x v="96"/>
    <n v="-179.28"/>
    <n v="-660.59"/>
    <n v="0"/>
    <n v="1342.74"/>
    <n v="2389.2800000000002"/>
    <n v="0.11"/>
    <n v="0"/>
    <n v="37.840000000000003"/>
    <n v="0.3"/>
    <n v="0"/>
    <n v="1244.3499999999999"/>
    <n v="2246.4699999999998"/>
    <n v="3236.69"/>
    <n v="15.17"/>
    <n v="0"/>
    <n v="357.06"/>
    <n v="1087.6199999999999"/>
    <n v="0.21"/>
    <n v="0"/>
    <n v="11.39"/>
    <n v="227.63"/>
    <n v="-14.01"/>
    <x v="0"/>
    <s v=""/>
    <n v="0"/>
    <n v="-178.98"/>
    <n v="-660.59"/>
  </r>
  <r>
    <x v="97"/>
    <n v="-193.5"/>
    <n v="-659.32"/>
    <n v="0"/>
    <n v="1313.14"/>
    <n v="2388.5500000000002"/>
    <n v="-0.12"/>
    <n v="0"/>
    <n v="37.81"/>
    <n v="0.96"/>
    <n v="0"/>
    <n v="1347.9"/>
    <n v="2265.35"/>
    <n v="3104.69"/>
    <n v="16.100000000000001"/>
    <n v="0"/>
    <n v="350.99"/>
    <n v="1087.4000000000001"/>
    <n v="0.21"/>
    <n v="0"/>
    <n v="11.38"/>
    <n v="228.83"/>
    <n v="-14.01"/>
    <x v="1"/>
    <s v=""/>
    <n v="0"/>
    <n v="-192.54"/>
    <n v="-659.32"/>
  </r>
  <r>
    <x v="98"/>
    <n v="-238"/>
    <n v="-660.04"/>
    <n v="0"/>
    <n v="1389.56"/>
    <n v="2374.46"/>
    <n v="-0.39"/>
    <n v="0"/>
    <n v="37.82"/>
    <n v="0.4"/>
    <n v="0"/>
    <n v="1414.94"/>
    <n v="2192.02"/>
    <n v="2834.4"/>
    <n v="16.899999999999999"/>
    <n v="0"/>
    <n v="361.32"/>
    <n v="1080.98"/>
    <n v="0.2"/>
    <n v="0"/>
    <n v="11.39"/>
    <n v="233.83"/>
    <n v="-15.17"/>
    <x v="2"/>
    <s v=""/>
    <n v="0"/>
    <n v="-237.6"/>
    <n v="-660.04"/>
  </r>
  <r>
    <x v="99"/>
    <n v="-299.37"/>
    <n v="-658.02"/>
    <n v="0"/>
    <n v="1556.16"/>
    <n v="2492.27"/>
    <n v="-0.02"/>
    <n v="0"/>
    <n v="37.880000000000003"/>
    <n v="0.48"/>
    <n v="0"/>
    <n v="1447.94"/>
    <n v="2011.07"/>
    <n v="2495.69"/>
    <n v="17.350000000000001"/>
    <n v="0"/>
    <n v="400.13"/>
    <n v="1132.96"/>
    <n v="0.21"/>
    <n v="0"/>
    <n v="11.41"/>
    <n v="252"/>
    <n v="-17.28"/>
    <x v="3"/>
    <s v=""/>
    <n v="0"/>
    <n v="-298.89"/>
    <n v="-658.02"/>
  </r>
  <r>
    <x v="100"/>
    <n v="-254.92"/>
    <n v="-657.84"/>
    <n v="0"/>
    <n v="1566.3"/>
    <n v="2708.77"/>
    <n v="-0.12"/>
    <n v="0"/>
    <n v="37.82"/>
    <n v="1.42"/>
    <n v="0"/>
    <n v="1471.44"/>
    <n v="2257.34"/>
    <n v="1969.91"/>
    <n v="17.48"/>
    <n v="0"/>
    <n v="390.11"/>
    <n v="1228.1400000000001"/>
    <n v="0.2"/>
    <n v="0"/>
    <n v="11.39"/>
    <n v="272.45999999999998"/>
    <n v="24"/>
    <x v="4"/>
    <s v=""/>
    <n v="0"/>
    <n v="-253.5"/>
    <n v="-657.84"/>
  </r>
  <r>
    <x v="101"/>
    <n v="-269.14"/>
    <n v="-658.88"/>
    <n v="0"/>
    <n v="1534.91"/>
    <n v="3432.06"/>
    <n v="-0.49"/>
    <n v="0"/>
    <n v="37.83"/>
    <n v="0.95"/>
    <n v="0"/>
    <n v="1450.15"/>
    <n v="2138.2399999999998"/>
    <n v="1472.47"/>
    <n v="16.72"/>
    <n v="0"/>
    <n v="364.23"/>
    <n v="1549.69"/>
    <n v="0.2"/>
    <n v="0"/>
    <n v="11.39"/>
    <n v="341.71"/>
    <n v="4.71"/>
    <x v="5"/>
    <s v=""/>
    <n v="0"/>
    <n v="-268.19"/>
    <n v="-658.88"/>
  </r>
  <r>
    <x v="102"/>
    <n v="-215.94"/>
    <n v="-657.04"/>
    <n v="0"/>
    <n v="1500.02"/>
    <n v="4114.53"/>
    <n v="0.55000000000000004"/>
    <n v="0"/>
    <n v="37.869999999999997"/>
    <n v="1.91"/>
    <n v="0"/>
    <n v="1513.1"/>
    <n v="1908.83"/>
    <n v="1077.3599999999999"/>
    <n v="16.16"/>
    <n v="0"/>
    <n v="361.06"/>
    <n v="1852.86"/>
    <n v="0.22"/>
    <n v="0"/>
    <n v="11.4"/>
    <n v="401.78"/>
    <n v="-0.02"/>
    <x v="6"/>
    <s v=""/>
    <n v="0"/>
    <n v="-214.03"/>
    <n v="-657.04"/>
  </r>
  <r>
    <x v="103"/>
    <n v="-126.78"/>
    <n v="-656.15"/>
    <n v="0"/>
    <n v="1607.4"/>
    <n v="4724.3100000000004"/>
    <n v="7.25"/>
    <n v="0"/>
    <n v="39.4"/>
    <n v="1.72"/>
    <n v="-0.06"/>
    <n v="1592.88"/>
    <n v="1459.36"/>
    <n v="694.37"/>
    <n v="15.83"/>
    <n v="0"/>
    <n v="426.05"/>
    <n v="2127.4"/>
    <n v="0.34"/>
    <n v="0"/>
    <n v="11.86"/>
    <n v="457.98"/>
    <n v="21.26"/>
    <x v="7"/>
    <s v=""/>
    <n v="0"/>
    <n v="-125.06"/>
    <n v="-656.20999999999992"/>
  </r>
  <r>
    <x v="104"/>
    <n v="-3.51"/>
    <n v="-354.68"/>
    <n v="0"/>
    <n v="1632.29"/>
    <n v="5543.33"/>
    <n v="3.33"/>
    <n v="0"/>
    <n v="42.78"/>
    <n v="4.62"/>
    <n v="48.43"/>
    <n v="1627.76"/>
    <n v="790.13"/>
    <n v="354.66"/>
    <n v="15.61"/>
    <n v="0"/>
    <n v="482.97"/>
    <n v="2502.31"/>
    <n v="0.37"/>
    <n v="0"/>
    <n v="12.88"/>
    <n v="519.25"/>
    <n v="57.01"/>
    <x v="8"/>
    <s v=""/>
    <n v="0"/>
    <n v="1.1100000000000003"/>
    <n v="-306.25"/>
  </r>
  <r>
    <x v="105"/>
    <n v="-2.37"/>
    <n v="0"/>
    <n v="0"/>
    <n v="1409.38"/>
    <n v="6377.1"/>
    <n v="-1.0900000000000001"/>
    <n v="0"/>
    <n v="42.55"/>
    <n v="207.02"/>
    <n v="248.33"/>
    <n v="1637.74"/>
    <n v="175.55"/>
    <n v="107.74"/>
    <n v="15.37"/>
    <n v="0"/>
    <n v="446.37"/>
    <n v="2884.87"/>
    <n v="0.42"/>
    <n v="0"/>
    <n v="12.81"/>
    <n v="568.15"/>
    <n v="125.69"/>
    <x v="9"/>
    <s v=""/>
    <n v="0"/>
    <n v="204.65"/>
    <n v="248.33"/>
  </r>
  <r>
    <x v="106"/>
    <n v="-2.3199999999999998"/>
    <n v="0"/>
    <n v="0"/>
    <n v="1305.17"/>
    <n v="6798.69"/>
    <n v="-2.9"/>
    <n v="0"/>
    <n v="71.83"/>
    <n v="309.89999999999998"/>
    <n v="604.82000000000005"/>
    <n v="1641.12"/>
    <n v="5.61"/>
    <n v="12.89"/>
    <n v="15.45"/>
    <n v="0"/>
    <n v="427.1"/>
    <n v="3078.16"/>
    <n v="0.41"/>
    <n v="0"/>
    <n v="24.61"/>
    <n v="577.61"/>
    <n v="138.72999999999999"/>
    <x v="10"/>
    <s v=""/>
    <n v="0"/>
    <n v="307.58"/>
    <n v="604.82000000000005"/>
  </r>
  <r>
    <x v="107"/>
    <n v="-1.58"/>
    <n v="0"/>
    <n v="-92.12"/>
    <n v="970.41"/>
    <n v="6926.95"/>
    <n v="-3.66"/>
    <n v="0"/>
    <n v="341.22"/>
    <n v="420.47"/>
    <n v="654.4"/>
    <n v="1690.78"/>
    <n v="0.05"/>
    <n v="0.17"/>
    <n v="15.35"/>
    <n v="29.85"/>
    <n v="303.81"/>
    <n v="3138.37"/>
    <n v="0.4"/>
    <n v="0"/>
    <n v="129.77000000000001"/>
    <n v="599.34"/>
    <n v="140.03"/>
    <x v="11"/>
    <s v=""/>
    <n v="0"/>
    <n v="418.89000000000004"/>
    <n v="654.4"/>
  </r>
  <r>
    <x v="108"/>
    <n v="-1.45"/>
    <n v="0"/>
    <n v="-78.16"/>
    <n v="877.65"/>
    <n v="6945.25"/>
    <n v="-2.25"/>
    <n v="0"/>
    <n v="354.04"/>
    <n v="352.46"/>
    <n v="667.13"/>
    <n v="1801.5"/>
    <n v="0.05"/>
    <n v="0"/>
    <n v="15.42"/>
    <n v="25.2"/>
    <n v="277.14"/>
    <n v="3146.71"/>
    <n v="0.43"/>
    <n v="0"/>
    <n v="134.76"/>
    <n v="601.29"/>
    <n v="185.01"/>
    <x v="12"/>
    <s v=""/>
    <n v="0"/>
    <n v="351.01"/>
    <n v="667.13"/>
  </r>
  <r>
    <x v="109"/>
    <n v="-1.53"/>
    <n v="0"/>
    <n v="-115.62"/>
    <n v="918.65"/>
    <n v="6942.21"/>
    <n v="-2.2599999999999998"/>
    <n v="0"/>
    <n v="353.65"/>
    <n v="293.27"/>
    <n v="512.80999999999995"/>
    <n v="1949.97"/>
    <n v="0.05"/>
    <n v="0"/>
    <n v="14.98"/>
    <n v="37.64"/>
    <n v="279.98"/>
    <n v="3145.32"/>
    <n v="0.43"/>
    <n v="0"/>
    <n v="134.58000000000001"/>
    <n v="604.6"/>
    <n v="138.06"/>
    <x v="13"/>
    <s v=""/>
    <n v="0"/>
    <n v="291.74"/>
    <n v="512.80999999999995"/>
  </r>
  <r>
    <x v="110"/>
    <n v="-2.15"/>
    <n v="0"/>
    <n v="-186.1"/>
    <n v="937.92"/>
    <n v="6938.83"/>
    <n v="-2.15"/>
    <n v="0"/>
    <n v="330.67"/>
    <n v="168.55"/>
    <n v="516.33000000000004"/>
    <n v="2046.18"/>
    <n v="0.05"/>
    <n v="0"/>
    <n v="14.75"/>
    <n v="60.69"/>
    <n v="285.86"/>
    <n v="3143.85"/>
    <n v="0.43"/>
    <n v="0"/>
    <n v="125.6"/>
    <n v="608.45000000000005"/>
    <n v="136.86000000000001"/>
    <x v="14"/>
    <s v=""/>
    <n v="0"/>
    <n v="166.4"/>
    <n v="516.33000000000004"/>
  </r>
  <r>
    <x v="111"/>
    <n v="-3.45"/>
    <n v="0"/>
    <n v="-194.37"/>
    <n v="913.67"/>
    <n v="6935.89"/>
    <n v="-0.85"/>
    <n v="0"/>
    <n v="305.45"/>
    <n v="43.64"/>
    <n v="485.39"/>
    <n v="2096.2800000000002"/>
    <n v="0.05"/>
    <n v="0"/>
    <n v="14.82"/>
    <n v="64.03"/>
    <n v="280.06"/>
    <n v="3142.51"/>
    <n v="0.44"/>
    <n v="0"/>
    <n v="115.75"/>
    <n v="615.91"/>
    <n v="110.96"/>
    <x v="15"/>
    <s v=""/>
    <n v="0"/>
    <n v="40.19"/>
    <n v="485.39"/>
  </r>
  <r>
    <x v="112"/>
    <n v="-2.67"/>
    <n v="0"/>
    <n v="-197.29"/>
    <n v="908.85"/>
    <n v="6948.12"/>
    <n v="-0.95"/>
    <n v="0"/>
    <n v="187.96"/>
    <n v="21.47"/>
    <n v="418.43"/>
    <n v="2138.23"/>
    <n v="0.05"/>
    <n v="0"/>
    <n v="14.45"/>
    <n v="65.16"/>
    <n v="277.61"/>
    <n v="3147.98"/>
    <n v="0.44"/>
    <n v="0"/>
    <n v="69.72"/>
    <n v="617.55999999999995"/>
    <n v="140.03"/>
    <x v="16"/>
    <s v=""/>
    <n v="0"/>
    <n v="18.799999999999997"/>
    <n v="418.43"/>
  </r>
  <r>
    <x v="113"/>
    <n v="-11.84"/>
    <n v="0"/>
    <n v="-241.96"/>
    <n v="972.69"/>
    <n v="6973.47"/>
    <n v="-1.49"/>
    <n v="0"/>
    <n v="42.95"/>
    <n v="10.91"/>
    <n v="210.94"/>
    <n v="2158.5300000000002"/>
    <n v="0.05"/>
    <n v="0"/>
    <n v="14.76"/>
    <n v="81.650000000000006"/>
    <n v="296.8"/>
    <n v="3159.32"/>
    <n v="0.43"/>
    <n v="0"/>
    <n v="12.93"/>
    <n v="627.37"/>
    <n v="100.01"/>
    <x v="17"/>
    <s v=""/>
    <n v="0"/>
    <n v="-0.92999999999999972"/>
    <n v="210.94"/>
  </r>
  <r>
    <x v="114"/>
    <n v="-7.38"/>
    <n v="0"/>
    <n v="-327.3"/>
    <n v="946.89"/>
    <n v="6949.76"/>
    <n v="-0.97"/>
    <n v="0"/>
    <n v="43.15"/>
    <n v="2.4300000000000002"/>
    <n v="48.35"/>
    <n v="2151.7600000000002"/>
    <n v="0.05"/>
    <n v="0"/>
    <n v="14.5"/>
    <n v="112.17"/>
    <n v="277.38"/>
    <n v="3146.23"/>
    <n v="0.44"/>
    <n v="0"/>
    <n v="12.99"/>
    <n v="644.39"/>
    <n v="76.8"/>
    <x v="18"/>
    <s v=""/>
    <n v="0"/>
    <n v="-4.9499999999999993"/>
    <n v="48.35"/>
  </r>
  <r>
    <x v="115"/>
    <n v="-83.85"/>
    <n v="0"/>
    <n v="-360.81"/>
    <n v="1010.1"/>
    <n v="6692.86"/>
    <n v="-0.57999999999999996"/>
    <n v="0"/>
    <n v="43.14"/>
    <n v="1.77"/>
    <n v="30.8"/>
    <n v="2106.94"/>
    <n v="0.05"/>
    <n v="0"/>
    <n v="14.54"/>
    <n v="123.16"/>
    <n v="281.61"/>
    <n v="3024.4"/>
    <n v="0.44"/>
    <n v="0"/>
    <n v="12.99"/>
    <n v="643.58000000000004"/>
    <n v="49.78"/>
    <x v="19"/>
    <s v=""/>
    <n v="0"/>
    <n v="-82.08"/>
    <n v="30.8"/>
  </r>
  <r>
    <x v="116"/>
    <n v="-155.27000000000001"/>
    <n v="0"/>
    <n v="-374.4"/>
    <n v="978.88"/>
    <n v="6625.97"/>
    <n v="-0.85"/>
    <n v="0"/>
    <n v="42.51"/>
    <n v="3.37"/>
    <n v="31.03"/>
    <n v="2065.66"/>
    <n v="0.05"/>
    <n v="0"/>
    <n v="14.35"/>
    <n v="127.82"/>
    <n v="271.63"/>
    <n v="2988.84"/>
    <n v="0.44"/>
    <n v="0"/>
    <n v="12.8"/>
    <n v="651.41999999999996"/>
    <n v="65.23"/>
    <x v="20"/>
    <s v=""/>
    <n v="0"/>
    <n v="-151.9"/>
    <n v="31.03"/>
  </r>
  <r>
    <x v="117"/>
    <n v="-62.67"/>
    <n v="0"/>
    <n v="-394.42"/>
    <n v="942.93"/>
    <n v="6276.39"/>
    <n v="1.53"/>
    <n v="0"/>
    <n v="42.52"/>
    <n v="1.39"/>
    <n v="30.94"/>
    <n v="2095.64"/>
    <n v="0.05"/>
    <n v="0"/>
    <n v="14.28"/>
    <n v="132.37"/>
    <n v="283.27999999999997"/>
    <n v="2829.85"/>
    <n v="0.44"/>
    <n v="0"/>
    <n v="12.8"/>
    <n v="636.44000000000005"/>
    <n v="58.83"/>
    <x v="21"/>
    <s v=""/>
    <n v="0"/>
    <n v="-61.28"/>
    <n v="30.94"/>
  </r>
  <r>
    <x v="118"/>
    <n v="-101.41"/>
    <n v="0"/>
    <n v="-396.14"/>
    <n v="946.21"/>
    <n v="5983.07"/>
    <n v="2.4"/>
    <n v="0"/>
    <n v="43.16"/>
    <n v="1.05"/>
    <n v="30.87"/>
    <n v="2144.85"/>
    <n v="0.05"/>
    <n v="0"/>
    <n v="14.03"/>
    <n v="130.6"/>
    <n v="297.70999999999998"/>
    <n v="2699.06"/>
    <n v="0.45"/>
    <n v="0"/>
    <n v="13"/>
    <n v="626.87"/>
    <n v="53.54"/>
    <x v="22"/>
    <s v=""/>
    <n v="0"/>
    <n v="-100.36"/>
    <n v="30.87"/>
  </r>
  <r>
    <x v="119"/>
    <n v="-87.13"/>
    <n v="0"/>
    <n v="-487.28"/>
    <n v="856.24"/>
    <n v="5820.55"/>
    <n v="1.32"/>
    <n v="0"/>
    <n v="43.36"/>
    <n v="0.6"/>
    <n v="30.93"/>
    <n v="2190.79"/>
    <n v="0.05"/>
    <n v="0"/>
    <n v="13.92"/>
    <n v="158.55000000000001"/>
    <n v="279.98"/>
    <n v="2626.43"/>
    <n v="0.44"/>
    <n v="0"/>
    <n v="13.05"/>
    <n v="630.85"/>
    <n v="65.36"/>
    <x v="23"/>
    <s v="14 Jul"/>
    <n v="0"/>
    <n v="-86.53"/>
    <n v="30.93"/>
  </r>
  <r>
    <x v="120"/>
    <n v="-50.52"/>
    <n v="0"/>
    <n v="-536.12"/>
    <n v="809.98"/>
    <n v="5517.03"/>
    <n v="-0.23"/>
    <n v="0"/>
    <n v="43.19"/>
    <n v="0.18"/>
    <n v="25.74"/>
    <n v="2233.4299999999998"/>
    <n v="0.05"/>
    <n v="0"/>
    <n v="14.68"/>
    <n v="171.28"/>
    <n v="274.22000000000003"/>
    <n v="2492.0700000000002"/>
    <n v="0.43"/>
    <n v="0"/>
    <n v="13"/>
    <n v="623.04999999999995"/>
    <n v="57.01"/>
    <x v="24"/>
    <s v=""/>
    <n v="0"/>
    <n v="-50.34"/>
    <n v="25.74"/>
  </r>
  <r>
    <x v="121"/>
    <n v="-4.3099999999999996"/>
    <n v="0"/>
    <n v="-538.34"/>
    <n v="797.4"/>
    <n v="5349.02"/>
    <n v="0.21"/>
    <n v="0"/>
    <n v="42.53"/>
    <n v="1.05"/>
    <n v="0"/>
    <n v="2282.92"/>
    <n v="0.05"/>
    <n v="0"/>
    <n v="14.54"/>
    <n v="169.91"/>
    <n v="281.60000000000002"/>
    <n v="2417.1999999999998"/>
    <n v="0.43"/>
    <n v="0"/>
    <n v="12.8"/>
    <n v="612.92999999999995"/>
    <n v="64.89"/>
    <x v="25"/>
    <s v=""/>
    <n v="0"/>
    <n v="-3.26"/>
    <n v="0"/>
  </r>
  <r>
    <x v="122"/>
    <n v="-51.03"/>
    <n v="0"/>
    <n v="-513.83000000000004"/>
    <n v="792.88"/>
    <n v="5143.7"/>
    <n v="0.69"/>
    <n v="0"/>
    <n v="42.41"/>
    <n v="0.28999999999999998"/>
    <n v="0"/>
    <n v="2301.21"/>
    <n v="0.05"/>
    <n v="0"/>
    <n v="14.27"/>
    <n v="160.04"/>
    <n v="284.89"/>
    <n v="2325.7600000000002"/>
    <n v="0.44"/>
    <n v="0"/>
    <n v="12.77"/>
    <n v="606.24"/>
    <n v="68.540000000000006"/>
    <x v="26"/>
    <s v=""/>
    <n v="0"/>
    <n v="-50.74"/>
    <n v="0"/>
  </r>
  <r>
    <x v="123"/>
    <n v="-52.8"/>
    <n v="0"/>
    <n v="-459.97"/>
    <n v="761.6"/>
    <n v="4920.88"/>
    <n v="0.38"/>
    <n v="0"/>
    <n v="42.87"/>
    <n v="0.35"/>
    <n v="0"/>
    <n v="2267.08"/>
    <n v="0.05"/>
    <n v="0"/>
    <n v="14.4"/>
    <n v="142.07"/>
    <n v="277.07"/>
    <n v="2227.5100000000002"/>
    <n v="0.44"/>
    <n v="0"/>
    <n v="12.91"/>
    <n v="599.12"/>
    <n v="69.52"/>
    <x v="27"/>
    <s v=""/>
    <n v="0"/>
    <n v="-52.449999999999996"/>
    <n v="0"/>
  </r>
  <r>
    <x v="124"/>
    <n v="-67.489999999999995"/>
    <n v="0"/>
    <n v="-495.82"/>
    <n v="791.54"/>
    <n v="4781.75"/>
    <n v="0.89"/>
    <n v="0"/>
    <n v="43.16"/>
    <n v="1.51"/>
    <n v="0"/>
    <n v="2249.91"/>
    <n v="0.05"/>
    <n v="0"/>
    <n v="14.03"/>
    <n v="152.12"/>
    <n v="287.83999999999997"/>
    <n v="2165.6"/>
    <n v="0.45"/>
    <n v="0"/>
    <n v="13"/>
    <n v="596.54999999999995"/>
    <n v="51.17"/>
    <x v="28"/>
    <s v=""/>
    <n v="0"/>
    <n v="-65.97999999999999"/>
    <n v="0"/>
  </r>
  <r>
    <x v="125"/>
    <n v="-63.85"/>
    <n v="0"/>
    <n v="-498.8"/>
    <n v="780.83"/>
    <n v="4703"/>
    <n v="-0.04"/>
    <n v="0"/>
    <n v="43.29"/>
    <n v="1.01"/>
    <n v="0"/>
    <n v="2264.0500000000002"/>
    <n v="0.05"/>
    <n v="0"/>
    <n v="14.21"/>
    <n v="152.94999999999999"/>
    <n v="284.14999999999998"/>
    <n v="2130.5300000000002"/>
    <n v="0.44"/>
    <n v="0"/>
    <n v="13.04"/>
    <n v="593.12"/>
    <n v="56.71"/>
    <x v="29"/>
    <s v=""/>
    <n v="0"/>
    <n v="-62.84"/>
    <n v="0"/>
  </r>
  <r>
    <x v="126"/>
    <n v="-43.63"/>
    <n v="0"/>
    <n v="-380.66"/>
    <n v="713.11"/>
    <n v="4627.54"/>
    <n v="-0.24"/>
    <n v="0"/>
    <n v="43.32"/>
    <n v="1.59"/>
    <n v="0"/>
    <n v="2116.71"/>
    <n v="0.05"/>
    <n v="0"/>
    <n v="13.98"/>
    <n v="117.83"/>
    <n v="269.75"/>
    <n v="2096.8000000000002"/>
    <n v="0.45"/>
    <n v="0"/>
    <n v="13.04"/>
    <n v="596.32000000000005"/>
    <n v="56.98"/>
    <x v="30"/>
    <s v=""/>
    <n v="0"/>
    <n v="-42.04"/>
    <n v="0"/>
  </r>
  <r>
    <x v="127"/>
    <n v="-55.86"/>
    <n v="0"/>
    <n v="-325.73"/>
    <n v="661.26"/>
    <n v="4765.43"/>
    <n v="-1.26"/>
    <n v="0"/>
    <n v="43.3"/>
    <n v="11.02"/>
    <n v="-0.05"/>
    <n v="2004.46"/>
    <n v="0.05"/>
    <n v="0"/>
    <n v="13.29"/>
    <n v="102.66"/>
    <n v="256.02"/>
    <n v="2158.77"/>
    <n v="0.44"/>
    <n v="0"/>
    <n v="13.04"/>
    <n v="611.67999999999995"/>
    <n v="57.01"/>
    <x v="31"/>
    <s v=""/>
    <n v="0"/>
    <n v="-44.84"/>
    <n v="-0.05"/>
  </r>
  <r>
    <x v="128"/>
    <n v="-95.96"/>
    <n v="0"/>
    <n v="-381.76"/>
    <n v="578.07000000000005"/>
    <n v="5265.24"/>
    <n v="-0.54"/>
    <n v="0"/>
    <n v="43.4"/>
    <n v="0.69"/>
    <n v="0"/>
    <n v="1914.67"/>
    <n v="0.05"/>
    <n v="0"/>
    <n v="12.77"/>
    <n v="121.8"/>
    <n v="223.28"/>
    <n v="2389.5100000000002"/>
    <n v="0.44"/>
    <n v="0"/>
    <n v="13.07"/>
    <n v="656.22"/>
    <n v="72.489999999999995"/>
    <x v="32"/>
    <s v=""/>
    <n v="0"/>
    <n v="-95.27"/>
    <n v="0"/>
  </r>
  <r>
    <x v="129"/>
    <n v="-37.93"/>
    <n v="0"/>
    <n v="-461.29"/>
    <n v="475.77"/>
    <n v="5618.82"/>
    <n v="0.56999999999999995"/>
    <n v="0"/>
    <n v="42.88"/>
    <n v="5.82"/>
    <n v="0"/>
    <n v="1963.07"/>
    <n v="0.05"/>
    <n v="0"/>
    <n v="12.53"/>
    <n v="147.88999999999999"/>
    <n v="186.06"/>
    <n v="2547.91"/>
    <n v="0.45"/>
    <n v="0"/>
    <n v="12.91"/>
    <n v="673.33"/>
    <n v="69.599999999999994"/>
    <x v="33"/>
    <s v=""/>
    <n v="0"/>
    <n v="-32.11"/>
    <n v="0"/>
  </r>
  <r>
    <x v="130"/>
    <n v="-10.93"/>
    <n v="0"/>
    <n v="-472.02"/>
    <n v="210.95"/>
    <n v="6309.23"/>
    <n v="-0.28999999999999998"/>
    <n v="0"/>
    <n v="42.53"/>
    <n v="4.59"/>
    <n v="57.01"/>
    <n v="1767.6"/>
    <n v="0.05"/>
    <n v="0"/>
    <n v="12.42"/>
    <n v="160.69999999999999"/>
    <n v="83.17"/>
    <n v="2858.13"/>
    <n v="0.45"/>
    <n v="0"/>
    <n v="12.81"/>
    <n v="726.13"/>
    <n v="77.510000000000005"/>
    <x v="34"/>
    <s v=""/>
    <n v="0"/>
    <n v="-6.34"/>
    <n v="57.01"/>
  </r>
  <r>
    <x v="131"/>
    <n v="-10.5"/>
    <n v="0"/>
    <n v="-573.94000000000005"/>
    <n v="0"/>
    <n v="6751.5"/>
    <n v="-1.1299999999999999"/>
    <n v="0"/>
    <n v="43"/>
    <n v="83.72"/>
    <n v="233.36"/>
    <n v="1750.97"/>
    <n v="0.05"/>
    <n v="0"/>
    <n v="11.77"/>
    <n v="197.92"/>
    <n v="0"/>
    <n v="3055.82"/>
    <n v="0.44"/>
    <n v="0"/>
    <n v="12.95"/>
    <n v="741.62"/>
    <n v="93.14"/>
    <x v="35"/>
    <s v=""/>
    <n v="0"/>
    <n v="73.22"/>
    <n v="233.36"/>
  </r>
  <r>
    <x v="132"/>
    <n v="-15.9"/>
    <n v="0"/>
    <n v="-418.29"/>
    <n v="0"/>
    <n v="7123.99"/>
    <n v="-3.58"/>
    <n v="0"/>
    <n v="43.75"/>
    <n v="146.22999999999999"/>
    <n v="190.83"/>
    <n v="1760.49"/>
    <n v="0.05"/>
    <n v="0.12"/>
    <n v="11.87"/>
    <n v="145.72999999999999"/>
    <n v="0"/>
    <n v="3224.4"/>
    <n v="0.44"/>
    <n v="0"/>
    <n v="13.17"/>
    <n v="733.6"/>
    <n v="153.1"/>
    <x v="36"/>
    <s v=""/>
    <n v="0"/>
    <n v="130.32999999999998"/>
    <n v="190.83"/>
  </r>
  <r>
    <x v="133"/>
    <n v="-2.09"/>
    <n v="0"/>
    <n v="-376.64"/>
    <n v="15.8"/>
    <n v="7297.42"/>
    <n v="-1.92"/>
    <n v="0"/>
    <n v="43.23"/>
    <n v="240.67"/>
    <n v="358.43"/>
    <n v="1750.08"/>
    <n v="5.23"/>
    <n v="7.84"/>
    <n v="12.89"/>
    <n v="128.53"/>
    <n v="5.47"/>
    <n v="3304.27"/>
    <n v="0.45"/>
    <n v="0"/>
    <n v="13.02"/>
    <n v="710.58"/>
    <n v="147.21"/>
    <x v="37"/>
    <s v=""/>
    <n v="0"/>
    <n v="238.57999999999998"/>
    <n v="358.43"/>
  </r>
  <r>
    <x v="134"/>
    <n v="-4.78"/>
    <n v="0"/>
    <n v="-305.26"/>
    <n v="0"/>
    <n v="7328.85"/>
    <n v="-3.31"/>
    <n v="0"/>
    <n v="43.32"/>
    <n v="89.95"/>
    <n v="577.28"/>
    <n v="1818.48"/>
    <n v="136.53"/>
    <n v="94.14"/>
    <n v="13.92"/>
    <n v="101.53"/>
    <n v="0"/>
    <n v="3319.64"/>
    <n v="0.45"/>
    <n v="0"/>
    <n v="13.04"/>
    <n v="681.96"/>
    <n v="154.78"/>
    <x v="38"/>
    <s v=""/>
    <n v="0"/>
    <n v="85.17"/>
    <n v="577.28"/>
  </r>
  <r>
    <x v="135"/>
    <n v="-5.0999999999999996"/>
    <n v="0"/>
    <n v="-223.76"/>
    <n v="8.4600000000000009"/>
    <n v="6969.81"/>
    <n v="-3.44"/>
    <n v="0"/>
    <n v="43.3"/>
    <n v="80.38"/>
    <n v="298.17"/>
    <n v="1670.48"/>
    <n v="735.66"/>
    <n v="389.47"/>
    <n v="14.14"/>
    <n v="72.239999999999995"/>
    <n v="2.44"/>
    <n v="3155.92"/>
    <n v="0.44"/>
    <n v="0"/>
    <n v="13.04"/>
    <n v="636.20000000000005"/>
    <n v="81.06"/>
    <x v="39"/>
    <s v=""/>
    <n v="0"/>
    <n v="75.28"/>
    <n v="298.17"/>
  </r>
  <r>
    <x v="136"/>
    <n v="-35.28"/>
    <n v="0"/>
    <n v="-158.31"/>
    <n v="242.69"/>
    <n v="5979.68"/>
    <n v="-3.45"/>
    <n v="0"/>
    <n v="43.44"/>
    <n v="1.1599999999999999"/>
    <n v="0"/>
    <n v="1447.65"/>
    <n v="1700.98"/>
    <n v="873.76"/>
    <n v="14.6"/>
    <n v="46.23"/>
    <n v="63.07"/>
    <n v="2703.21"/>
    <n v="0.44"/>
    <n v="0"/>
    <n v="13.08"/>
    <n v="538.37"/>
    <n v="-14.01"/>
    <x v="40"/>
    <s v=""/>
    <n v="0"/>
    <n v="-34.120000000000005"/>
    <n v="0"/>
  </r>
  <r>
    <x v="137"/>
    <n v="-38.520000000000003"/>
    <n v="-26.8"/>
    <n v="-324.17"/>
    <n v="599.24"/>
    <n v="5028.6499999999996"/>
    <n v="0.96"/>
    <n v="0"/>
    <n v="42.44"/>
    <n v="0.81"/>
    <n v="0"/>
    <n v="1171.56"/>
    <n v="2574.77"/>
    <n v="1457.97"/>
    <n v="15.48"/>
    <n v="83.25"/>
    <n v="144.63"/>
    <n v="2268.7199999999998"/>
    <n v="0.43"/>
    <n v="0"/>
    <n v="12.78"/>
    <n v="435.2"/>
    <n v="16.04"/>
    <x v="41"/>
    <s v=""/>
    <n v="0"/>
    <n v="-37.71"/>
    <n v="-26.8"/>
  </r>
  <r>
    <x v="138"/>
    <n v="-8.85"/>
    <n v="-97.44"/>
    <n v="-393.87"/>
    <n v="701.08"/>
    <n v="4242.24"/>
    <n v="11.53"/>
    <n v="0"/>
    <n v="40.770000000000003"/>
    <n v="1.08"/>
    <n v="0"/>
    <n v="1027.68"/>
    <n v="2910.9"/>
    <n v="2056.14"/>
    <n v="16.13"/>
    <n v="90.59"/>
    <n v="160.27000000000001"/>
    <n v="1910.6"/>
    <n v="0.44"/>
    <n v="0"/>
    <n v="12.27"/>
    <n v="366.65"/>
    <n v="50.35"/>
    <x v="42"/>
    <s v=""/>
    <n v="0"/>
    <n v="-7.77"/>
    <n v="-97.44"/>
  </r>
  <r>
    <x v="139"/>
    <n v="-81.27"/>
    <n v="-283.64"/>
    <n v="-359.41"/>
    <n v="752.54"/>
    <n v="3632.09"/>
    <n v="13.54"/>
    <n v="0"/>
    <n v="38.119999999999997"/>
    <n v="2.21"/>
    <n v="0"/>
    <n v="960.08"/>
    <n v="3022.31"/>
    <n v="2593.56"/>
    <n v="16.489999999999998"/>
    <n v="74.67"/>
    <n v="176.01"/>
    <n v="1639.68"/>
    <n v="0.45"/>
    <n v="0"/>
    <n v="11.48"/>
    <n v="321.01"/>
    <n v="24"/>
    <x v="43"/>
    <s v=""/>
    <n v="0"/>
    <n v="-79.06"/>
    <n v="-283.64"/>
  </r>
  <r>
    <x v="140"/>
    <n v="-106.43"/>
    <n v="-480.14"/>
    <n v="-342.47"/>
    <n v="720"/>
    <n v="3455.68"/>
    <n v="13.92"/>
    <n v="0"/>
    <n v="40.619999999999997"/>
    <n v="1.74"/>
    <n v="0"/>
    <n v="905.81"/>
    <n v="3084.05"/>
    <n v="3022.73"/>
    <n v="16.97"/>
    <n v="67.48"/>
    <n v="172.94"/>
    <n v="1562.77"/>
    <n v="0.45"/>
    <n v="0"/>
    <n v="12.23"/>
    <n v="305.45"/>
    <n v="45"/>
    <x v="44"/>
    <s v=""/>
    <n v="0"/>
    <n v="-104.69000000000001"/>
    <n v="-480.14"/>
  </r>
  <r>
    <x v="141"/>
    <n v="-244.89"/>
    <n v="-657.9"/>
    <n v="-315.85000000000002"/>
    <n v="718.44"/>
    <n v="3370.09"/>
    <n v="13.54"/>
    <n v="0"/>
    <n v="38.700000000000003"/>
    <n v="0.02"/>
    <n v="0"/>
    <n v="892.28"/>
    <n v="2987.13"/>
    <n v="3352.07"/>
    <n v="17.53"/>
    <n v="60.85"/>
    <n v="180.02"/>
    <n v="1525.04"/>
    <n v="0.44"/>
    <n v="0"/>
    <n v="11.65"/>
    <n v="302.77"/>
    <n v="-9.5"/>
    <x v="45"/>
    <s v=""/>
    <n v="0"/>
    <n v="-244.86999999999998"/>
    <n v="-657.9"/>
  </r>
  <r>
    <x v="142"/>
    <n v="-458.77"/>
    <n v="-657.57"/>
    <n v="-389.6"/>
    <n v="722.83"/>
    <n v="3416"/>
    <n v="13.34"/>
    <n v="0"/>
    <n v="38.369999999999997"/>
    <n v="0.31"/>
    <n v="0"/>
    <n v="952.99"/>
    <n v="2926.51"/>
    <n v="3570.13"/>
    <n v="17.86"/>
    <n v="75.72"/>
    <n v="182.28"/>
    <n v="1545.61"/>
    <n v="0.44"/>
    <n v="0"/>
    <n v="11.55"/>
    <n v="307.39"/>
    <n v="22.93"/>
    <x v="46"/>
    <s v=""/>
    <n v="0"/>
    <n v="-458.46"/>
    <n v="-657.57"/>
  </r>
  <r>
    <x v="143"/>
    <n v="-292.61"/>
    <n v="-657.06"/>
    <n v="-520.09"/>
    <n v="644.71"/>
    <n v="3325.91"/>
    <n v="9.8000000000000007"/>
    <n v="0"/>
    <n v="38.18"/>
    <n v="275.94"/>
    <n v="0"/>
    <n v="940.11"/>
    <n v="2611.9499999999998"/>
    <n v="3687.66"/>
    <n v="18.03"/>
    <n v="100.25"/>
    <n v="168.33"/>
    <n v="1505.37"/>
    <n v="0.39"/>
    <n v="0"/>
    <n v="11.49"/>
    <n v="301.51"/>
    <n v="-18"/>
    <x v="47"/>
    <s v=""/>
    <n v="0"/>
    <n v="-16.670000000000016"/>
    <n v="-657.06"/>
  </r>
  <r>
    <x v="144"/>
    <n v="-403.44"/>
    <n v="-655.29999999999995"/>
    <n v="-447.76"/>
    <n v="764.03"/>
    <n v="3347.89"/>
    <n v="7.17"/>
    <n v="0"/>
    <n v="37.9"/>
    <n v="47.4"/>
    <n v="0"/>
    <n v="1044"/>
    <n v="2359.9499999999998"/>
    <n v="3701.36"/>
    <n v="18.55"/>
    <n v="90.97"/>
    <n v="204.01"/>
    <n v="1515.19"/>
    <n v="0.35"/>
    <n v="0"/>
    <n v="11.41"/>
    <n v="311.52"/>
    <n v="-19.690000000000001"/>
    <x v="0"/>
    <s v=""/>
    <n v="0"/>
    <n v="-356.04"/>
    <n v="-655.29999999999995"/>
  </r>
  <r>
    <x v="145"/>
    <n v="-473.85"/>
    <n v="-654.79999999999995"/>
    <n v="-440.61"/>
    <n v="757.75"/>
    <n v="3353.05"/>
    <n v="6.59"/>
    <n v="0"/>
    <n v="37.869999999999997"/>
    <n v="1.51"/>
    <n v="0"/>
    <n v="1128.8499999999999"/>
    <n v="2382.64"/>
    <n v="3594.25"/>
    <n v="19.079999999999998"/>
    <n v="88.9"/>
    <n v="204.82"/>
    <n v="1517.51"/>
    <n v="0.34"/>
    <n v="0"/>
    <n v="11.4"/>
    <n v="315.52999999999997"/>
    <n v="-14.01"/>
    <x v="1"/>
    <s v=""/>
    <n v="0"/>
    <n v="-472.34000000000003"/>
    <n v="-654.79999999999995"/>
  </r>
  <r>
    <x v="146"/>
    <n v="-248.12"/>
    <n v="-655.72"/>
    <n v="-470.68"/>
    <n v="747.46"/>
    <n v="3321.31"/>
    <n v="6.74"/>
    <n v="0"/>
    <n v="37.799999999999997"/>
    <n v="0.09"/>
    <n v="0"/>
    <n v="1011.38"/>
    <n v="2442.44"/>
    <n v="3387.69"/>
    <n v="18.989999999999998"/>
    <n v="95.3"/>
    <n v="197.07"/>
    <n v="1503.36"/>
    <n v="0.34"/>
    <n v="0"/>
    <n v="11.38"/>
    <n v="316.29000000000002"/>
    <n v="-14.01"/>
    <x v="2"/>
    <s v=""/>
    <n v="0"/>
    <n v="-248.03"/>
    <n v="-655.72"/>
  </r>
  <r>
    <x v="147"/>
    <n v="-35.68"/>
    <n v="-653.5"/>
    <n v="-477.19"/>
    <n v="785.57"/>
    <n v="3353.2"/>
    <n v="6.09"/>
    <n v="1.33"/>
    <n v="37.9"/>
    <n v="0.33"/>
    <n v="0"/>
    <n v="910.82"/>
    <n v="2422.38"/>
    <n v="3085.14"/>
    <n v="19.32"/>
    <n v="98.6"/>
    <n v="206.98"/>
    <n v="1517.61"/>
    <n v="0.33"/>
    <n v="0.25"/>
    <n v="11.41"/>
    <n v="324.19"/>
    <n v="-18"/>
    <x v="3"/>
    <s v=""/>
    <n v="0"/>
    <n v="-35.35"/>
    <n v="-653.5"/>
  </r>
  <r>
    <x v="148"/>
    <n v="-3.48"/>
    <n v="-653.39"/>
    <n v="-450.68"/>
    <n v="758.32"/>
    <n v="3396.13"/>
    <n v="6.7"/>
    <n v="14.5"/>
    <n v="37.86"/>
    <n v="143.33000000000001"/>
    <n v="0"/>
    <n v="911.78"/>
    <n v="2449.9299999999998"/>
    <n v="2714.41"/>
    <n v="19.489999999999998"/>
    <n v="91.73"/>
    <n v="196.22"/>
    <n v="1536.68"/>
    <n v="0.34"/>
    <n v="2.7"/>
    <n v="11.4"/>
    <n v="332.66"/>
    <n v="-17.5"/>
    <x v="4"/>
    <s v=""/>
    <n v="0"/>
    <n v="139.85000000000002"/>
    <n v="-653.39"/>
  </r>
  <r>
    <x v="149"/>
    <n v="-53.08"/>
    <n v="-639.83000000000004"/>
    <n v="-394"/>
    <n v="894.25"/>
    <n v="3611.65"/>
    <n v="6.89"/>
    <n v="17.329999999999998"/>
    <n v="37.880000000000003"/>
    <n v="281.5"/>
    <n v="0"/>
    <n v="948.64"/>
    <n v="2426.56"/>
    <n v="2221.29"/>
    <n v="19.46"/>
    <n v="81.3"/>
    <n v="223.55"/>
    <n v="1632.81"/>
    <n v="0.35"/>
    <n v="3.22"/>
    <n v="11.41"/>
    <n v="352.13"/>
    <n v="-14.99"/>
    <x v="5"/>
    <s v=""/>
    <n v="0"/>
    <n v="228.42000000000002"/>
    <n v="-639.83000000000004"/>
  </r>
  <r>
    <x v="150"/>
    <n v="-118.18"/>
    <n v="-572.38"/>
    <n v="-300.33"/>
    <n v="743.74"/>
    <n v="4298.8100000000004"/>
    <n v="8.69"/>
    <n v="37"/>
    <n v="37.799999999999997"/>
    <n v="245.71"/>
    <n v="0"/>
    <n v="981.61"/>
    <n v="2378.91"/>
    <n v="1656.36"/>
    <n v="18.18"/>
    <n v="68.11"/>
    <n v="183.84"/>
    <n v="1938.09"/>
    <n v="0.4"/>
    <n v="6.88"/>
    <n v="11.38"/>
    <n v="416.43"/>
    <n v="-14.05"/>
    <x v="6"/>
    <s v=""/>
    <n v="0"/>
    <n v="127.53"/>
    <n v="-572.38"/>
  </r>
  <r>
    <x v="151"/>
    <n v="-371.88"/>
    <n v="-254.63"/>
    <n v="-314.72000000000003"/>
    <n v="828.73"/>
    <n v="5171.8599999999997"/>
    <n v="0.46"/>
    <n v="181.67"/>
    <n v="39.65"/>
    <n v="15.72"/>
    <n v="0"/>
    <n v="954.63"/>
    <n v="2025.63"/>
    <n v="1067.83"/>
    <n v="16.37"/>
    <n v="86.44"/>
    <n v="217.63"/>
    <n v="2330.5700000000002"/>
    <n v="0.43"/>
    <n v="33.770000000000003"/>
    <n v="11.94"/>
    <n v="508.66"/>
    <n v="38.6"/>
    <x v="7"/>
    <s v=""/>
    <n v="0"/>
    <n v="-356.15999999999997"/>
    <n v="-254.63"/>
  </r>
  <r>
    <x v="152"/>
    <n v="-303.89999999999998"/>
    <n v="0"/>
    <n v="-198.04"/>
    <n v="890.41"/>
    <n v="6325.23"/>
    <n v="-1.73"/>
    <n v="199.5"/>
    <n v="47.35"/>
    <n v="8.73"/>
    <n v="0"/>
    <n v="873.6"/>
    <n v="1067.3399999999999"/>
    <n v="535.07000000000005"/>
    <n v="15.4"/>
    <n v="65.62"/>
    <n v="273.24"/>
    <n v="2854.43"/>
    <n v="0.44"/>
    <n v="37.090000000000003"/>
    <n v="14.51"/>
    <n v="615.54999999999995"/>
    <n v="61.64"/>
    <x v="8"/>
    <s v=""/>
    <n v="0"/>
    <n v="-295.16999999999996"/>
    <n v="0"/>
  </r>
  <r>
    <x v="153"/>
    <n v="-53.59"/>
    <n v="0"/>
    <n v="-265.77999999999997"/>
    <n v="742.64"/>
    <n v="7169.81"/>
    <n v="-1.71"/>
    <n v="400"/>
    <n v="475.02"/>
    <n v="19.29"/>
    <n v="340.54"/>
    <n v="806.58"/>
    <n v="212.16"/>
    <n v="156.63"/>
    <n v="14.94"/>
    <n v="97.66"/>
    <n v="249.93"/>
    <n v="3240.67"/>
    <n v="0.44"/>
    <n v="74.36"/>
    <n v="154.25"/>
    <n v="693.83"/>
    <n v="174.6"/>
    <x v="9"/>
    <s v=""/>
    <n v="0"/>
    <n v="-34.300000000000004"/>
    <n v="340.54"/>
  </r>
  <r>
    <x v="154"/>
    <n v="-8.41"/>
    <n v="0"/>
    <n v="-239.5"/>
    <n v="743.34"/>
    <n v="7371.24"/>
    <n v="-1.51"/>
    <n v="443.83"/>
    <n v="980.74"/>
    <n v="80.709999999999994"/>
    <n v="532.32000000000005"/>
    <n v="735.13"/>
    <n v="5.21"/>
    <n v="18.329999999999998"/>
    <n v="14.64"/>
    <n v="87.87"/>
    <n v="258.17"/>
    <n v="3336.18"/>
    <n v="0.44"/>
    <n v="82.51"/>
    <n v="312.17"/>
    <n v="699.96"/>
    <n v="173.02"/>
    <x v="10"/>
    <s v=""/>
    <n v="0"/>
    <n v="72.3"/>
    <n v="532.32000000000005"/>
  </r>
  <r>
    <x v="155"/>
    <n v="-10.9"/>
    <n v="0"/>
    <n v="-19.45"/>
    <n v="888.89"/>
    <n v="7437.64"/>
    <n v="-1.55"/>
    <n v="442.83"/>
    <n v="1022.08"/>
    <n v="147.34"/>
    <n v="581.86"/>
    <n v="698.01"/>
    <n v="0.04"/>
    <n v="0.27"/>
    <n v="14.46"/>
    <n v="7.19"/>
    <n v="312.63"/>
    <n v="3368.71"/>
    <n v="0.44"/>
    <n v="82.32"/>
    <n v="323.49"/>
    <n v="674.88"/>
    <n v="210.1"/>
    <x v="11"/>
    <s v=""/>
    <n v="0"/>
    <n v="136.44"/>
    <n v="581.86"/>
  </r>
  <r>
    <x v="156"/>
    <n v="-5.97"/>
    <n v="0"/>
    <n v="0"/>
    <n v="901.02"/>
    <n v="7437.2"/>
    <n v="-1.6"/>
    <n v="441.83"/>
    <n v="1039.98"/>
    <n v="232.35"/>
    <n v="607.35"/>
    <n v="757.01"/>
    <n v="0.04"/>
    <n v="0"/>
    <n v="13.88"/>
    <n v="0"/>
    <n v="319.14"/>
    <n v="3368.29"/>
    <n v="0.44"/>
    <n v="82.14"/>
    <n v="328.52"/>
    <n v="662.51"/>
    <n v="226.15"/>
    <x v="12"/>
    <s v=""/>
    <n v="0"/>
    <n v="226.38"/>
    <n v="607.35"/>
  </r>
  <r>
    <x v="157"/>
    <n v="-7.68"/>
    <n v="0"/>
    <n v="0"/>
    <n v="852.39"/>
    <n v="7414.18"/>
    <n v="-1.92"/>
    <n v="442.33"/>
    <n v="1035.82"/>
    <n v="158.43"/>
    <n v="606.84"/>
    <n v="899.33"/>
    <n v="0.04"/>
    <n v="0"/>
    <n v="13.34"/>
    <n v="0"/>
    <n v="299.93"/>
    <n v="3357.26"/>
    <n v="0.44"/>
    <n v="82.23"/>
    <n v="327.08999999999997"/>
    <n v="660.89"/>
    <n v="155.22999999999999"/>
    <x v="13"/>
    <s v=""/>
    <n v="0"/>
    <n v="150.75"/>
    <n v="606.84"/>
  </r>
  <r>
    <x v="158"/>
    <n v="-5.16"/>
    <n v="0"/>
    <n v="0"/>
    <n v="767.93"/>
    <n v="7423.35"/>
    <n v="-1.74"/>
    <n v="443.83"/>
    <n v="1023.49"/>
    <n v="98.18"/>
    <n v="607.63"/>
    <n v="982.25"/>
    <n v="0.04"/>
    <n v="0"/>
    <n v="12.79"/>
    <n v="0"/>
    <n v="274.37"/>
    <n v="3361.38"/>
    <n v="0.45"/>
    <n v="82.51"/>
    <n v="323.79000000000002"/>
    <n v="664.58"/>
    <n v="153.5"/>
    <x v="14"/>
    <s v=""/>
    <n v="0"/>
    <n v="93.02000000000001"/>
    <n v="607.63"/>
  </r>
  <r>
    <x v="159"/>
    <n v="-6.88"/>
    <n v="0"/>
    <n v="0"/>
    <n v="830.23"/>
    <n v="7430.95"/>
    <n v="-2.23"/>
    <n v="451.17"/>
    <n v="963.58"/>
    <n v="17.59"/>
    <n v="566.23"/>
    <n v="906.66"/>
    <n v="0.04"/>
    <n v="0"/>
    <n v="11.83"/>
    <n v="0"/>
    <n v="296.45"/>
    <n v="3365.1"/>
    <n v="0.44"/>
    <n v="83.87"/>
    <n v="306.77999999999997"/>
    <n v="673.31"/>
    <n v="150.07"/>
    <x v="15"/>
    <s v=""/>
    <n v="0"/>
    <n v="10.71"/>
    <n v="566.23"/>
  </r>
  <r>
    <x v="160"/>
    <n v="-4.63"/>
    <n v="0"/>
    <n v="0"/>
    <n v="889.51"/>
    <n v="7436"/>
    <n v="-0.23"/>
    <n v="451.83"/>
    <n v="822.62"/>
    <n v="2"/>
    <n v="360.47"/>
    <n v="958.46"/>
    <n v="0.04"/>
    <n v="0"/>
    <n v="11.15"/>
    <n v="0"/>
    <n v="317.33"/>
    <n v="3367.85"/>
    <n v="0.44"/>
    <n v="84"/>
    <n v="267.27"/>
    <n v="681.48"/>
    <n v="140.38"/>
    <x v="16"/>
    <s v=""/>
    <n v="0"/>
    <n v="-2.63"/>
    <n v="360.47"/>
  </r>
  <r>
    <x v="161"/>
    <n v="-6.52"/>
    <n v="0"/>
    <n v="0"/>
    <n v="852.13"/>
    <n v="7435.9"/>
    <n v="-0.18"/>
    <n v="451.83"/>
    <n v="641.17999999999995"/>
    <n v="2.0699999999999998"/>
    <n v="385.38"/>
    <n v="938.8"/>
    <n v="0.04"/>
    <n v="0"/>
    <n v="10.58"/>
    <n v="0"/>
    <n v="305.82"/>
    <n v="3367.96"/>
    <n v="0.44"/>
    <n v="84"/>
    <n v="216.1"/>
    <n v="685.66"/>
    <n v="150.07"/>
    <x v="17"/>
    <s v=""/>
    <n v="0"/>
    <n v="-4.4499999999999993"/>
    <n v="385.38"/>
  </r>
  <r>
    <x v="162"/>
    <n v="-9.9499999999999993"/>
    <n v="0"/>
    <n v="0"/>
    <n v="733.74"/>
    <n v="7432.86"/>
    <n v="-0.37"/>
    <n v="448.17"/>
    <n v="359.13"/>
    <n v="0.06"/>
    <n v="505.2"/>
    <n v="1015.38"/>
    <n v="0.04"/>
    <n v="0"/>
    <n v="10.34"/>
    <n v="0"/>
    <n v="271.13"/>
    <n v="3366.3"/>
    <n v="0.44"/>
    <n v="83.31"/>
    <n v="136.63"/>
    <n v="684.2"/>
    <n v="124.24"/>
    <x v="18"/>
    <s v=""/>
    <n v="0"/>
    <n v="-9.8899999999999988"/>
    <n v="505.2"/>
  </r>
  <r>
    <x v="163"/>
    <n v="-33.520000000000003"/>
    <n v="0"/>
    <n v="-0.71"/>
    <n v="614.34"/>
    <n v="7398.19"/>
    <n v="0.05"/>
    <n v="449.5"/>
    <n v="340.06"/>
    <n v="1.25"/>
    <n v="317.8"/>
    <n v="1087.1199999999999"/>
    <n v="0.04"/>
    <n v="0"/>
    <n v="10.34"/>
    <n v="0.26"/>
    <n v="227.44"/>
    <n v="3348.77"/>
    <n v="0.44"/>
    <n v="83.56"/>
    <n v="129.12"/>
    <n v="700.19"/>
    <n v="100.02"/>
    <x v="19"/>
    <s v=""/>
    <n v="0"/>
    <n v="-32.270000000000003"/>
    <n v="317.8"/>
  </r>
  <r>
    <x v="164"/>
    <n v="-9.76"/>
    <n v="0"/>
    <n v="-26.18"/>
    <n v="567.85"/>
    <n v="7405.01"/>
    <n v="-0.48"/>
    <n v="450.83"/>
    <n v="56.61"/>
    <n v="0.87"/>
    <n v="486.3"/>
    <n v="1082.3599999999999"/>
    <n v="0.04"/>
    <n v="0"/>
    <n v="9.98"/>
    <n v="9.51"/>
    <n v="212.78"/>
    <n v="3351.72"/>
    <n v="0.44"/>
    <n v="83.81"/>
    <n v="18.12"/>
    <n v="689.89"/>
    <n v="110.83"/>
    <x v="20"/>
    <s v=""/>
    <n v="0"/>
    <n v="-8.89"/>
    <n v="486.3"/>
  </r>
  <r>
    <x v="165"/>
    <n v="-21.79"/>
    <n v="0"/>
    <n v="-79.430000000000007"/>
    <n v="553.71"/>
    <n v="7391.56"/>
    <n v="-0.56000000000000005"/>
    <n v="446.17"/>
    <n v="44.47"/>
    <n v="0.96"/>
    <n v="255.87"/>
    <n v="1114.56"/>
    <n v="0.04"/>
    <n v="0"/>
    <n v="9.8699999999999992"/>
    <n v="29.5"/>
    <n v="206.75"/>
    <n v="3345.74"/>
    <n v="0.44"/>
    <n v="82.94"/>
    <n v="13.39"/>
    <n v="709.39"/>
    <n v="95.27"/>
    <x v="21"/>
    <s v=""/>
    <n v="0"/>
    <n v="-20.83"/>
    <n v="255.87"/>
  </r>
  <r>
    <x v="166"/>
    <n v="-36.96"/>
    <n v="0"/>
    <n v="-52.28"/>
    <n v="522.4"/>
    <n v="7296.79"/>
    <n v="-0.33"/>
    <n v="440"/>
    <n v="44.39"/>
    <n v="0.49"/>
    <n v="158.85"/>
    <n v="1073.1500000000001"/>
    <n v="0.04"/>
    <n v="0"/>
    <n v="9.6300000000000008"/>
    <n v="19.649999999999999"/>
    <n v="196.4"/>
    <n v="3303.52"/>
    <n v="0.44"/>
    <n v="81.8"/>
    <n v="13.37"/>
    <n v="719.65"/>
    <n v="100.02"/>
    <x v="22"/>
    <s v=""/>
    <n v="0"/>
    <n v="-36.47"/>
    <n v="158.85"/>
  </r>
  <r>
    <x v="167"/>
    <n v="-19.12"/>
    <n v="0"/>
    <n v="-93.73"/>
    <n v="424.58"/>
    <n v="7146.93"/>
    <n v="-0.41"/>
    <n v="308.5"/>
    <n v="44.6"/>
    <n v="0.34"/>
    <n v="122.72"/>
    <n v="1072.5999999999999"/>
    <n v="0.04"/>
    <n v="0"/>
    <n v="9.41"/>
    <n v="35.619999999999997"/>
    <n v="156.82"/>
    <n v="3236.63"/>
    <n v="0.44"/>
    <n v="57.35"/>
    <n v="13.43"/>
    <n v="734.5"/>
    <n v="85.21"/>
    <x v="23"/>
    <s v="15 Jul"/>
    <n v="0"/>
    <n v="-18.78"/>
    <n v="122.72"/>
  </r>
  <r>
    <x v="168"/>
    <n v="-21.55"/>
    <n v="0"/>
    <n v="-95.08"/>
    <n v="324.01"/>
    <n v="7147.07"/>
    <n v="-0.94"/>
    <n v="195.33"/>
    <n v="44.65"/>
    <n v="0.37"/>
    <n v="119.14"/>
    <n v="911.54"/>
    <n v="0.04"/>
    <n v="0"/>
    <n v="9.1300000000000008"/>
    <n v="37"/>
    <n v="117.55"/>
    <n v="3236.67"/>
    <n v="0.44"/>
    <n v="36.31"/>
    <n v="13.45"/>
    <n v="762.21"/>
    <n v="85.12"/>
    <x v="24"/>
    <s v=""/>
    <n v="0"/>
    <n v="-21.18"/>
    <n v="119.14"/>
  </r>
  <r>
    <x v="169"/>
    <n v="-21.09"/>
    <n v="0"/>
    <n v="-77.48"/>
    <n v="333.31"/>
    <n v="7127.96"/>
    <n v="-0.92"/>
    <n v="190"/>
    <n v="44.75"/>
    <n v="0.54"/>
    <n v="110.71"/>
    <n v="777.82"/>
    <n v="0.04"/>
    <n v="0"/>
    <n v="8.83"/>
    <n v="30.71"/>
    <n v="120.78"/>
    <n v="3228.12"/>
    <n v="0.44"/>
    <n v="35.32"/>
    <n v="13.48"/>
    <n v="772.45"/>
    <n v="86.24"/>
    <x v="25"/>
    <s v=""/>
    <n v="0"/>
    <n v="-20.55"/>
    <n v="110.71"/>
  </r>
  <r>
    <x v="170"/>
    <n v="-13.15"/>
    <n v="-67.53"/>
    <n v="-106.28"/>
    <n v="326.72000000000003"/>
    <n v="7094.64"/>
    <n v="-0.83"/>
    <n v="190.17"/>
    <n v="44.91"/>
    <n v="0.25"/>
    <n v="103.52"/>
    <n v="699.34"/>
    <n v="0.04"/>
    <n v="0"/>
    <n v="8.6199999999999992"/>
    <n v="42.12"/>
    <n v="118.98"/>
    <n v="3213.33"/>
    <n v="0.44"/>
    <n v="35.35"/>
    <n v="13.52"/>
    <n v="788.86"/>
    <n v="86.45"/>
    <x v="26"/>
    <s v=""/>
    <n v="0"/>
    <n v="-12.9"/>
    <n v="35.989999999999995"/>
  </r>
  <r>
    <x v="171"/>
    <n v="-36.590000000000003"/>
    <n v="-80.69"/>
    <n v="-96.14"/>
    <n v="365.31"/>
    <n v="6718.34"/>
    <n v="-0.88"/>
    <n v="190.5"/>
    <n v="44.97"/>
    <n v="0.28999999999999998"/>
    <n v="43.12"/>
    <n v="808.09"/>
    <n v="0.04"/>
    <n v="0"/>
    <n v="8.4700000000000006"/>
    <n v="37.61"/>
    <n v="133.09"/>
    <n v="3045.06"/>
    <n v="0.44"/>
    <n v="35.409999999999997"/>
    <n v="13.54"/>
    <n v="777.86"/>
    <n v="75.13"/>
    <x v="27"/>
    <s v=""/>
    <n v="0"/>
    <n v="-36.300000000000004"/>
    <n v="-37.57"/>
  </r>
  <r>
    <x v="172"/>
    <n v="-160.09"/>
    <n v="-80.63"/>
    <n v="-5.42"/>
    <n v="386.38"/>
    <n v="6540.19"/>
    <n v="-0.84"/>
    <n v="190.17"/>
    <n v="45.02"/>
    <n v="3.79"/>
    <n v="14.02"/>
    <n v="800.59"/>
    <n v="0.04"/>
    <n v="0"/>
    <n v="8.73"/>
    <n v="2.11"/>
    <n v="146.76"/>
    <n v="2966.01"/>
    <n v="0.44"/>
    <n v="35.35"/>
    <n v="13.56"/>
    <n v="779.84"/>
    <n v="76.8"/>
    <x v="28"/>
    <s v=""/>
    <n v="0"/>
    <n v="-156.30000000000001"/>
    <n v="-66.61"/>
  </r>
  <r>
    <x v="173"/>
    <n v="-104.48"/>
    <n v="-80.709999999999994"/>
    <n v="-3.12"/>
    <n v="398.01"/>
    <n v="6419.66"/>
    <n v="-0.62"/>
    <n v="190.17"/>
    <n v="44.9"/>
    <n v="3.86"/>
    <n v="14.05"/>
    <n v="717.32"/>
    <n v="0.04"/>
    <n v="0"/>
    <n v="8.82"/>
    <n v="1.23"/>
    <n v="155.72999999999999"/>
    <n v="2911.68"/>
    <n v="0.44"/>
    <n v="35.35"/>
    <n v="13.52"/>
    <n v="779.3"/>
    <n v="76.8"/>
    <x v="29"/>
    <s v=""/>
    <n v="0"/>
    <n v="-100.62"/>
    <n v="-66.66"/>
  </r>
  <r>
    <x v="174"/>
    <n v="-73.5"/>
    <n v="-80.64"/>
    <n v="0"/>
    <n v="580.14"/>
    <n v="6256.13"/>
    <n v="-0.88"/>
    <n v="190.17"/>
    <n v="44.78"/>
    <n v="0.03"/>
    <n v="17.57"/>
    <n v="700.78"/>
    <n v="0.04"/>
    <n v="0"/>
    <n v="9.0299999999999994"/>
    <n v="0"/>
    <n v="229.59"/>
    <n v="2835.56"/>
    <n v="0.44"/>
    <n v="35.35"/>
    <n v="13.48"/>
    <n v="755.73"/>
    <n v="76.3"/>
    <x v="30"/>
    <s v=""/>
    <n v="0"/>
    <n v="-73.47"/>
    <n v="-63.07"/>
  </r>
  <r>
    <x v="175"/>
    <n v="-203.92"/>
    <n v="-80.66"/>
    <n v="0"/>
    <n v="564.89"/>
    <n v="6318.02"/>
    <n v="-0.7"/>
    <n v="190.17"/>
    <n v="43.49"/>
    <n v="0.57999999999999996"/>
    <n v="0"/>
    <n v="777.11"/>
    <n v="0.04"/>
    <n v="0"/>
    <n v="8.93"/>
    <n v="0"/>
    <n v="225.74"/>
    <n v="2863.55"/>
    <n v="0.44"/>
    <n v="35.35"/>
    <n v="13.09"/>
    <n v="765.52"/>
    <n v="76.58"/>
    <x v="31"/>
    <s v=""/>
    <n v="0"/>
    <n v="-203.33999999999997"/>
    <n v="-80.66"/>
  </r>
  <r>
    <x v="176"/>
    <n v="-255.16"/>
    <n v="-67.19"/>
    <n v="0"/>
    <n v="512.38"/>
    <n v="6334.44"/>
    <n v="-0.88"/>
    <n v="190.17"/>
    <n v="43.71"/>
    <n v="4.05"/>
    <n v="0"/>
    <n v="955.64"/>
    <n v="0.04"/>
    <n v="0"/>
    <n v="8.9"/>
    <n v="0"/>
    <n v="206.53"/>
    <n v="2869.23"/>
    <n v="0.44"/>
    <n v="35.35"/>
    <n v="13.16"/>
    <n v="756.28"/>
    <n v="74.790000000000006"/>
    <x v="32"/>
    <s v=""/>
    <n v="0"/>
    <n v="-251.10999999999999"/>
    <n v="-67.19"/>
  </r>
  <r>
    <x v="177"/>
    <n v="-152.51"/>
    <n v="0"/>
    <n v="-16.48"/>
    <n v="401.44"/>
    <n v="6376.07"/>
    <n v="-0.74"/>
    <n v="198.17"/>
    <n v="44.22"/>
    <n v="1.85"/>
    <n v="28.8"/>
    <n v="1134.6600000000001"/>
    <n v="0.04"/>
    <n v="0"/>
    <n v="8.8800000000000008"/>
    <n v="6.35"/>
    <n v="164.24"/>
    <n v="2884.5"/>
    <n v="0.44"/>
    <n v="36.840000000000003"/>
    <n v="13.31"/>
    <n v="732.36"/>
    <n v="73.25"/>
    <x v="33"/>
    <s v=""/>
    <n v="0"/>
    <n v="-150.66"/>
    <n v="28.8"/>
  </r>
  <r>
    <x v="178"/>
    <n v="-127.28"/>
    <n v="0"/>
    <n v="-271.64999999999998"/>
    <n v="194.56"/>
    <n v="6874.18"/>
    <n v="-0.11"/>
    <n v="297.67"/>
    <n v="44.19"/>
    <n v="0.38"/>
    <n v="135.81"/>
    <n v="1342.23"/>
    <n v="0.04"/>
    <n v="0"/>
    <n v="8.65"/>
    <n v="99.85"/>
    <n v="81.99"/>
    <n v="3113.02"/>
    <n v="0.44"/>
    <n v="55.34"/>
    <n v="13.31"/>
    <n v="749.61"/>
    <n v="83.87"/>
    <x v="34"/>
    <s v=""/>
    <n v="0"/>
    <n v="-126.9"/>
    <n v="135.81"/>
  </r>
  <r>
    <x v="179"/>
    <n v="-6.98"/>
    <n v="0"/>
    <n v="-528.04"/>
    <n v="35.39"/>
    <n v="7283"/>
    <n v="-0.3"/>
    <n v="306.83"/>
    <n v="42.77"/>
    <n v="6.6"/>
    <n v="261.24"/>
    <n v="1525.44"/>
    <n v="0.04"/>
    <n v="0"/>
    <n v="8.57"/>
    <n v="188.22"/>
    <n v="15.56"/>
    <n v="3297.29"/>
    <n v="0.44"/>
    <n v="57.04"/>
    <n v="13.08"/>
    <n v="754.62"/>
    <n v="90.66"/>
    <x v="35"/>
    <s v=""/>
    <n v="0"/>
    <n v="-0.38000000000000078"/>
    <n v="261.24"/>
  </r>
  <r>
    <x v="180"/>
    <n v="-2.31"/>
    <n v="0"/>
    <n v="-595.59"/>
    <n v="0"/>
    <n v="7400.33"/>
    <n v="-2.27"/>
    <n v="443.83"/>
    <n v="173.25"/>
    <n v="40.520000000000003"/>
    <n v="705.19"/>
    <n v="1567.48"/>
    <n v="0.04"/>
    <n v="0.18"/>
    <n v="8.3800000000000008"/>
    <n v="200.36"/>
    <n v="0"/>
    <n v="3349.79"/>
    <n v="0.44"/>
    <n v="82.51"/>
    <n v="49.82"/>
    <n v="715.79"/>
    <n v="113.84"/>
    <x v="36"/>
    <s v=""/>
    <n v="0"/>
    <n v="38.21"/>
    <n v="705.19"/>
  </r>
  <r>
    <x v="181"/>
    <n v="-2.91"/>
    <n v="0"/>
    <n v="-525.15"/>
    <n v="0"/>
    <n v="7453.31"/>
    <n v="-1.19"/>
    <n v="450"/>
    <n v="389.81"/>
    <n v="139.94"/>
    <n v="771.76"/>
    <n v="1591.65"/>
    <n v="1.56"/>
    <n v="4.2699999999999996"/>
    <n v="8.6"/>
    <n v="174.19"/>
    <n v="0"/>
    <n v="3376"/>
    <n v="0.44"/>
    <n v="83.66"/>
    <n v="130.49"/>
    <n v="699.03"/>
    <n v="144.66"/>
    <x v="37"/>
    <s v=""/>
    <n v="0"/>
    <n v="137.03"/>
    <n v="771.76"/>
  </r>
  <r>
    <x v="182"/>
    <n v="-1.6"/>
    <n v="0"/>
    <n v="-396.19"/>
    <n v="0"/>
    <n v="7456.8"/>
    <n v="-0.82"/>
    <n v="450"/>
    <n v="526.04999999999995"/>
    <n v="266.73"/>
    <n v="780.94"/>
    <n v="1593.9"/>
    <n v="31.01"/>
    <n v="34.81"/>
    <n v="9.14"/>
    <n v="129.76"/>
    <n v="0"/>
    <n v="3377.67"/>
    <n v="0.44"/>
    <n v="83.66"/>
    <n v="183.71"/>
    <n v="678.76"/>
    <n v="130.34"/>
    <x v="38"/>
    <s v=""/>
    <n v="0"/>
    <n v="265.13"/>
    <n v="780.94"/>
  </r>
  <r>
    <x v="183"/>
    <n v="-2.98"/>
    <n v="0"/>
    <n v="-234.83"/>
    <n v="0"/>
    <n v="7457.68"/>
    <n v="-0.18"/>
    <n v="449.67"/>
    <n v="525.49"/>
    <n v="194.55"/>
    <n v="741.74"/>
    <n v="1578.1"/>
    <n v="266.44"/>
    <n v="126.03"/>
    <n v="9.65"/>
    <n v="76.13"/>
    <n v="0"/>
    <n v="3377.98"/>
    <n v="0.44"/>
    <n v="83.59"/>
    <n v="183.47"/>
    <n v="656.74"/>
    <n v="136.08000000000001"/>
    <x v="39"/>
    <s v=""/>
    <n v="0"/>
    <n v="191.57000000000002"/>
    <n v="741.74"/>
  </r>
  <r>
    <x v="184"/>
    <n v="-0.01"/>
    <n v="0"/>
    <n v="-8.27"/>
    <n v="303.83999999999997"/>
    <n v="7406.16"/>
    <n v="-2.0099999999999998"/>
    <n v="449.83"/>
    <n v="430.01"/>
    <n v="146.44999999999999"/>
    <n v="193.41"/>
    <n v="1422.89"/>
    <n v="634.34"/>
    <n v="286.56"/>
    <n v="10.07"/>
    <n v="2.76"/>
    <n v="97.72"/>
    <n v="3352.35"/>
    <n v="0.44"/>
    <n v="83.62"/>
    <n v="146.18"/>
    <n v="636.16"/>
    <n v="134.16999999999999"/>
    <x v="40"/>
    <s v=""/>
    <n v="0"/>
    <n v="146.44"/>
    <n v="193.41"/>
  </r>
  <r>
    <x v="185"/>
    <n v="-3.63"/>
    <n v="0"/>
    <n v="-64.959999999999994"/>
    <n v="715.54"/>
    <n v="7310.86"/>
    <n v="-3.12"/>
    <n v="442.5"/>
    <n v="322.52999999999997"/>
    <n v="30.23"/>
    <n v="72.650000000000006"/>
    <n v="1308.97"/>
    <n v="1091.93"/>
    <n v="518.02"/>
    <n v="10.47"/>
    <n v="21.4"/>
    <n v="224.59"/>
    <n v="3306.8"/>
    <n v="0.44"/>
    <n v="82.26"/>
    <n v="107.32"/>
    <n v="595.63"/>
    <n v="134.69"/>
    <x v="41"/>
    <s v=""/>
    <n v="0"/>
    <n v="26.6"/>
    <n v="72.650000000000006"/>
  </r>
  <r>
    <x v="186"/>
    <n v="-5.25"/>
    <n v="0"/>
    <n v="-83.46"/>
    <n v="820.01"/>
    <n v="7183.54"/>
    <n v="4.5"/>
    <n v="448.83"/>
    <n v="202.9"/>
    <n v="2.73"/>
    <n v="0"/>
    <n v="1227.52"/>
    <n v="1213.27"/>
    <n v="716.74"/>
    <n v="10.87"/>
    <n v="27.39"/>
    <n v="248.32"/>
    <n v="3247.14"/>
    <n v="0.44"/>
    <n v="83.44"/>
    <n v="58.04"/>
    <n v="577.78"/>
    <n v="105.74"/>
    <x v="42"/>
    <s v=""/>
    <n v="0"/>
    <n v="-2.52"/>
    <n v="0"/>
  </r>
  <r>
    <x v="187"/>
    <n v="-2.91"/>
    <n v="0"/>
    <n v="-58.73"/>
    <n v="789.49"/>
    <n v="7298.68"/>
    <n v="10.39"/>
    <n v="449.67"/>
    <n v="57.49"/>
    <n v="32.299999999999997"/>
    <n v="0"/>
    <n v="1129.9100000000001"/>
    <n v="1122.7"/>
    <n v="893.4"/>
    <n v="11.25"/>
    <n v="19.760000000000002"/>
    <n v="225.24"/>
    <n v="3302.52"/>
    <n v="0.44"/>
    <n v="83.59"/>
    <n v="17.010000000000002"/>
    <n v="580.69000000000005"/>
    <n v="190.2"/>
    <x v="43"/>
    <s v=""/>
    <n v="0"/>
    <n v="29.389999999999997"/>
    <n v="0"/>
  </r>
  <r>
    <x v="188"/>
    <n v="-3.08"/>
    <n v="0"/>
    <n v="-187.26"/>
    <n v="897.18"/>
    <n v="7071.56"/>
    <n v="13.03"/>
    <n v="448.5"/>
    <n v="41.71"/>
    <n v="14.56"/>
    <n v="0"/>
    <n v="1128.6500000000001"/>
    <n v="1278.72"/>
    <n v="1046.19"/>
    <n v="11.48"/>
    <n v="60.92"/>
    <n v="261.79000000000002"/>
    <n v="3200.2"/>
    <n v="0.44"/>
    <n v="83.38"/>
    <n v="12.56"/>
    <n v="561.13"/>
    <n v="118.95"/>
    <x v="44"/>
    <s v=""/>
    <n v="0"/>
    <n v="11.48"/>
    <n v="0"/>
  </r>
  <r>
    <x v="189"/>
    <n v="-18"/>
    <n v="-67.22"/>
    <n v="-187.7"/>
    <n v="692.13"/>
    <n v="6796.41"/>
    <n v="10.81"/>
    <n v="442.17"/>
    <n v="41.62"/>
    <n v="186.4"/>
    <n v="0"/>
    <n v="1198.98"/>
    <n v="1638.2"/>
    <n v="1204.76"/>
    <n v="11.68"/>
    <n v="57.22"/>
    <n v="200.57"/>
    <n v="3075.56"/>
    <n v="0.41"/>
    <n v="82.2"/>
    <n v="12.53"/>
    <n v="531.16999999999996"/>
    <n v="100.48"/>
    <x v="45"/>
    <s v=""/>
    <n v="0"/>
    <n v="168.4"/>
    <n v="-67.22"/>
  </r>
  <r>
    <x v="190"/>
    <n v="-36.04"/>
    <n v="-80.680000000000007"/>
    <n v="-208.57"/>
    <n v="770.53"/>
    <n v="6706.88"/>
    <n v="8.76"/>
    <n v="271.83"/>
    <n v="41.34"/>
    <n v="276.32"/>
    <n v="0"/>
    <n v="1211.49"/>
    <n v="1456.71"/>
    <n v="1330.27"/>
    <n v="11.91"/>
    <n v="64.209999999999994"/>
    <n v="219.38"/>
    <n v="3035.64"/>
    <n v="0.37"/>
    <n v="50.53"/>
    <n v="12.45"/>
    <n v="527.54"/>
    <n v="99.44"/>
    <x v="46"/>
    <s v=""/>
    <n v="0"/>
    <n v="240.28"/>
    <n v="-80.680000000000007"/>
  </r>
  <r>
    <x v="191"/>
    <n v="-171.54"/>
    <n v="-80.61"/>
    <n v="-262.39999999999998"/>
    <n v="752.48"/>
    <n v="6683.2"/>
    <n v="10.55"/>
    <n v="151.83000000000001"/>
    <n v="42.69"/>
    <n v="140.53"/>
    <n v="0"/>
    <n v="1184.02"/>
    <n v="1517.83"/>
    <n v="1531.68"/>
    <n v="12.37"/>
    <n v="81.36"/>
    <n v="215.16"/>
    <n v="3026.7"/>
    <n v="0.4"/>
    <n v="28.23"/>
    <n v="12.85"/>
    <n v="533.58000000000004"/>
    <n v="99.93"/>
    <x v="47"/>
    <s v=""/>
    <n v="0"/>
    <n v="-31.009999999999991"/>
    <n v="-80.61"/>
  </r>
  <r>
    <x v="192"/>
    <n v="-335.08"/>
    <n v="-80.64"/>
    <n v="-311.8"/>
    <n v="725.85"/>
    <n v="6809.4"/>
    <n v="11.8"/>
    <n v="199.17"/>
    <n v="43.52"/>
    <n v="1.1000000000000001"/>
    <n v="0"/>
    <n v="1205.7"/>
    <n v="1423.55"/>
    <n v="1862.29"/>
    <n v="13.04"/>
    <n v="99.96"/>
    <n v="205.33"/>
    <n v="3084.84"/>
    <n v="0.42"/>
    <n v="37.03"/>
    <n v="13.1"/>
    <n v="542.70000000000005"/>
    <n v="103.73"/>
    <x v="0"/>
    <s v=""/>
    <n v="0"/>
    <n v="-333.97999999999996"/>
    <n v="-80.64"/>
  </r>
  <r>
    <x v="193"/>
    <n v="-295"/>
    <n v="-80.47"/>
    <n v="-423.77"/>
    <n v="594.37"/>
    <n v="6867.09"/>
    <n v="10.96"/>
    <n v="190.17"/>
    <n v="43.74"/>
    <n v="1.71"/>
    <n v="0"/>
    <n v="1253.3800000000001"/>
    <n v="1435.14"/>
    <n v="2085.71"/>
    <n v="13.7"/>
    <n v="135.18"/>
    <n v="169.57"/>
    <n v="3107.15"/>
    <n v="0.4"/>
    <n v="35.35"/>
    <n v="13.17"/>
    <n v="540.28"/>
    <n v="92.31"/>
    <x v="1"/>
    <s v=""/>
    <n v="0"/>
    <n v="-293.29000000000002"/>
    <n v="-80.47"/>
  </r>
  <r>
    <x v="194"/>
    <n v="-142.77000000000001"/>
    <n v="-80.540000000000006"/>
    <n v="-420.83"/>
    <n v="554.54"/>
    <n v="6861.4"/>
    <n v="8.0399999999999991"/>
    <n v="190"/>
    <n v="44.38"/>
    <n v="0.14000000000000001"/>
    <n v="0"/>
    <n v="1200.22"/>
    <n v="1227.99"/>
    <n v="2080.25"/>
    <n v="13.97"/>
    <n v="137.79"/>
    <n v="159.34"/>
    <n v="3104.53"/>
    <n v="0.38"/>
    <n v="35.32"/>
    <n v="13.36"/>
    <n v="547.36"/>
    <n v="90.24"/>
    <x v="2"/>
    <s v=""/>
    <n v="0"/>
    <n v="-142.63000000000002"/>
    <n v="-80.540000000000006"/>
  </r>
  <r>
    <x v="195"/>
    <n v="-139.22"/>
    <n v="-67.069999999999993"/>
    <n v="-325.36"/>
    <n v="470.53"/>
    <n v="6880.14"/>
    <n v="8.73"/>
    <n v="190.17"/>
    <n v="43.81"/>
    <n v="48.38"/>
    <n v="0"/>
    <n v="1089.4000000000001"/>
    <n v="1249.6300000000001"/>
    <n v="1862.76"/>
    <n v="14.07"/>
    <n v="107.29"/>
    <n v="140.97"/>
    <n v="3112.88"/>
    <n v="0.36"/>
    <n v="35.35"/>
    <n v="13.19"/>
    <n v="559.02"/>
    <n v="85.68"/>
    <x v="3"/>
    <s v=""/>
    <n v="0"/>
    <n v="-90.84"/>
    <n v="-67.069999999999993"/>
  </r>
  <r>
    <x v="196"/>
    <n v="-243.01"/>
    <n v="0"/>
    <n v="-285.54000000000002"/>
    <n v="585.94000000000005"/>
    <n v="6908.09"/>
    <n v="8.48"/>
    <n v="190.17"/>
    <n v="44.02"/>
    <n v="49.75"/>
    <n v="0"/>
    <n v="1085.81"/>
    <n v="1174.49"/>
    <n v="1496.72"/>
    <n v="14.01"/>
    <n v="95.76"/>
    <n v="176.94"/>
    <n v="3125.28"/>
    <n v="0.36"/>
    <n v="35.35"/>
    <n v="13.25"/>
    <n v="576.35"/>
    <n v="85.72"/>
    <x v="4"/>
    <s v=""/>
    <n v="0"/>
    <n v="-193.26"/>
    <n v="0"/>
  </r>
  <r>
    <x v="197"/>
    <n v="-169.84"/>
    <n v="0"/>
    <n v="-1.7"/>
    <n v="329.01"/>
    <n v="6977.79"/>
    <n v="8.2899999999999991"/>
    <n v="198.17"/>
    <n v="43.92"/>
    <n v="18.43"/>
    <n v="0"/>
    <n v="1100.31"/>
    <n v="1044.1500000000001"/>
    <n v="1198.3900000000001"/>
    <n v="13.9"/>
    <n v="0.57999999999999996"/>
    <n v="102"/>
    <n v="3160.29"/>
    <n v="0.36"/>
    <n v="36.840000000000003"/>
    <n v="13.22"/>
    <n v="597.51"/>
    <n v="93.83"/>
    <x v="5"/>
    <s v=""/>
    <n v="0"/>
    <n v="-151.41"/>
    <n v="0"/>
  </r>
  <r>
    <x v="198"/>
    <n v="-166.03"/>
    <n v="0"/>
    <n v="-22.01"/>
    <n v="441.79"/>
    <n v="7024.53"/>
    <n v="8.23"/>
    <n v="317.17"/>
    <n v="43.44"/>
    <n v="144.30000000000001"/>
    <n v="48.93"/>
    <n v="1028.5"/>
    <n v="866.41"/>
    <n v="916.53"/>
    <n v="13.7"/>
    <n v="7.56"/>
    <n v="141.82"/>
    <n v="3181.98"/>
    <n v="0.36"/>
    <n v="58.96"/>
    <n v="13.08"/>
    <n v="611.04999999999995"/>
    <n v="85.8"/>
    <x v="6"/>
    <s v=""/>
    <n v="0"/>
    <n v="-21.72999999999999"/>
    <n v="48.93"/>
  </r>
  <r>
    <x v="199"/>
    <n v="-115.04"/>
    <n v="0"/>
    <n v="-14.79"/>
    <n v="426.04"/>
    <n v="7192.34"/>
    <n v="5.2"/>
    <n v="447.5"/>
    <n v="87.34"/>
    <n v="18.46"/>
    <n v="369.14"/>
    <n v="1116.44"/>
    <n v="636.95000000000005"/>
    <n v="585.77"/>
    <n v="13.35"/>
    <n v="5.04"/>
    <n v="140.66999999999999"/>
    <n v="3256.93"/>
    <n v="0.41"/>
    <n v="83.19"/>
    <n v="25.77"/>
    <n v="625.98"/>
    <n v="122.68"/>
    <x v="7"/>
    <s v=""/>
    <n v="0"/>
    <n v="-96.580000000000013"/>
    <n v="369.14"/>
  </r>
  <r>
    <x v="200"/>
    <n v="-60.62"/>
    <n v="0"/>
    <n v="-169.46"/>
    <n v="456.03"/>
    <n v="7361.76"/>
    <n v="-2.56"/>
    <n v="450"/>
    <n v="435.09"/>
    <n v="126.24"/>
    <n v="658.29"/>
    <n v="1114.25"/>
    <n v="384.5"/>
    <n v="329.56"/>
    <n v="13.12"/>
    <n v="57.09"/>
    <n v="151.38999999999999"/>
    <n v="3333.87"/>
    <n v="0.44"/>
    <n v="83.66"/>
    <n v="143.53"/>
    <n v="642.69000000000005"/>
    <n v="137.57"/>
    <x v="8"/>
    <s v=""/>
    <n v="0"/>
    <n v="65.62"/>
    <n v="658.29"/>
  </r>
  <r>
    <x v="201"/>
    <n v="-96.48"/>
    <n v="0"/>
    <n v="-60.01"/>
    <n v="467.9"/>
    <n v="7430.85"/>
    <n v="-1.78"/>
    <n v="449.33"/>
    <n v="861.28"/>
    <n v="116.18"/>
    <n v="975.56"/>
    <n v="1027.3699999999999"/>
    <n v="98.8"/>
    <n v="103.2"/>
    <n v="12.91"/>
    <n v="20.22"/>
    <n v="162.29"/>
    <n v="3364.95"/>
    <n v="0.42"/>
    <n v="83.53"/>
    <n v="278.37"/>
    <n v="655.51"/>
    <n v="175.84"/>
    <x v="9"/>
    <s v=""/>
    <n v="0"/>
    <n v="19.700000000000003"/>
    <n v="975.56"/>
  </r>
  <r>
    <x v="202"/>
    <n v="-133.13999999999999"/>
    <n v="0"/>
    <n v="0"/>
    <n v="569.89"/>
    <n v="7425.79"/>
    <n v="-2.58"/>
    <n v="451.67"/>
    <n v="1037.73"/>
    <n v="186.82"/>
    <n v="1210.01"/>
    <n v="1008.6"/>
    <n v="6.32"/>
    <n v="11.91"/>
    <n v="12.65"/>
    <n v="0"/>
    <n v="209.49"/>
    <n v="3363.85"/>
    <n v="0.41"/>
    <n v="83.97"/>
    <n v="327.92"/>
    <n v="641.49"/>
    <n v="208.37"/>
    <x v="10"/>
    <s v=""/>
    <n v="0"/>
    <n v="53.680000000000007"/>
    <n v="1210.01"/>
  </r>
  <r>
    <x v="203"/>
    <n v="-5.15"/>
    <n v="0"/>
    <n v="0"/>
    <n v="1059.2"/>
    <n v="7285.92"/>
    <n v="-2.46"/>
    <n v="450.33"/>
    <n v="1035.6199999999999"/>
    <n v="172.06"/>
    <n v="1262.2"/>
    <n v="1065.6500000000001"/>
    <n v="0.03"/>
    <n v="0.11"/>
    <n v="12.59"/>
    <n v="0"/>
    <n v="379.8"/>
    <n v="3301.45"/>
    <n v="0.41"/>
    <n v="83.72"/>
    <n v="327.14"/>
    <n v="602.54"/>
    <n v="269.77999999999997"/>
    <x v="11"/>
    <s v=""/>
    <n v="0"/>
    <n v="166.91"/>
    <n v="1262.2"/>
  </r>
  <r>
    <x v="204"/>
    <n v="-5.62"/>
    <n v="0"/>
    <n v="0"/>
    <n v="1077.56"/>
    <n v="7043.9"/>
    <n v="-1.97"/>
    <n v="451.83"/>
    <n v="1038.24"/>
    <n v="228.5"/>
    <n v="1389.42"/>
    <n v="1164.3399999999999"/>
    <n v="0.03"/>
    <n v="0"/>
    <n v="12.5"/>
    <n v="0"/>
    <n v="387.46"/>
    <n v="3192.78"/>
    <n v="0.41"/>
    <n v="84"/>
    <n v="328.07"/>
    <n v="582.14"/>
    <n v="203.88"/>
    <x v="12"/>
    <s v=""/>
    <n v="0"/>
    <n v="222.88"/>
    <n v="1389.42"/>
  </r>
  <r>
    <x v="205"/>
    <n v="-6.27"/>
    <n v="0"/>
    <n v="0"/>
    <n v="1066.77"/>
    <n v="7031.93"/>
    <n v="-2.2599999999999998"/>
    <n v="450.83"/>
    <n v="1037.17"/>
    <n v="115.27"/>
    <n v="1339.39"/>
    <n v="1239.46"/>
    <n v="0.03"/>
    <n v="0"/>
    <n v="12.31"/>
    <n v="0"/>
    <n v="379.13"/>
    <n v="3186.75"/>
    <n v="0.42"/>
    <n v="83.81"/>
    <n v="327.58999999999997"/>
    <n v="586.45000000000005"/>
    <n v="153.72"/>
    <x v="13"/>
    <s v=""/>
    <n v="0"/>
    <n v="109"/>
    <n v="1339.39"/>
  </r>
  <r>
    <x v="206"/>
    <n v="-17.82"/>
    <n v="0"/>
    <n v="0"/>
    <n v="1049.43"/>
    <n v="7010.03"/>
    <n v="-1.56"/>
    <n v="450.83"/>
    <n v="1036"/>
    <n v="26.49"/>
    <n v="1225.48"/>
    <n v="1337.7"/>
    <n v="0.03"/>
    <n v="0"/>
    <n v="12.01"/>
    <n v="0"/>
    <n v="367.82"/>
    <n v="3177.02"/>
    <n v="0.43"/>
    <n v="83.81"/>
    <n v="327.32"/>
    <n v="592.34"/>
    <n v="193.27"/>
    <x v="14"/>
    <s v=""/>
    <n v="0"/>
    <n v="8.6699999999999982"/>
    <n v="1225.48"/>
  </r>
  <r>
    <x v="207"/>
    <n v="-12.74"/>
    <n v="0"/>
    <n v="0"/>
    <n v="996.45"/>
    <n v="6974.25"/>
    <n v="-2.63"/>
    <n v="453"/>
    <n v="1028.56"/>
    <n v="2.1800000000000002"/>
    <n v="1143.6500000000001"/>
    <n v="1383.15"/>
    <n v="0.03"/>
    <n v="0"/>
    <n v="11.55"/>
    <n v="0"/>
    <n v="348.18"/>
    <n v="3161.09"/>
    <n v="0.42"/>
    <n v="84.21"/>
    <n v="325.5"/>
    <n v="596.9"/>
    <n v="146.05000000000001"/>
    <x v="15"/>
    <s v=""/>
    <n v="0"/>
    <n v="-10.56"/>
    <n v="1143.6500000000001"/>
  </r>
  <r>
    <x v="208"/>
    <n v="-8.18"/>
    <n v="0"/>
    <n v="0"/>
    <n v="959.99"/>
    <n v="7001.03"/>
    <n v="-2.11"/>
    <n v="454.33"/>
    <n v="1028.19"/>
    <n v="51.99"/>
    <n v="1059.47"/>
    <n v="1214.76"/>
    <n v="0.03"/>
    <n v="0"/>
    <n v="11.14"/>
    <n v="0"/>
    <n v="330.18"/>
    <n v="3174.39"/>
    <n v="0.43"/>
    <n v="84.46"/>
    <n v="325.42"/>
    <n v="609.66999999999996"/>
    <n v="128.78"/>
    <x v="16"/>
    <s v=""/>
    <n v="0"/>
    <n v="43.81"/>
    <n v="1059.47"/>
  </r>
  <r>
    <x v="209"/>
    <n v="-6.76"/>
    <n v="0"/>
    <n v="0"/>
    <n v="823.84"/>
    <n v="6981.95"/>
    <n v="-2.66"/>
    <n v="454.33"/>
    <n v="998.64"/>
    <n v="38.4"/>
    <n v="927.6"/>
    <n v="1100"/>
    <n v="0.03"/>
    <n v="0"/>
    <n v="10.84"/>
    <n v="0"/>
    <n v="284.25"/>
    <n v="3165.74"/>
    <n v="0.4"/>
    <n v="84.46"/>
    <n v="314.93"/>
    <n v="630.21"/>
    <n v="153.12"/>
    <x v="17"/>
    <s v=""/>
    <n v="0"/>
    <n v="31.64"/>
    <n v="927.6"/>
  </r>
  <r>
    <x v="210"/>
    <n v="-13.72"/>
    <n v="0"/>
    <n v="0"/>
    <n v="826.52"/>
    <n v="6969.56"/>
    <n v="-2.46"/>
    <n v="453"/>
    <n v="656.22"/>
    <n v="9.33"/>
    <n v="870.78"/>
    <n v="983.93"/>
    <n v="0.03"/>
    <n v="0"/>
    <n v="10.7"/>
    <n v="0"/>
    <n v="282.54000000000002"/>
    <n v="3160.4"/>
    <n v="0.43"/>
    <n v="84.21"/>
    <n v="187.15"/>
    <n v="638.36"/>
    <n v="163.04"/>
    <x v="18"/>
    <s v=""/>
    <n v="0"/>
    <n v="-4.3900000000000006"/>
    <n v="870.78"/>
  </r>
  <r>
    <x v="211"/>
    <n v="-14.12"/>
    <n v="0"/>
    <n v="0"/>
    <n v="839.63"/>
    <n v="6924.38"/>
    <n v="-1.59"/>
    <n v="430.83"/>
    <n v="551.91999999999996"/>
    <n v="0.96"/>
    <n v="623.46"/>
    <n v="917.71"/>
    <n v="0.03"/>
    <n v="0"/>
    <n v="10.5"/>
    <n v="0"/>
    <n v="286.86"/>
    <n v="3139.14"/>
    <n v="0.42"/>
    <n v="80.09"/>
    <n v="156.54"/>
    <n v="657.28"/>
    <n v="119.99"/>
    <x v="19"/>
    <s v=""/>
    <n v="0"/>
    <n v="-13.16"/>
    <n v="623.46"/>
  </r>
  <r>
    <x v="212"/>
    <n v="-7.64"/>
    <n v="0"/>
    <n v="0"/>
    <n v="789.57"/>
    <n v="6895.02"/>
    <n v="-2.08"/>
    <n v="455"/>
    <n v="334.57"/>
    <n v="88.99"/>
    <n v="600.72"/>
    <n v="828.47"/>
    <n v="0.03"/>
    <n v="0"/>
    <n v="10.14"/>
    <n v="0"/>
    <n v="268.52"/>
    <n v="3124.56"/>
    <n v="0.41"/>
    <n v="84.58"/>
    <n v="95.23"/>
    <n v="662.11"/>
    <n v="158.80000000000001"/>
    <x v="20"/>
    <s v=""/>
    <n v="0"/>
    <n v="81.349999999999994"/>
    <n v="600.72"/>
  </r>
  <r>
    <x v="213"/>
    <n v="-11.04"/>
    <n v="0"/>
    <n v="0"/>
    <n v="788.15"/>
    <n v="6891.76"/>
    <n v="-1.45"/>
    <n v="422.83"/>
    <n v="67.81"/>
    <n v="19.87"/>
    <n v="538.44000000000005"/>
    <n v="879.75"/>
    <n v="0.03"/>
    <n v="0"/>
    <n v="9.84"/>
    <n v="0"/>
    <n v="265.55"/>
    <n v="3123.02"/>
    <n v="0.43"/>
    <n v="78.599999999999994"/>
    <n v="19.989999999999998"/>
    <n v="671.53"/>
    <n v="142"/>
    <x v="21"/>
    <s v=""/>
    <n v="0"/>
    <n v="8.8300000000000018"/>
    <n v="538.44000000000005"/>
  </r>
  <r>
    <x v="214"/>
    <n v="-8.8000000000000007"/>
    <n v="0"/>
    <n v="0"/>
    <n v="786.67"/>
    <n v="6848.61"/>
    <n v="-2.06"/>
    <n v="302.17"/>
    <n v="45.33"/>
    <n v="0.57999999999999996"/>
    <n v="372.84"/>
    <n v="979.2"/>
    <n v="0.03"/>
    <n v="0"/>
    <n v="9.6999999999999993"/>
    <n v="0"/>
    <n v="262.47000000000003"/>
    <n v="3103.31"/>
    <n v="0.41"/>
    <n v="56.17"/>
    <n v="13.65"/>
    <n v="680.68"/>
    <n v="87.28"/>
    <x v="22"/>
    <s v=""/>
    <n v="0"/>
    <n v="-8.2200000000000006"/>
    <n v="372.84"/>
  </r>
  <r>
    <x v="215"/>
    <n v="-48.46"/>
    <n v="0"/>
    <n v="0"/>
    <n v="782.11"/>
    <n v="6764.92"/>
    <n v="-2.4500000000000002"/>
    <n v="291"/>
    <n v="45.1"/>
    <n v="1.87"/>
    <n v="302.93"/>
    <n v="933.73"/>
    <n v="0.03"/>
    <n v="0"/>
    <n v="9.52"/>
    <n v="0"/>
    <n v="257.55"/>
    <n v="3066.23"/>
    <n v="0.41"/>
    <n v="54.1"/>
    <n v="13.58"/>
    <n v="691.08"/>
    <n v="80.03"/>
    <x v="23"/>
    <s v="16 Jul"/>
    <n v="0"/>
    <n v="-46.59"/>
    <n v="302.93"/>
  </r>
  <r>
    <x v="216"/>
    <n v="-11.98"/>
    <n v="-67.36"/>
    <n v="0"/>
    <n v="856.85"/>
    <n v="6589.13"/>
    <n v="-0.92"/>
    <n v="194"/>
    <n v="44.54"/>
    <n v="0.11"/>
    <n v="226.89"/>
    <n v="954.46"/>
    <n v="0.03"/>
    <n v="0"/>
    <n v="9.32"/>
    <n v="0"/>
    <n v="282.08"/>
    <n v="2987.85"/>
    <n v="0.44"/>
    <n v="36.06"/>
    <n v="13.41"/>
    <n v="691.52"/>
    <n v="83.72"/>
    <x v="24"/>
    <s v=""/>
    <n v="0"/>
    <n v="-11.870000000000001"/>
    <n v="159.52999999999997"/>
  </r>
  <r>
    <x v="217"/>
    <n v="-43.37"/>
    <n v="-80.8"/>
    <n v="0"/>
    <n v="940.09"/>
    <n v="6365.28"/>
    <n v="-0.75"/>
    <n v="190"/>
    <n v="44.21"/>
    <n v="1.17"/>
    <n v="74.290000000000006"/>
    <n v="985.39"/>
    <n v="0.03"/>
    <n v="0"/>
    <n v="9.14"/>
    <n v="0"/>
    <n v="307.88"/>
    <n v="2887.8"/>
    <n v="0.45"/>
    <n v="35.32"/>
    <n v="13.31"/>
    <n v="693.03"/>
    <n v="75.25"/>
    <x v="25"/>
    <s v=""/>
    <n v="0"/>
    <n v="-42.199999999999996"/>
    <n v="-6.5099999999999909"/>
  </r>
  <r>
    <x v="218"/>
    <n v="-106.28"/>
    <n v="-80.760000000000005"/>
    <n v="0"/>
    <n v="911.07"/>
    <n v="6234.07"/>
    <n v="-2.37"/>
    <n v="189.83"/>
    <n v="42.96"/>
    <n v="3.33"/>
    <n v="76.22"/>
    <n v="1041.4000000000001"/>
    <n v="0.03"/>
    <n v="0"/>
    <n v="9.16"/>
    <n v="0"/>
    <n v="303.41000000000003"/>
    <n v="2827.98"/>
    <n v="0.42"/>
    <n v="35.29"/>
    <n v="12.94"/>
    <n v="692.37"/>
    <n v="76.58"/>
    <x v="26"/>
    <s v=""/>
    <n v="0"/>
    <n v="-102.95"/>
    <n v="-4.5400000000000063"/>
  </r>
  <r>
    <x v="219"/>
    <n v="-123.26"/>
    <n v="-80.78"/>
    <n v="0"/>
    <n v="940.03"/>
    <n v="6096.22"/>
    <n v="-4.2699999999999996"/>
    <n v="190"/>
    <n v="43"/>
    <n v="3.31"/>
    <n v="59.41"/>
    <n v="1014.4"/>
    <n v="0.03"/>
    <n v="0"/>
    <n v="8.94"/>
    <n v="0"/>
    <n v="311.58999999999997"/>
    <n v="2762.77"/>
    <n v="0.41"/>
    <n v="35.32"/>
    <n v="12.95"/>
    <n v="690.94"/>
    <n v="60.26"/>
    <x v="27"/>
    <s v=""/>
    <n v="0"/>
    <n v="-119.95"/>
    <n v="-21.370000000000005"/>
  </r>
  <r>
    <x v="220"/>
    <n v="-90.15"/>
    <n v="-80.78"/>
    <n v="0"/>
    <n v="888.7"/>
    <n v="6098.62"/>
    <n v="-4.49"/>
    <n v="190.33"/>
    <n v="43.36"/>
    <n v="3.86"/>
    <n v="27.58"/>
    <n v="918.22"/>
    <n v="0.03"/>
    <n v="0"/>
    <n v="8.81"/>
    <n v="0"/>
    <n v="291.85000000000002"/>
    <n v="2764.35"/>
    <n v="0.41"/>
    <n v="35.380000000000003"/>
    <n v="13.05"/>
    <n v="703.71"/>
    <n v="76.8"/>
    <x v="28"/>
    <s v=""/>
    <n v="0"/>
    <n v="-86.29"/>
    <n v="-53.2"/>
  </r>
  <r>
    <x v="221"/>
    <n v="-112.17"/>
    <n v="-80.75"/>
    <n v="0"/>
    <n v="979.77"/>
    <n v="5986.73"/>
    <n v="-4.3600000000000003"/>
    <n v="190"/>
    <n v="43.2"/>
    <n v="3.74"/>
    <n v="4.97"/>
    <n v="822.27"/>
    <n v="0.03"/>
    <n v="0"/>
    <n v="8.68"/>
    <n v="0"/>
    <n v="324.26"/>
    <n v="2714.28"/>
    <n v="0.41"/>
    <n v="35.32"/>
    <n v="13.01"/>
    <n v="705.44"/>
    <n v="76.8"/>
    <x v="29"/>
    <s v=""/>
    <n v="0"/>
    <n v="-108.43"/>
    <n v="-75.78"/>
  </r>
  <r>
    <x v="222"/>
    <n v="-121.77"/>
    <n v="-80.75"/>
    <n v="0"/>
    <n v="1177.1400000000001"/>
    <n v="5813.57"/>
    <n v="-4.25"/>
    <n v="190"/>
    <n v="43.31"/>
    <n v="0.05"/>
    <n v="0.28000000000000003"/>
    <n v="831.72"/>
    <n v="0.03"/>
    <n v="0"/>
    <n v="8.35"/>
    <n v="0"/>
    <n v="391.34"/>
    <n v="2635.84"/>
    <n v="0.4"/>
    <n v="35.32"/>
    <n v="13.04"/>
    <n v="684.04"/>
    <n v="64.89"/>
    <x v="30"/>
    <s v=""/>
    <n v="0"/>
    <n v="-121.72"/>
    <n v="-80.47"/>
  </r>
  <r>
    <x v="223"/>
    <n v="-130.87"/>
    <n v="-80.61"/>
    <n v="0"/>
    <n v="1162.75"/>
    <n v="5836.79"/>
    <n v="5.95"/>
    <n v="190.33"/>
    <n v="42.78"/>
    <n v="0.6"/>
    <n v="39.700000000000003"/>
    <n v="880.97"/>
    <n v="0.03"/>
    <n v="0"/>
    <n v="8.1300000000000008"/>
    <n v="0"/>
    <n v="381.33"/>
    <n v="2646.12"/>
    <n v="0.41"/>
    <n v="35.380000000000003"/>
    <n v="12.88"/>
    <n v="678.07"/>
    <n v="77.97"/>
    <x v="31"/>
    <s v=""/>
    <n v="0"/>
    <n v="-130.27000000000001"/>
    <n v="-40.909999999999997"/>
  </r>
  <r>
    <x v="224"/>
    <n v="-100.34"/>
    <n v="-80.64"/>
    <n v="0"/>
    <n v="1146.95"/>
    <n v="5783.17"/>
    <n v="21.02"/>
    <n v="189.83"/>
    <n v="42.48"/>
    <n v="0.59"/>
    <n v="50.75"/>
    <n v="947.86"/>
    <n v="0.03"/>
    <n v="0"/>
    <n v="8.1"/>
    <n v="0"/>
    <n v="376.89"/>
    <n v="2619.7399999999998"/>
    <n v="0.41"/>
    <n v="35.29"/>
    <n v="12.79"/>
    <n v="666.91"/>
    <n v="76.58"/>
    <x v="32"/>
    <s v=""/>
    <n v="0"/>
    <n v="-99.75"/>
    <n v="-29.89"/>
  </r>
  <r>
    <x v="225"/>
    <n v="-42.13"/>
    <n v="-67.17"/>
    <n v="0"/>
    <n v="1084.27"/>
    <n v="5928.17"/>
    <n v="20.59"/>
    <n v="190.33"/>
    <n v="41.28"/>
    <n v="1.36"/>
    <n v="74.22"/>
    <n v="980.55"/>
    <n v="0.03"/>
    <n v="0"/>
    <n v="8.07"/>
    <n v="0"/>
    <n v="361.35"/>
    <n v="2684.62"/>
    <n v="0.4"/>
    <n v="35.380000000000003"/>
    <n v="12.43"/>
    <n v="665.61"/>
    <n v="76.58"/>
    <x v="33"/>
    <s v=""/>
    <n v="0"/>
    <n v="-40.770000000000003"/>
    <n v="7.0499999999999972"/>
  </r>
  <r>
    <x v="226"/>
    <n v="-8.7799999999999994"/>
    <n v="0"/>
    <n v="-52.04"/>
    <n v="989.79"/>
    <n v="6183.11"/>
    <n v="20.440000000000001"/>
    <n v="198.33"/>
    <n v="40.58"/>
    <n v="2.0299999999999998"/>
    <n v="221.8"/>
    <n v="995.76"/>
    <n v="0.03"/>
    <n v="0"/>
    <n v="7.85"/>
    <n v="19.34"/>
    <n v="345.36"/>
    <n v="2799.97"/>
    <n v="0.38"/>
    <n v="36.869999999999997"/>
    <n v="12.22"/>
    <n v="663.35"/>
    <n v="80.010000000000005"/>
    <x v="34"/>
    <s v=""/>
    <n v="0"/>
    <n v="-6.75"/>
    <n v="221.8"/>
  </r>
  <r>
    <x v="227"/>
    <n v="-6.42"/>
    <n v="0"/>
    <n v="-66.040000000000006"/>
    <n v="707.07"/>
    <n v="6584.98"/>
    <n v="21.97"/>
    <n v="400.33"/>
    <n v="62.36"/>
    <n v="19.12"/>
    <n v="478.8"/>
    <n v="991.43"/>
    <n v="0.03"/>
    <n v="0"/>
    <n v="7.81"/>
    <n v="24.09"/>
    <n v="259.02"/>
    <n v="2983.66"/>
    <n v="0.4"/>
    <n v="74.42"/>
    <n v="18.559999999999999"/>
    <n v="669.39"/>
    <n v="118.95"/>
    <x v="35"/>
    <s v=""/>
    <n v="0"/>
    <n v="12.700000000000001"/>
    <n v="478.8"/>
  </r>
  <r>
    <x v="228"/>
    <n v="-6.26"/>
    <n v="0"/>
    <n v="-117.59"/>
    <n v="667.32"/>
    <n v="6800.91"/>
    <n v="22.15"/>
    <n v="450.5"/>
    <n v="353.98"/>
    <n v="96.17"/>
    <n v="789.86"/>
    <n v="984.67"/>
    <n v="0.03"/>
    <n v="0.12"/>
    <n v="7.88"/>
    <n v="41.91"/>
    <n v="251.56"/>
    <n v="3078.74"/>
    <n v="0.41"/>
    <n v="83.75"/>
    <n v="104.83"/>
    <n v="650.82000000000005"/>
    <n v="120.01"/>
    <x v="36"/>
    <s v=""/>
    <n v="0"/>
    <n v="89.91"/>
    <n v="789.86"/>
  </r>
  <r>
    <x v="229"/>
    <n v="-6.04"/>
    <n v="0"/>
    <n v="-35.78"/>
    <n v="583.91999999999996"/>
    <n v="6816.89"/>
    <n v="23.93"/>
    <n v="451"/>
    <n v="795.02"/>
    <n v="167.76"/>
    <n v="983.02"/>
    <n v="904.96"/>
    <n v="1.18"/>
    <n v="7.98"/>
    <n v="7.81"/>
    <n v="12.58"/>
    <n v="220.79"/>
    <n v="3086.18"/>
    <n v="0.43"/>
    <n v="83.84"/>
    <n v="258.36"/>
    <n v="641.27"/>
    <n v="150.07"/>
    <x v="37"/>
    <s v=""/>
    <n v="0"/>
    <n v="161.72"/>
    <n v="983.02"/>
  </r>
  <r>
    <x v="230"/>
    <n v="-22.83"/>
    <n v="0"/>
    <n v="-7.54"/>
    <n v="734.9"/>
    <n v="6875.66"/>
    <n v="26.83"/>
    <n v="451.5"/>
    <n v="871.8"/>
    <n v="125.37"/>
    <n v="1089.02"/>
    <n v="842.58"/>
    <n v="67.34"/>
    <n v="96.5"/>
    <n v="7.74"/>
    <n v="2.65"/>
    <n v="270.94"/>
    <n v="3115.65"/>
    <n v="0.48"/>
    <n v="83.93"/>
    <n v="281.26"/>
    <n v="624.39"/>
    <n v="176.21"/>
    <x v="38"/>
    <s v=""/>
    <n v="0"/>
    <n v="102.54"/>
    <n v="1089.02"/>
  </r>
  <r>
    <x v="231"/>
    <n v="-7.13"/>
    <n v="0"/>
    <n v="0"/>
    <n v="714.54"/>
    <n v="6884.99"/>
    <n v="28.03"/>
    <n v="451.33"/>
    <n v="852.25"/>
    <n v="133.88999999999999"/>
    <n v="843.08"/>
    <n v="786.68"/>
    <n v="434.25"/>
    <n v="401.36"/>
    <n v="8.0299999999999994"/>
    <n v="0"/>
    <n v="262.97000000000003"/>
    <n v="3120.4"/>
    <n v="0.51"/>
    <n v="83.9"/>
    <n v="273.57"/>
    <n v="603.71"/>
    <n v="143.37"/>
    <x v="39"/>
    <s v=""/>
    <n v="0"/>
    <n v="126.75999999999999"/>
    <n v="843.08"/>
  </r>
  <r>
    <x v="232"/>
    <n v="-7.14"/>
    <n v="0"/>
    <n v="-103.05"/>
    <n v="962.71"/>
    <n v="6740.14"/>
    <n v="28.17"/>
    <n v="380.33"/>
    <n v="609.87"/>
    <n v="77.94"/>
    <n v="243.18"/>
    <n v="728.07"/>
    <n v="1038.1199999999999"/>
    <n v="889.76"/>
    <n v="8.9600000000000009"/>
    <n v="35.06"/>
    <n v="318.33"/>
    <n v="3048.82"/>
    <n v="0.51"/>
    <n v="70.7"/>
    <n v="188.3"/>
    <n v="570.99"/>
    <n v="134.05000000000001"/>
    <x v="40"/>
    <s v=""/>
    <n v="0"/>
    <n v="70.8"/>
    <n v="243.18"/>
  </r>
  <r>
    <x v="233"/>
    <n v="-6.88"/>
    <n v="0"/>
    <n v="-276.20999999999998"/>
    <n v="1228.28"/>
    <n v="6353.45"/>
    <n v="26.62"/>
    <n v="120.67"/>
    <n v="370.52"/>
    <n v="37.97"/>
    <n v="80"/>
    <n v="577.47"/>
    <n v="1505.56"/>
    <n v="1469.23"/>
    <n v="10.35"/>
    <n v="92.93"/>
    <n v="346.36"/>
    <n v="2872.29"/>
    <n v="0.48"/>
    <n v="22.43"/>
    <n v="105.24"/>
    <n v="522.41999999999996"/>
    <n v="76.8"/>
    <x v="41"/>
    <s v=""/>
    <n v="0"/>
    <n v="31.09"/>
    <n v="80"/>
  </r>
  <r>
    <x v="234"/>
    <n v="-6.98"/>
    <n v="0"/>
    <n v="-254.46"/>
    <n v="1162.07"/>
    <n v="6027.26"/>
    <n v="7.14"/>
    <n v="0"/>
    <n v="71.680000000000007"/>
    <n v="6.25"/>
    <n v="32.31"/>
    <n v="520.59"/>
    <n v="1840.47"/>
    <n v="2052.06"/>
    <n v="11.57"/>
    <n v="85.82"/>
    <n v="323.36"/>
    <n v="2727.61"/>
    <n v="0.14000000000000001"/>
    <n v="0"/>
    <n v="20.93"/>
    <n v="479.77"/>
    <n v="63.76"/>
    <x v="42"/>
    <s v=""/>
    <n v="0"/>
    <n v="-0.73000000000000043"/>
    <n v="32.31"/>
  </r>
  <r>
    <x v="235"/>
    <n v="-77.48"/>
    <n v="0"/>
    <n v="-278.38"/>
    <n v="1122.33"/>
    <n v="5381.56"/>
    <n v="-0.23"/>
    <n v="0"/>
    <n v="36.799999999999997"/>
    <n v="0.53"/>
    <n v="34.25"/>
    <n v="506.81"/>
    <n v="2087.0500000000002"/>
    <n v="2591.34"/>
    <n v="12.44"/>
    <n v="91.56"/>
    <n v="316.43"/>
    <n v="2435.9699999999998"/>
    <n v="0.02"/>
    <n v="0"/>
    <n v="11.08"/>
    <n v="429.14"/>
    <n v="-0.01"/>
    <x v="43"/>
    <s v=""/>
    <n v="0"/>
    <n v="-76.95"/>
    <n v="34.25"/>
  </r>
  <r>
    <x v="236"/>
    <n v="-111.94"/>
    <n v="0"/>
    <n v="-290.77999999999997"/>
    <n v="1114.8900000000001"/>
    <n v="4791.59"/>
    <n v="-0.13"/>
    <n v="0"/>
    <n v="36.56"/>
    <n v="0.03"/>
    <n v="0"/>
    <n v="457.49"/>
    <n v="2175.84"/>
    <n v="3025.77"/>
    <n v="13.29"/>
    <n v="94.65"/>
    <n v="317.63"/>
    <n v="2166.2600000000002"/>
    <n v="0.02"/>
    <n v="0"/>
    <n v="11.01"/>
    <n v="388.83"/>
    <n v="56.98"/>
    <x v="44"/>
    <s v=""/>
    <n v="0"/>
    <n v="-111.91"/>
    <n v="0"/>
  </r>
  <r>
    <x v="237"/>
    <n v="-75.11"/>
    <n v="-67.3"/>
    <n v="-357.6"/>
    <n v="1113.3"/>
    <n v="4094.45"/>
    <n v="-0.03"/>
    <n v="0"/>
    <n v="36.17"/>
    <n v="137.94999999999999"/>
    <n v="0"/>
    <n v="466.01"/>
    <n v="2357.94"/>
    <n v="3358.54"/>
    <n v="13.85"/>
    <n v="111.66"/>
    <n v="319.74"/>
    <n v="1850.78"/>
    <n v="0.02"/>
    <n v="0"/>
    <n v="10.89"/>
    <n v="336.52"/>
    <n v="-14.01"/>
    <x v="45"/>
    <s v=""/>
    <n v="0"/>
    <n v="62.839999999999989"/>
    <n v="-67.3"/>
  </r>
  <r>
    <x v="238"/>
    <n v="-105.88"/>
    <n v="-256.69"/>
    <n v="-236.64"/>
    <n v="1052.3499999999999"/>
    <n v="3594.12"/>
    <n v="-0.05"/>
    <n v="0"/>
    <n v="35.770000000000003"/>
    <n v="129.59"/>
    <n v="0"/>
    <n v="437.97"/>
    <n v="2518.3200000000002"/>
    <n v="3578.98"/>
    <n v="14.32"/>
    <n v="68.989999999999995"/>
    <n v="299.70999999999998"/>
    <n v="1624.87"/>
    <n v="0.03"/>
    <n v="0"/>
    <n v="10.77"/>
    <n v="304.37"/>
    <n v="35.880000000000003"/>
    <x v="46"/>
    <s v=""/>
    <n v="0"/>
    <n v="23.710000000000008"/>
    <n v="-256.69"/>
  </r>
  <r>
    <x v="239"/>
    <n v="-92.17"/>
    <n v="-271.67"/>
    <n v="-248.87"/>
    <n v="925.28"/>
    <n v="3480.66"/>
    <n v="-0.81"/>
    <n v="0"/>
    <n v="35.65"/>
    <n v="0.75"/>
    <n v="0"/>
    <n v="394.03"/>
    <n v="2607.6"/>
    <n v="3698.06"/>
    <n v="15.18"/>
    <n v="58.04"/>
    <n v="240.05"/>
    <n v="1574.42"/>
    <n v="0.03"/>
    <n v="0"/>
    <n v="10.73"/>
    <n v="301.12"/>
    <n v="-9.5"/>
    <x v="47"/>
    <s v=""/>
    <n v="0"/>
    <n v="-91.42"/>
    <n v="-271.67"/>
  </r>
  <r>
    <x v="240"/>
    <n v="-92.57"/>
    <n v="-271.18"/>
    <n v="-283.45"/>
    <n v="914.72"/>
    <n v="3401.49"/>
    <n v="-0.89"/>
    <n v="0"/>
    <n v="36.44"/>
    <n v="1.18"/>
    <n v="0"/>
    <n v="418.58"/>
    <n v="2571.08"/>
    <n v="3708.24"/>
    <n v="15.85"/>
    <n v="65.56"/>
    <n v="241.96"/>
    <n v="1539.08"/>
    <n v="0.03"/>
    <n v="0"/>
    <n v="10.97"/>
    <n v="297.99"/>
    <n v="56.98"/>
    <x v="0"/>
    <s v=""/>
    <n v="0"/>
    <n v="-91.389999999999986"/>
    <n v="-271.18"/>
  </r>
  <r>
    <x v="241"/>
    <n v="-213.99"/>
    <n v="-271.22000000000003"/>
    <n v="-265.19"/>
    <n v="907.66"/>
    <n v="3382.89"/>
    <n v="5.98"/>
    <n v="0"/>
    <n v="37.31"/>
    <n v="0.42"/>
    <n v="0"/>
    <n v="507.13"/>
    <n v="2446.92"/>
    <n v="3593.2"/>
    <n v="16.43"/>
    <n v="61.46"/>
    <n v="241.73"/>
    <n v="1530.81"/>
    <n v="0.12"/>
    <n v="0"/>
    <n v="11.23"/>
    <n v="304.44"/>
    <n v="-14.99"/>
    <x v="1"/>
    <s v=""/>
    <n v="0"/>
    <n v="-213.57000000000002"/>
    <n v="-271.22000000000003"/>
  </r>
  <r>
    <x v="242"/>
    <n v="-154.68"/>
    <n v="-270.79000000000002"/>
    <n v="-282.10000000000002"/>
    <n v="906.06"/>
    <n v="3391.47"/>
    <n v="17.32"/>
    <n v="0"/>
    <n v="36.93"/>
    <n v="17.059999999999999"/>
    <n v="0"/>
    <n v="550.49"/>
    <n v="2344.6"/>
    <n v="3386.53"/>
    <n v="16.79"/>
    <n v="65.8"/>
    <n v="239.66"/>
    <n v="1534.69"/>
    <n v="0.31"/>
    <n v="0"/>
    <n v="11.12"/>
    <n v="311"/>
    <n v="-18"/>
    <x v="2"/>
    <s v=""/>
    <n v="0"/>
    <n v="-137.62"/>
    <n v="-270.79000000000002"/>
  </r>
  <r>
    <x v="243"/>
    <n v="-57.89"/>
    <n v="-271.17"/>
    <n v="-265.55"/>
    <n v="863.9"/>
    <n v="3393.65"/>
    <n v="16.13"/>
    <n v="0"/>
    <n v="36.880000000000003"/>
    <n v="1.87"/>
    <n v="0"/>
    <n v="618.38"/>
    <n v="2393.77"/>
    <n v="3096.16"/>
    <n v="17.25"/>
    <n v="60.99"/>
    <n v="234.58"/>
    <n v="1535.72"/>
    <n v="0.28000000000000003"/>
    <n v="0"/>
    <n v="11.1"/>
    <n v="314.89999999999998"/>
    <n v="-9.5"/>
    <x v="3"/>
    <s v=""/>
    <n v="0"/>
    <n v="-56.02"/>
    <n v="-271.17"/>
  </r>
  <r>
    <x v="244"/>
    <n v="-116.89"/>
    <n v="-271.07"/>
    <n v="-233.49"/>
    <n v="907.39"/>
    <n v="3576.46"/>
    <n v="14.86"/>
    <n v="0"/>
    <n v="37.08"/>
    <n v="1.87"/>
    <n v="0"/>
    <n v="660.47"/>
    <n v="2390.09"/>
    <n v="2720.09"/>
    <n v="17.63"/>
    <n v="54.79"/>
    <n v="243.47"/>
    <n v="1619.36"/>
    <n v="0.26"/>
    <n v="0"/>
    <n v="11.17"/>
    <n v="336.7"/>
    <n v="-14.99"/>
    <x v="4"/>
    <s v=""/>
    <n v="0"/>
    <n v="-115.02"/>
    <n v="-271.07"/>
  </r>
  <r>
    <x v="245"/>
    <n v="-5.53"/>
    <n v="-271.54000000000002"/>
    <n v="-253.13"/>
    <n v="804.33"/>
    <n v="3890.8"/>
    <n v="14.82"/>
    <n v="3.83"/>
    <n v="37.17"/>
    <n v="6.61"/>
    <n v="0"/>
    <n v="663.22"/>
    <n v="2312.6"/>
    <n v="2242.0500000000002"/>
    <n v="17.66"/>
    <n v="62.32"/>
    <n v="207.72"/>
    <n v="1761.27"/>
    <n v="0.26"/>
    <n v="0.71"/>
    <n v="11.19"/>
    <n v="375.52"/>
    <n v="35.880000000000003"/>
    <x v="5"/>
    <s v=""/>
    <n v="0"/>
    <n v="1.08"/>
    <n v="-271.54000000000002"/>
  </r>
  <r>
    <x v="246"/>
    <n v="-17.36"/>
    <n v="-58.45"/>
    <n v="-270.01"/>
    <n v="805.58"/>
    <n v="4338.79"/>
    <n v="15.96"/>
    <n v="101.33"/>
    <n v="37.840000000000003"/>
    <n v="32.04"/>
    <n v="0"/>
    <n v="642.19000000000005"/>
    <n v="2153.73"/>
    <n v="1667.16"/>
    <n v="17.87"/>
    <n v="73"/>
    <n v="218.14"/>
    <n v="1965.32"/>
    <n v="0.28000000000000003"/>
    <n v="18.84"/>
    <n v="11.39"/>
    <n v="422.45"/>
    <n v="0"/>
    <x v="6"/>
    <s v=""/>
    <n v="0"/>
    <n v="14.68"/>
    <n v="-58.45"/>
  </r>
  <r>
    <x v="247"/>
    <n v="-16.07"/>
    <n v="0"/>
    <n v="-170.57"/>
    <n v="726.44"/>
    <n v="5004.04"/>
    <n v="15.33"/>
    <n v="233.17"/>
    <n v="103.98"/>
    <n v="46.69"/>
    <n v="0"/>
    <n v="613.4"/>
    <n v="1732.88"/>
    <n v="1077.18"/>
    <n v="16.55"/>
    <n v="51.42"/>
    <n v="219.37"/>
    <n v="2269.4899999999998"/>
    <n v="0.28000000000000003"/>
    <n v="43.35"/>
    <n v="30.76"/>
    <n v="500.48"/>
    <n v="102.78"/>
    <x v="7"/>
    <s v=""/>
    <n v="0"/>
    <n v="30.619999999999997"/>
    <n v="0"/>
  </r>
  <r>
    <x v="248"/>
    <n v="-155.34"/>
    <n v="0"/>
    <n v="-294.61"/>
    <n v="617.04"/>
    <n v="6023.8"/>
    <n v="5.85"/>
    <n v="401.83"/>
    <n v="544.23"/>
    <n v="117.61"/>
    <n v="360.59"/>
    <n v="600.11"/>
    <n v="1049.21"/>
    <n v="544.84"/>
    <n v="15.73"/>
    <n v="95.76"/>
    <n v="204.6"/>
    <n v="2732.22"/>
    <n v="0.28000000000000003"/>
    <n v="74.7"/>
    <n v="154.22999999999999"/>
    <n v="603.44000000000005"/>
    <n v="97.87"/>
    <x v="8"/>
    <s v=""/>
    <n v="0"/>
    <n v="-37.730000000000004"/>
    <n v="360.59"/>
  </r>
  <r>
    <x v="249"/>
    <n v="-8.01"/>
    <n v="0"/>
    <n v="-203.07"/>
    <n v="645.45000000000005"/>
    <n v="6450.83"/>
    <n v="-4.87"/>
    <n v="441.5"/>
    <n v="727.54"/>
    <n v="269.66000000000003"/>
    <n v="873.38"/>
    <n v="555.47"/>
    <n v="294.99"/>
    <n v="161.56"/>
    <n v="14.95"/>
    <n v="67.55"/>
    <n v="224.01"/>
    <n v="2920.34"/>
    <n v="0.37"/>
    <n v="82.07"/>
    <n v="209.64"/>
    <n v="629.61"/>
    <n v="173.64"/>
    <x v="9"/>
    <s v=""/>
    <n v="0"/>
    <n v="261.65000000000003"/>
    <n v="873.38"/>
  </r>
  <r>
    <x v="250"/>
    <n v="-1.68"/>
    <n v="0"/>
    <n v="-73.92"/>
    <n v="667.17"/>
    <n v="6796.95"/>
    <n v="-6.02"/>
    <n v="449"/>
    <n v="1026.98"/>
    <n v="307.17"/>
    <n v="1086.53"/>
    <n v="513.66999999999996"/>
    <n v="12.64"/>
    <n v="18.989999999999998"/>
    <n v="14.01"/>
    <n v="25.25"/>
    <n v="233.29"/>
    <n v="3077.33"/>
    <n v="0.38"/>
    <n v="83.47"/>
    <n v="323.76"/>
    <n v="645.51"/>
    <n v="158.97999999999999"/>
    <x v="10"/>
    <s v=""/>
    <n v="0"/>
    <n v="305.49"/>
    <n v="1086.53"/>
  </r>
  <r>
    <x v="251"/>
    <n v="-2.61"/>
    <n v="0"/>
    <n v="0"/>
    <n v="1031.05"/>
    <n v="6879"/>
    <n v="-4.0199999999999996"/>
    <n v="476.23"/>
    <n v="1039.6400000000001"/>
    <n v="253.76"/>
    <n v="1265.21"/>
    <n v="530.42999999999995"/>
    <n v="0.05"/>
    <n v="0.26"/>
    <n v="13.34"/>
    <n v="0"/>
    <n v="366.43"/>
    <n v="3116.91"/>
    <n v="0.42"/>
    <n v="93.16"/>
    <n v="328.64"/>
    <n v="617.16"/>
    <n v="277.92"/>
    <x v="11"/>
    <s v=""/>
    <n v="0"/>
    <n v="251.14999999999998"/>
    <n v="1265.21"/>
  </r>
  <r>
    <x v="252"/>
    <n v="-1.85"/>
    <n v="0"/>
    <n v="0"/>
    <n v="1143.03"/>
    <n v="6902.17"/>
    <n v="-2.09"/>
    <n v="529.34"/>
    <n v="1032.6600000000001"/>
    <n v="241.43"/>
    <n v="1389.06"/>
    <n v="528.08000000000004"/>
    <n v="0.05"/>
    <n v="0"/>
    <n v="13.36"/>
    <n v="0"/>
    <n v="402.87"/>
    <n v="3128.49"/>
    <n v="0.45"/>
    <n v="112.27"/>
    <n v="326.66000000000003"/>
    <n v="606.67999999999995"/>
    <n v="261.18"/>
    <x v="12"/>
    <s v=""/>
    <n v="0"/>
    <n v="239.58"/>
    <n v="1389.06"/>
  </r>
  <r>
    <x v="253"/>
    <n v="-1.62"/>
    <n v="0"/>
    <n v="0"/>
    <n v="1149.19"/>
    <n v="6929.51"/>
    <n v="-2.2000000000000002"/>
    <n v="530.91999999999996"/>
    <n v="1023.79"/>
    <n v="186.71"/>
    <n v="1433.19"/>
    <n v="540.27"/>
    <n v="0.05"/>
    <n v="0"/>
    <n v="12.53"/>
    <n v="0"/>
    <n v="409.93"/>
    <n v="3140.87"/>
    <n v="0.45"/>
    <n v="112.61"/>
    <n v="324.31"/>
    <n v="607.01"/>
    <n v="299.99"/>
    <x v="13"/>
    <s v=""/>
    <n v="0"/>
    <n v="185.09"/>
    <n v="1433.19"/>
  </r>
  <r>
    <x v="254"/>
    <n v="-4.66"/>
    <n v="0"/>
    <n v="0"/>
    <n v="1184.05"/>
    <n v="6949.18"/>
    <n v="-0.41"/>
    <n v="530.16999999999996"/>
    <n v="1042.5"/>
    <n v="65.61"/>
    <n v="1398.95"/>
    <n v="466.98"/>
    <n v="0.05"/>
    <n v="0"/>
    <n v="11.86"/>
    <n v="0"/>
    <n v="420.19"/>
    <n v="3149.38"/>
    <n v="0.45"/>
    <n v="112.45"/>
    <n v="329.49"/>
    <n v="617.54999999999995"/>
    <n v="240.57"/>
    <x v="14"/>
    <s v=""/>
    <n v="0"/>
    <n v="60.95"/>
    <n v="1398.95"/>
  </r>
  <r>
    <x v="255"/>
    <n v="-2.19"/>
    <n v="0"/>
    <n v="0"/>
    <n v="1264.25"/>
    <n v="6958.2"/>
    <n v="-1.6"/>
    <n v="531.04999999999995"/>
    <n v="1036.0999999999999"/>
    <n v="38.51"/>
    <n v="1178.3399999999999"/>
    <n v="444.76"/>
    <n v="0.05"/>
    <n v="0"/>
    <n v="11.34"/>
    <n v="0"/>
    <n v="448.01"/>
    <n v="3151.81"/>
    <n v="0.41"/>
    <n v="112.77"/>
    <n v="327.74"/>
    <n v="627.69000000000005"/>
    <n v="207.34"/>
    <x v="15"/>
    <s v=""/>
    <n v="0"/>
    <n v="36.32"/>
    <n v="1178.3399999999999"/>
  </r>
  <r>
    <x v="256"/>
    <n v="-3.13"/>
    <n v="0"/>
    <n v="0"/>
    <n v="1288.56"/>
    <n v="6928.49"/>
    <n v="-1.25"/>
    <n v="517.71"/>
    <n v="1030.04"/>
    <n v="19.989999999999998"/>
    <n v="1096.73"/>
    <n v="427.13"/>
    <n v="0.05"/>
    <n v="0"/>
    <n v="10.84"/>
    <n v="0"/>
    <n v="451.79"/>
    <n v="3134.31"/>
    <n v="0.43"/>
    <n v="107.97"/>
    <n v="326.01"/>
    <n v="631.39"/>
    <n v="175.46"/>
    <x v="16"/>
    <s v=""/>
    <n v="0"/>
    <n v="16.86"/>
    <n v="1096.73"/>
  </r>
  <r>
    <x v="257"/>
    <n v="-3.06"/>
    <n v="0"/>
    <n v="0"/>
    <n v="1368.04"/>
    <n v="6979.48"/>
    <n v="-0.04"/>
    <n v="450"/>
    <n v="855.34"/>
    <n v="4.79"/>
    <n v="1021.54"/>
    <n v="419.54"/>
    <n v="0.05"/>
    <n v="0"/>
    <n v="10.38"/>
    <n v="0"/>
    <n v="474.17"/>
    <n v="3157.86"/>
    <n v="0.43"/>
    <n v="83.65"/>
    <n v="276.74"/>
    <n v="634.24"/>
    <n v="158.97999999999999"/>
    <x v="17"/>
    <s v=""/>
    <n v="0"/>
    <n v="1.73"/>
    <n v="1021.54"/>
  </r>
  <r>
    <x v="258"/>
    <n v="-9.59"/>
    <n v="0"/>
    <n v="0"/>
    <n v="1437.46"/>
    <n v="7052.77"/>
    <n v="-1.1499999999999999"/>
    <n v="451.33"/>
    <n v="687.79"/>
    <n v="0.43"/>
    <n v="819.09"/>
    <n v="389.36"/>
    <n v="0.05"/>
    <n v="0"/>
    <n v="10.23"/>
    <n v="0"/>
    <n v="489.94"/>
    <n v="3191.83"/>
    <n v="0.42"/>
    <n v="83.9"/>
    <n v="227.36"/>
    <n v="647.15"/>
    <n v="158.99"/>
    <x v="18"/>
    <s v=""/>
    <n v="0"/>
    <n v="-9.16"/>
    <n v="819.09"/>
  </r>
  <r>
    <x v="259"/>
    <n v="-4.28"/>
    <n v="0"/>
    <n v="0"/>
    <n v="1507.01"/>
    <n v="7089.3"/>
    <n v="-0.57999999999999996"/>
    <n v="449.17"/>
    <n v="359.53"/>
    <n v="5.94"/>
    <n v="540.91"/>
    <n v="384.31"/>
    <n v="0.05"/>
    <n v="0"/>
    <n v="9.6300000000000008"/>
    <n v="0"/>
    <n v="507.73"/>
    <n v="3208.5"/>
    <n v="0.44"/>
    <n v="83.5"/>
    <n v="122.54"/>
    <n v="661.09"/>
    <n v="149.99"/>
    <x v="19"/>
    <s v=""/>
    <n v="0"/>
    <n v="1.6600000000000001"/>
    <n v="540.91"/>
  </r>
  <r>
    <x v="260"/>
    <n v="-5.45"/>
    <n v="0"/>
    <n v="0"/>
    <n v="1490.62"/>
    <n v="7103.07"/>
    <n v="0.47"/>
    <n v="451.83"/>
    <n v="155.96"/>
    <n v="6.51"/>
    <n v="506.52"/>
    <n v="350.06"/>
    <n v="0.05"/>
    <n v="0"/>
    <n v="9.3699999999999992"/>
    <n v="0"/>
    <n v="495.48"/>
    <n v="3214.65"/>
    <n v="0.44"/>
    <n v="84"/>
    <n v="44.77"/>
    <n v="664.81"/>
    <n v="158.97999999999999"/>
    <x v="20"/>
    <s v=""/>
    <n v="0"/>
    <n v="1.0599999999999996"/>
    <n v="506.52"/>
  </r>
  <r>
    <x v="261"/>
    <n v="-7.99"/>
    <n v="0"/>
    <n v="0"/>
    <n v="1442.74"/>
    <n v="7103.03"/>
    <n v="3.5"/>
    <n v="451.5"/>
    <n v="46.71"/>
    <n v="0.17"/>
    <n v="346.11"/>
    <n v="323.37"/>
    <n v="0.05"/>
    <n v="0"/>
    <n v="8.92"/>
    <n v="0"/>
    <n v="467.69"/>
    <n v="3214.53"/>
    <n v="0.44"/>
    <n v="83.93"/>
    <n v="13.97"/>
    <n v="682.42"/>
    <n v="120.01"/>
    <x v="21"/>
    <s v=""/>
    <n v="0"/>
    <n v="-7.82"/>
    <n v="346.11"/>
  </r>
  <r>
    <x v="262"/>
    <n v="-21.5"/>
    <n v="0"/>
    <n v="0"/>
    <n v="1363.85"/>
    <n v="7075.44"/>
    <n v="4.43"/>
    <n v="409.5"/>
    <n v="41.68"/>
    <n v="0.15"/>
    <n v="280.95999999999998"/>
    <n v="322.82"/>
    <n v="0.05"/>
    <n v="0"/>
    <n v="9.06"/>
    <n v="0"/>
    <n v="429.92"/>
    <n v="3202.17"/>
    <n v="0.44"/>
    <n v="76.13"/>
    <n v="12.55"/>
    <n v="694.56"/>
    <n v="101.36"/>
    <x v="22"/>
    <s v=""/>
    <n v="0"/>
    <n v="-21.35"/>
    <n v="280.95999999999998"/>
  </r>
  <r>
    <x v="263"/>
    <n v="-24.29"/>
    <n v="0"/>
    <n v="0"/>
    <n v="1352.12"/>
    <n v="6928.5"/>
    <n v="3.16"/>
    <n v="253.83"/>
    <n v="41.52"/>
    <n v="1.59"/>
    <n v="258.74"/>
    <n v="381.32"/>
    <n v="0.05"/>
    <n v="0"/>
    <n v="9.19"/>
    <n v="0"/>
    <n v="408.93"/>
    <n v="3136.41"/>
    <n v="0.44"/>
    <n v="47.19"/>
    <n v="12.5"/>
    <n v="695.16"/>
    <n v="80.760000000000005"/>
    <x v="23"/>
    <s v="17 Jul"/>
    <n v="0"/>
    <n v="-22.7"/>
    <n v="258.74"/>
  </r>
  <r>
    <x v="264"/>
    <n v="-53.84"/>
    <n v="0"/>
    <n v="0"/>
    <n v="1481.85"/>
    <n v="6704.77"/>
    <n v="0.84"/>
    <n v="50.17"/>
    <n v="41.75"/>
    <n v="3.05"/>
    <n v="255.46"/>
    <n v="431.06"/>
    <n v="0.05"/>
    <n v="0"/>
    <n v="9.27"/>
    <n v="0"/>
    <n v="430.36"/>
    <n v="3032.31"/>
    <n v="0.44"/>
    <n v="9.33"/>
    <n v="12.57"/>
    <n v="685.27"/>
    <n v="80.02"/>
    <x v="24"/>
    <s v=""/>
    <n v="0"/>
    <n v="-50.790000000000006"/>
    <n v="255.46"/>
  </r>
  <r>
    <x v="265"/>
    <n v="-7.03"/>
    <n v="0"/>
    <n v="0"/>
    <n v="1570.65"/>
    <n v="6563.28"/>
    <n v="-1.02"/>
    <n v="0"/>
    <n v="41.97"/>
    <n v="0.6"/>
    <n v="244.72"/>
    <n v="373.11"/>
    <n v="0.05"/>
    <n v="0"/>
    <n v="9.18"/>
    <n v="0"/>
    <n v="455"/>
    <n v="2966.03"/>
    <n v="0.44"/>
    <n v="0"/>
    <n v="12.64"/>
    <n v="678.12"/>
    <n v="84.19"/>
    <x v="25"/>
    <s v=""/>
    <n v="0"/>
    <n v="-6.4300000000000006"/>
    <n v="244.72"/>
  </r>
  <r>
    <x v="266"/>
    <n v="-9.25"/>
    <n v="0"/>
    <n v="0"/>
    <n v="1408.46"/>
    <n v="6593.27"/>
    <n v="-0.79"/>
    <n v="0"/>
    <n v="42.18"/>
    <n v="1.62"/>
    <n v="179.58"/>
    <n v="327.67"/>
    <n v="0.05"/>
    <n v="0"/>
    <n v="8.85"/>
    <n v="0"/>
    <n v="397.67"/>
    <n v="2978.73"/>
    <n v="0.44"/>
    <n v="0"/>
    <n v="12.7"/>
    <n v="700.44"/>
    <n v="80.02"/>
    <x v="26"/>
    <s v=""/>
    <n v="0"/>
    <n v="-7.63"/>
    <n v="179.58"/>
  </r>
  <r>
    <x v="267"/>
    <n v="-80.16"/>
    <n v="0"/>
    <n v="0"/>
    <n v="1588.21"/>
    <n v="6335.81"/>
    <n v="-1.03"/>
    <n v="0"/>
    <n v="41.86"/>
    <n v="0.28999999999999998"/>
    <n v="106.65"/>
    <n v="358.86"/>
    <n v="0.05"/>
    <n v="0"/>
    <n v="8.6199999999999992"/>
    <n v="0"/>
    <n v="455.66"/>
    <n v="2864.88"/>
    <n v="0.44"/>
    <n v="0"/>
    <n v="12.6"/>
    <n v="689.28"/>
    <n v="76.8"/>
    <x v="27"/>
    <s v=""/>
    <n v="0"/>
    <n v="-79.86999999999999"/>
    <n v="106.65"/>
  </r>
  <r>
    <x v="268"/>
    <n v="-61.47"/>
    <n v="0"/>
    <n v="0"/>
    <n v="1510.71"/>
    <n v="6186.98"/>
    <n v="-0.9"/>
    <n v="0"/>
    <n v="41.82"/>
    <n v="0.19"/>
    <n v="99.53"/>
    <n v="398.15"/>
    <n v="0.05"/>
    <n v="0"/>
    <n v="8.52"/>
    <n v="0"/>
    <n v="426.12"/>
    <n v="2801.25"/>
    <n v="0.44"/>
    <n v="0"/>
    <n v="12.59"/>
    <n v="688.5"/>
    <n v="76.8"/>
    <x v="28"/>
    <s v=""/>
    <n v="0"/>
    <n v="-61.28"/>
    <n v="99.53"/>
  </r>
  <r>
    <x v="269"/>
    <n v="-37.4"/>
    <n v="0"/>
    <n v="0"/>
    <n v="1457.04"/>
    <n v="6094.46"/>
    <n v="-0.59"/>
    <n v="0"/>
    <n v="41.55"/>
    <n v="0.42"/>
    <n v="113.11"/>
    <n v="366.58"/>
    <n v="0.05"/>
    <n v="0"/>
    <n v="8.49"/>
    <n v="0"/>
    <n v="419.29"/>
    <n v="2759.53"/>
    <n v="0.44"/>
    <n v="0"/>
    <n v="12.51"/>
    <n v="690.08"/>
    <n v="80.02"/>
    <x v="29"/>
    <s v=""/>
    <n v="0"/>
    <n v="-36.979999999999997"/>
    <n v="113.11"/>
  </r>
  <r>
    <x v="270"/>
    <n v="-72.31"/>
    <n v="0"/>
    <n v="0"/>
    <n v="1511.17"/>
    <n v="6042.81"/>
    <n v="-0.97"/>
    <n v="0"/>
    <n v="41.79"/>
    <n v="0.71"/>
    <n v="85.95"/>
    <n v="315.26"/>
    <n v="0.05"/>
    <n v="0"/>
    <n v="8.39"/>
    <n v="0"/>
    <n v="443.91"/>
    <n v="2736.76"/>
    <n v="0.44"/>
    <n v="0"/>
    <n v="12.58"/>
    <n v="694"/>
    <n v="80.02"/>
    <x v="30"/>
    <s v=""/>
    <n v="0"/>
    <n v="-71.600000000000009"/>
    <n v="85.95"/>
  </r>
  <r>
    <x v="271"/>
    <n v="-76.900000000000006"/>
    <n v="0"/>
    <n v="0"/>
    <n v="1536.81"/>
    <n v="6084.84"/>
    <n v="-0.6"/>
    <n v="0"/>
    <n v="41.67"/>
    <n v="0.53"/>
    <n v="67.39"/>
    <n v="346.46"/>
    <n v="0.05"/>
    <n v="0"/>
    <n v="8.11"/>
    <n v="0"/>
    <n v="442.78"/>
    <n v="2755.91"/>
    <n v="0.45"/>
    <n v="0"/>
    <n v="12.55"/>
    <n v="692.2"/>
    <n v="80.02"/>
    <x v="31"/>
    <s v=""/>
    <n v="0"/>
    <n v="-76.37"/>
    <n v="67.39"/>
  </r>
  <r>
    <x v="272"/>
    <n v="-114.78"/>
    <n v="0"/>
    <n v="0"/>
    <n v="1496.86"/>
    <n v="6235.52"/>
    <n v="-1.36"/>
    <n v="0"/>
    <n v="41.39"/>
    <n v="0.45"/>
    <n v="181.98"/>
    <n v="326.74"/>
    <n v="0.05"/>
    <n v="0"/>
    <n v="7.67"/>
    <n v="0"/>
    <n v="429.41"/>
    <n v="2823.04"/>
    <n v="0.44"/>
    <n v="0"/>
    <n v="12.46"/>
    <n v="694.5"/>
    <n v="84.85"/>
    <x v="32"/>
    <s v=""/>
    <n v="0"/>
    <n v="-114.33"/>
    <n v="181.98"/>
  </r>
  <r>
    <x v="273"/>
    <n v="-111.86"/>
    <n v="0"/>
    <n v="0"/>
    <n v="1417.78"/>
    <n v="6404.62"/>
    <n v="-0.95"/>
    <n v="0"/>
    <n v="41.15"/>
    <n v="0.62"/>
    <n v="175.05"/>
    <n v="315.12"/>
    <n v="0.05"/>
    <n v="0"/>
    <n v="7.43"/>
    <n v="0"/>
    <n v="399.26"/>
    <n v="2898.57"/>
    <n v="0.45"/>
    <n v="0"/>
    <n v="12.39"/>
    <n v="706.52"/>
    <n v="78.47"/>
    <x v="33"/>
    <s v=""/>
    <n v="0"/>
    <n v="-111.24"/>
    <n v="175.05"/>
  </r>
  <r>
    <x v="274"/>
    <n v="-78.739999999999995"/>
    <n v="0"/>
    <n v="0"/>
    <n v="1450.46"/>
    <n v="6728.24"/>
    <n v="-1.57"/>
    <n v="0"/>
    <n v="41.32"/>
    <n v="0.39"/>
    <n v="195.19"/>
    <n v="314.33"/>
    <n v="0.05"/>
    <n v="0"/>
    <n v="7.39"/>
    <n v="0"/>
    <n v="412.71"/>
    <n v="3042.73"/>
    <n v="0.44"/>
    <n v="0"/>
    <n v="12.44"/>
    <n v="706.53"/>
    <n v="80.010000000000005"/>
    <x v="34"/>
    <s v=""/>
    <n v="0"/>
    <n v="-78.349999999999994"/>
    <n v="195.19"/>
  </r>
  <r>
    <x v="275"/>
    <n v="-36.92"/>
    <n v="0"/>
    <n v="0"/>
    <n v="1265.78"/>
    <n v="7186.1"/>
    <n v="-0.95"/>
    <n v="0"/>
    <n v="40.590000000000003"/>
    <n v="6.89"/>
    <n v="246.57"/>
    <n v="354.1"/>
    <n v="0.05"/>
    <n v="0"/>
    <n v="7.29"/>
    <n v="0"/>
    <n v="354.2"/>
    <n v="3245.36"/>
    <n v="0.44"/>
    <n v="0"/>
    <n v="12.41"/>
    <n v="719.08"/>
    <n v="80.010000000000005"/>
    <x v="35"/>
    <s v=""/>
    <n v="0"/>
    <n v="-30.03"/>
    <n v="246.57"/>
  </r>
  <r>
    <x v="276"/>
    <n v="-21.25"/>
    <n v="0"/>
    <n v="0"/>
    <n v="1204.83"/>
    <n v="7720.06"/>
    <n v="0.36"/>
    <n v="0"/>
    <n v="136.79"/>
    <n v="40.200000000000003"/>
    <n v="397.02"/>
    <n v="374.29"/>
    <n v="0.05"/>
    <n v="0.09"/>
    <n v="7.02"/>
    <n v="0"/>
    <n v="359.82"/>
    <n v="3480.38"/>
    <n v="0.44"/>
    <n v="0"/>
    <n v="39.67"/>
    <n v="714.64"/>
    <n v="96.96"/>
    <x v="36"/>
    <s v=""/>
    <n v="0"/>
    <n v="18.950000000000003"/>
    <n v="397.02"/>
  </r>
  <r>
    <x v="277"/>
    <n v="-6.31"/>
    <n v="0"/>
    <n v="0"/>
    <n v="1077.33"/>
    <n v="7916.34"/>
    <n v="3.42"/>
    <n v="0"/>
    <n v="388.59"/>
    <n v="114.13"/>
    <n v="557.1"/>
    <n v="393.91"/>
    <n v="7.53"/>
    <n v="9.4600000000000009"/>
    <n v="6.75"/>
    <n v="0"/>
    <n v="345.23"/>
    <n v="3564.22"/>
    <n v="0.44"/>
    <n v="0"/>
    <n v="121.46"/>
    <n v="704.7"/>
    <n v="158.97999999999999"/>
    <x v="37"/>
    <s v=""/>
    <n v="0"/>
    <n v="107.82"/>
    <n v="557.1"/>
  </r>
  <r>
    <x v="278"/>
    <n v="-8.93"/>
    <n v="0"/>
    <n v="0"/>
    <n v="1339.87"/>
    <n v="7991.77"/>
    <n v="1.62"/>
    <n v="0"/>
    <n v="374.39"/>
    <n v="41.37"/>
    <n v="679.26"/>
    <n v="442.05"/>
    <n v="167.44"/>
    <n v="114.83"/>
    <n v="6.73"/>
    <n v="0"/>
    <n v="419.91"/>
    <n v="3599.62"/>
    <n v="0.45"/>
    <n v="0"/>
    <n v="123.86"/>
    <n v="668.35"/>
    <n v="107.41"/>
    <x v="38"/>
    <s v=""/>
    <n v="0"/>
    <n v="32.44"/>
    <n v="679.26"/>
  </r>
  <r>
    <x v="279"/>
    <n v="-4.79"/>
    <n v="0"/>
    <n v="0"/>
    <n v="1200.06"/>
    <n v="7934.04"/>
    <n v="-0.55000000000000004"/>
    <n v="0"/>
    <n v="374.46"/>
    <n v="130"/>
    <n v="395.6"/>
    <n v="491.51"/>
    <n v="626.09"/>
    <n v="422.41"/>
    <n v="7.15"/>
    <n v="0"/>
    <n v="362.07"/>
    <n v="3574.48"/>
    <n v="0.45"/>
    <n v="0"/>
    <n v="123.88"/>
    <n v="639.45000000000005"/>
    <n v="105.89"/>
    <x v="39"/>
    <s v=""/>
    <n v="0"/>
    <n v="125.21"/>
    <n v="395.6"/>
  </r>
  <r>
    <x v="280"/>
    <n v="-1.91"/>
    <n v="0"/>
    <n v="0"/>
    <n v="1182.24"/>
    <n v="7701.28"/>
    <n v="1.71"/>
    <n v="0"/>
    <n v="256.95"/>
    <n v="68.739999999999995"/>
    <n v="218.88"/>
    <n v="487.72"/>
    <n v="1178.45"/>
    <n v="822.95"/>
    <n v="8.31"/>
    <n v="0"/>
    <n v="342.1"/>
    <n v="3467.58"/>
    <n v="0.45"/>
    <n v="0"/>
    <n v="88.92"/>
    <n v="596.95000000000005"/>
    <n v="52.14"/>
    <x v="40"/>
    <s v=""/>
    <n v="0"/>
    <n v="66.83"/>
    <n v="218.88"/>
  </r>
  <r>
    <x v="281"/>
    <n v="-5.2"/>
    <n v="0"/>
    <n v="-135.08000000000001"/>
    <n v="1013.79"/>
    <n v="7238.66"/>
    <n v="12.53"/>
    <n v="0"/>
    <n v="41.48"/>
    <n v="240"/>
    <n v="101.15"/>
    <n v="463.52"/>
    <n v="1704.69"/>
    <n v="1286.24"/>
    <n v="9.01"/>
    <n v="44.35"/>
    <n v="263.74"/>
    <n v="3262.47"/>
    <n v="0.45"/>
    <n v="0"/>
    <n v="12.49"/>
    <n v="547.64"/>
    <n v="76.8"/>
    <x v="41"/>
    <s v=""/>
    <n v="0"/>
    <n v="234.8"/>
    <n v="101.15"/>
  </r>
  <r>
    <x v="282"/>
    <n v="-7.06"/>
    <n v="0"/>
    <n v="-267.99"/>
    <n v="1046.6300000000001"/>
    <n v="6365.08"/>
    <n v="10.27"/>
    <n v="0"/>
    <n v="41.56"/>
    <n v="278.85000000000002"/>
    <n v="11.25"/>
    <n v="423.89"/>
    <n v="2013.7"/>
    <n v="1870.36"/>
    <n v="10"/>
    <n v="84.45"/>
    <n v="267.43"/>
    <n v="2871.86"/>
    <n v="0.4"/>
    <n v="0"/>
    <n v="12.51"/>
    <n v="489.5"/>
    <n v="76.8"/>
    <x v="42"/>
    <s v=""/>
    <n v="0"/>
    <n v="271.79000000000002"/>
    <n v="11.25"/>
  </r>
  <r>
    <x v="283"/>
    <n v="-2.8"/>
    <n v="0"/>
    <n v="-177.23"/>
    <n v="964.61"/>
    <n v="5709.09"/>
    <n v="5.35"/>
    <n v="0"/>
    <n v="41.74"/>
    <n v="37.770000000000003"/>
    <n v="29.64"/>
    <n v="343.03"/>
    <n v="2277.38"/>
    <n v="2385.1"/>
    <n v="10.98"/>
    <n v="54.32"/>
    <n v="240.39"/>
    <n v="2575.9"/>
    <n v="0.37"/>
    <n v="0"/>
    <n v="12.57"/>
    <n v="445.83"/>
    <n v="44.76"/>
    <x v="43"/>
    <s v=""/>
    <n v="0"/>
    <n v="34.970000000000006"/>
    <n v="29.64"/>
  </r>
  <r>
    <x v="284"/>
    <n v="-10.07"/>
    <n v="0"/>
    <n v="-162.01"/>
    <n v="899.33"/>
    <n v="5334.09"/>
    <n v="6.48"/>
    <n v="0"/>
    <n v="40.880000000000003"/>
    <n v="2.42"/>
    <n v="0"/>
    <n v="299.51"/>
    <n v="2201.2199999999998"/>
    <n v="2805.63"/>
    <n v="11.72"/>
    <n v="49.45"/>
    <n v="223.88"/>
    <n v="2405.81"/>
    <n v="0.38"/>
    <n v="0"/>
    <n v="12.31"/>
    <n v="423.65"/>
    <n v="84.85"/>
    <x v="44"/>
    <s v=""/>
    <n v="0"/>
    <n v="-7.65"/>
    <n v="0"/>
  </r>
  <r>
    <x v="285"/>
    <n v="-38.36"/>
    <n v="0"/>
    <n v="-226.79"/>
    <n v="960.5"/>
    <n v="4956.08"/>
    <n v="9.8800000000000008"/>
    <n v="0"/>
    <n v="40.71"/>
    <n v="0.64"/>
    <n v="0"/>
    <n v="330.91"/>
    <n v="2164.7600000000002"/>
    <n v="3092"/>
    <n v="12.9"/>
    <n v="67.62"/>
    <n v="237.2"/>
    <n v="2236.8200000000002"/>
    <n v="0.38"/>
    <n v="0"/>
    <n v="12.26"/>
    <n v="398.47"/>
    <n v="57.01"/>
    <x v="45"/>
    <s v=""/>
    <n v="0"/>
    <n v="-37.72"/>
    <n v="0"/>
  </r>
  <r>
    <x v="286"/>
    <n v="-123.22"/>
    <n v="0"/>
    <n v="-287.95999999999998"/>
    <n v="861.21"/>
    <n v="4581.97"/>
    <n v="9.6"/>
    <n v="0"/>
    <n v="39.68"/>
    <n v="36.93"/>
    <n v="0"/>
    <n v="436.13"/>
    <n v="2313.7600000000002"/>
    <n v="3264.92"/>
    <n v="13.53"/>
    <n v="80.28"/>
    <n v="216.7"/>
    <n v="2066.67"/>
    <n v="0.37"/>
    <n v="0"/>
    <n v="11.95"/>
    <n v="373.48"/>
    <n v="0"/>
    <x v="46"/>
    <s v=""/>
    <n v="0"/>
    <n v="-86.289999999999992"/>
    <n v="0"/>
  </r>
  <r>
    <x v="287"/>
    <n v="-224.54"/>
    <n v="-15.55"/>
    <n v="-247.01"/>
    <n v="715.38"/>
    <n v="4220.4799999999996"/>
    <n v="9.5399999999999991"/>
    <n v="0"/>
    <n v="37.090000000000003"/>
    <n v="9.25"/>
    <n v="0"/>
    <n v="535.34"/>
    <n v="2350.3200000000002"/>
    <n v="3402.32"/>
    <n v="14.48"/>
    <n v="65.84"/>
    <n v="178.12"/>
    <n v="1901.58"/>
    <n v="0.37"/>
    <n v="0"/>
    <n v="11.17"/>
    <n v="354.52"/>
    <n v="48.23"/>
    <x v="47"/>
    <s v=""/>
    <n v="0"/>
    <n v="-215.29"/>
    <n v="-15.55"/>
  </r>
  <r>
    <x v="288"/>
    <n v="-156.88"/>
    <n v="-205.37"/>
    <n v="-170.09"/>
    <n v="752.23"/>
    <n v="3998.16"/>
    <n v="9.18"/>
    <n v="0"/>
    <n v="34.85"/>
    <n v="0.38"/>
    <n v="20.54"/>
    <n v="600.41"/>
    <n v="2352.5700000000002"/>
    <n v="3411.24"/>
    <n v="15.33"/>
    <n v="42.7"/>
    <n v="188.41"/>
    <n v="1802.5"/>
    <n v="0.36"/>
    <n v="0"/>
    <n v="10.49"/>
    <n v="340.62"/>
    <n v="40.119999999999997"/>
    <x v="0"/>
    <s v=""/>
    <n v="0"/>
    <n v="-156.5"/>
    <n v="-184.83"/>
  </r>
  <r>
    <x v="289"/>
    <n v="-214.46"/>
    <n v="-454.87"/>
    <n v="-129.07"/>
    <n v="795.81"/>
    <n v="4020.32"/>
    <n v="8.73"/>
    <n v="0"/>
    <n v="34.19"/>
    <n v="0.51"/>
    <n v="0"/>
    <n v="595.41999999999996"/>
    <n v="2336.7399999999998"/>
    <n v="3346.16"/>
    <n v="16.12"/>
    <n v="31.56"/>
    <n v="199.68"/>
    <n v="1811.94"/>
    <n v="0.35"/>
    <n v="0"/>
    <n v="10.29"/>
    <n v="352.55"/>
    <n v="20.43"/>
    <x v="1"/>
    <s v=""/>
    <n v="0"/>
    <n v="-213.95000000000002"/>
    <n v="-454.87"/>
  </r>
  <r>
    <x v="290"/>
    <n v="-199.66"/>
    <n v="-470.54"/>
    <n v="-130.47"/>
    <n v="825.72"/>
    <n v="4073.91"/>
    <n v="8.4"/>
    <n v="0"/>
    <n v="32.159999999999997"/>
    <n v="4.05"/>
    <n v="0"/>
    <n v="541.29999999999995"/>
    <n v="2308.9299999999998"/>
    <n v="3132.37"/>
    <n v="16.73"/>
    <n v="32.31"/>
    <n v="209.14"/>
    <n v="1835.81"/>
    <n v="0.35"/>
    <n v="0"/>
    <n v="9.68"/>
    <n v="364.57"/>
    <n v="57.01"/>
    <x v="2"/>
    <s v=""/>
    <n v="0"/>
    <n v="-195.60999999999999"/>
    <n v="-470.54"/>
  </r>
  <r>
    <x v="291"/>
    <n v="-111.6"/>
    <n v="-470.43"/>
    <n v="-187.52"/>
    <n v="801.68"/>
    <n v="4130.7700000000004"/>
    <n v="8.9700000000000006"/>
    <n v="0"/>
    <n v="30.94"/>
    <n v="2.91"/>
    <n v="0"/>
    <n v="519.39"/>
    <n v="2385.1"/>
    <n v="2826.82"/>
    <n v="17.13"/>
    <n v="46.43"/>
    <n v="207.39"/>
    <n v="1861.93"/>
    <n v="0.37"/>
    <n v="0"/>
    <n v="9.32"/>
    <n v="376.69"/>
    <n v="1.65"/>
    <x v="3"/>
    <s v=""/>
    <n v="0"/>
    <n v="-108.69"/>
    <n v="-470.43"/>
  </r>
  <r>
    <x v="292"/>
    <n v="-25.92"/>
    <n v="-470.54"/>
    <n v="-170.98"/>
    <n v="796.69"/>
    <n v="4290.54"/>
    <n v="9.51"/>
    <n v="0"/>
    <n v="32.28"/>
    <n v="19.100000000000001"/>
    <n v="0"/>
    <n v="540.59"/>
    <n v="2378.4299999999998"/>
    <n v="2414.62"/>
    <n v="17.2"/>
    <n v="42.86"/>
    <n v="212.64"/>
    <n v="1934.78"/>
    <n v="0.38"/>
    <n v="0"/>
    <n v="9.7200000000000006"/>
    <n v="396.33"/>
    <n v="57.01"/>
    <x v="4"/>
    <s v=""/>
    <n v="0"/>
    <n v="-6.82"/>
    <n v="-470.54"/>
  </r>
  <r>
    <x v="293"/>
    <n v="-27.79"/>
    <n v="-241.81"/>
    <n v="-190.58"/>
    <n v="819.58"/>
    <n v="4915.79"/>
    <n v="9.5399999999999991"/>
    <n v="0"/>
    <n v="33.39"/>
    <n v="5.82"/>
    <n v="0"/>
    <n v="524.08000000000004"/>
    <n v="1984.17"/>
    <n v="1945.37"/>
    <n v="17.190000000000001"/>
    <n v="55.2"/>
    <n v="220.1"/>
    <n v="2214.08"/>
    <n v="0.37"/>
    <n v="0"/>
    <n v="10.050000000000001"/>
    <n v="455.02"/>
    <n v="140.36000000000001"/>
    <x v="5"/>
    <s v=""/>
    <n v="0"/>
    <n v="-21.97"/>
    <n v="-241.81"/>
  </r>
  <r>
    <x v="294"/>
    <n v="-79.58"/>
    <n v="-80.64"/>
    <n v="-271.32"/>
    <n v="780.88"/>
    <n v="5674.82"/>
    <n v="10.43"/>
    <n v="1"/>
    <n v="34.92"/>
    <n v="6.11"/>
    <n v="0"/>
    <n v="492.07"/>
    <n v="1801.47"/>
    <n v="1469.53"/>
    <n v="17.02"/>
    <n v="85.57"/>
    <n v="217.01"/>
    <n v="2554.38"/>
    <n v="0.39"/>
    <n v="0.19"/>
    <n v="10.51"/>
    <n v="521.45000000000005"/>
    <n v="0"/>
    <x v="6"/>
    <s v=""/>
    <n v="0"/>
    <n v="-73.47"/>
    <n v="-80.64"/>
  </r>
  <r>
    <x v="295"/>
    <n v="-105.3"/>
    <n v="-67.239999999999995"/>
    <n v="-227.11"/>
    <n v="805.28"/>
    <n v="6816.53"/>
    <n v="9.0299999999999994"/>
    <n v="52.17"/>
    <n v="36.58"/>
    <n v="6.49"/>
    <n v="0"/>
    <n v="425.11"/>
    <n v="1142.27"/>
    <n v="1000.25"/>
    <n v="16.02"/>
    <n v="82.2"/>
    <n v="247.78"/>
    <n v="3068.9"/>
    <n v="0.45"/>
    <n v="9.6999999999999993"/>
    <n v="11.01"/>
    <n v="624.63"/>
    <n v="106.28"/>
    <x v="7"/>
    <s v=""/>
    <n v="0"/>
    <n v="-98.81"/>
    <n v="-67.239999999999995"/>
  </r>
  <r>
    <x v="296"/>
    <n v="-26.84"/>
    <n v="0"/>
    <n v="-224.95"/>
    <n v="893.14"/>
    <n v="7710.41"/>
    <n v="-0.04"/>
    <n v="189.67"/>
    <n v="36.67"/>
    <n v="0.78"/>
    <n v="62.31"/>
    <n v="383.55"/>
    <n v="459.69"/>
    <n v="542.21"/>
    <n v="14.99"/>
    <n v="89.1"/>
    <n v="301.45999999999998"/>
    <n v="3470.41"/>
    <n v="0.45"/>
    <n v="35.26"/>
    <n v="11.22"/>
    <n v="701.6"/>
    <n v="84.7"/>
    <x v="8"/>
    <s v=""/>
    <n v="0"/>
    <n v="-26.06"/>
    <n v="62.31"/>
  </r>
  <r>
    <x v="297"/>
    <n v="-6.92"/>
    <n v="0"/>
    <n v="-238.14"/>
    <n v="931.81"/>
    <n v="7965.6"/>
    <n v="-0.95"/>
    <n v="308.83"/>
    <n v="163.5"/>
    <n v="48.3"/>
    <n v="528.14"/>
    <n v="489.01"/>
    <n v="115.34"/>
    <n v="173.77"/>
    <n v="14.12"/>
    <n v="91"/>
    <n v="324.83999999999997"/>
    <n v="3586.54"/>
    <n v="0.45"/>
    <n v="57.41"/>
    <n v="47.21"/>
    <n v="704.62"/>
    <n v="165.24"/>
    <x v="9"/>
    <s v=""/>
    <n v="0"/>
    <n v="41.379999999999995"/>
    <n v="528.14"/>
  </r>
  <r>
    <x v="298"/>
    <n v="-2.33"/>
    <n v="0"/>
    <n v="-247.09"/>
    <n v="952.48"/>
    <n v="7969.07"/>
    <n v="-0.15"/>
    <n v="443.33"/>
    <n v="500.54"/>
    <n v="148.81"/>
    <n v="781.62"/>
    <n v="446.51"/>
    <n v="10.119999999999999"/>
    <n v="21.45"/>
    <n v="13.62"/>
    <n v="91.32"/>
    <n v="326.08"/>
    <n v="3588.3"/>
    <n v="0.46"/>
    <n v="82.42"/>
    <n v="142.02000000000001"/>
    <n v="691.78"/>
    <n v="202.35"/>
    <x v="10"/>
    <s v=""/>
    <n v="0"/>
    <n v="146.47999999999999"/>
    <n v="781.62"/>
  </r>
  <r>
    <x v="299"/>
    <n v="-2.59"/>
    <n v="0"/>
    <n v="-211.31"/>
    <n v="1048.56"/>
    <n v="7997.94"/>
    <n v="0.25"/>
    <n v="441.67"/>
    <n v="699.88"/>
    <n v="225.61"/>
    <n v="839.56"/>
    <n v="463.5"/>
    <n v="0.05"/>
    <n v="0.27"/>
    <n v="13.09"/>
    <n v="76.75"/>
    <n v="347.02"/>
    <n v="3603.26"/>
    <n v="0.47"/>
    <n v="82.11"/>
    <n v="198.16"/>
    <n v="675.28"/>
    <n v="254.96"/>
    <x v="11"/>
    <s v=""/>
    <n v="0"/>
    <n v="223.02"/>
    <n v="839.56"/>
  </r>
  <r>
    <x v="300"/>
    <n v="-3.52"/>
    <n v="0"/>
    <n v="-103.97"/>
    <n v="1203.54"/>
    <n v="8078.78"/>
    <n v="-0.3"/>
    <n v="443.5"/>
    <n v="701.87"/>
    <n v="194.77"/>
    <n v="863.3"/>
    <n v="379.57"/>
    <n v="0.05"/>
    <n v="0"/>
    <n v="12.89"/>
    <n v="38.090000000000003"/>
    <n v="397.77"/>
    <n v="3642.82"/>
    <n v="0.47"/>
    <n v="82.45"/>
    <n v="198.73"/>
    <n v="667.56"/>
    <n v="186.83"/>
    <x v="12"/>
    <s v=""/>
    <n v="0"/>
    <n v="191.25"/>
    <n v="863.3"/>
  </r>
  <r>
    <x v="301"/>
    <n v="-4.9400000000000004"/>
    <n v="0"/>
    <n v="-47.36"/>
    <n v="1320.33"/>
    <n v="8130.66"/>
    <n v="-0.02"/>
    <n v="450.33"/>
    <n v="704.97"/>
    <n v="175.64"/>
    <n v="876.02"/>
    <n v="361.17"/>
    <n v="0.05"/>
    <n v="0"/>
    <n v="12.58"/>
    <n v="17.48"/>
    <n v="436.41"/>
    <n v="3668.4"/>
    <n v="0.47"/>
    <n v="83.72"/>
    <n v="199.61"/>
    <n v="660.52"/>
    <n v="185.72"/>
    <x v="13"/>
    <s v=""/>
    <n v="0"/>
    <n v="170.7"/>
    <n v="876.02"/>
  </r>
  <r>
    <x v="302"/>
    <n v="-5.38"/>
    <n v="0"/>
    <n v="-87.06"/>
    <n v="1351.63"/>
    <n v="8129.35"/>
    <n v="-0.18"/>
    <n v="450.83"/>
    <n v="703.35"/>
    <n v="50.57"/>
    <n v="876.66"/>
    <n v="395.45"/>
    <n v="0.05"/>
    <n v="0"/>
    <n v="11.9"/>
    <n v="32.35"/>
    <n v="447.23"/>
    <n v="3667.86"/>
    <n v="0.47"/>
    <n v="83.81"/>
    <n v="199.15"/>
    <n v="666.03"/>
    <n v="239.65"/>
    <x v="14"/>
    <s v=""/>
    <n v="0"/>
    <n v="45.19"/>
    <n v="876.66"/>
  </r>
  <r>
    <x v="303"/>
    <n v="-13.84"/>
    <n v="0"/>
    <n v="-155.18"/>
    <n v="1331.13"/>
    <n v="8134.41"/>
    <n v="0.51"/>
    <n v="451.5"/>
    <n v="703.88"/>
    <n v="59.39"/>
    <n v="866.48"/>
    <n v="441.89"/>
    <n v="0.05"/>
    <n v="0"/>
    <n v="11.47"/>
    <n v="57.42"/>
    <n v="443.66"/>
    <n v="3670.05"/>
    <n v="0.47"/>
    <n v="83.93"/>
    <n v="199.31"/>
    <n v="668.98"/>
    <n v="154.57"/>
    <x v="15"/>
    <s v=""/>
    <n v="0"/>
    <n v="45.55"/>
    <n v="866.48"/>
  </r>
  <r>
    <x v="304"/>
    <n v="-3.69"/>
    <n v="0"/>
    <n v="-230.05"/>
    <n v="1338.94"/>
    <n v="8147.78"/>
    <n v="0.03"/>
    <n v="451.5"/>
    <n v="704.96"/>
    <n v="21.79"/>
    <n v="837.13"/>
    <n v="426.13"/>
    <n v="0.05"/>
    <n v="0"/>
    <n v="11.44"/>
    <n v="85.82"/>
    <n v="450.77"/>
    <n v="3676.3"/>
    <n v="0.47"/>
    <n v="83.93"/>
    <n v="199.62"/>
    <n v="677.29"/>
    <n v="163.07"/>
    <x v="16"/>
    <s v=""/>
    <n v="0"/>
    <n v="18.099999999999998"/>
    <n v="837.13"/>
  </r>
  <r>
    <x v="305"/>
    <n v="-10.78"/>
    <n v="0"/>
    <n v="-180.76"/>
    <n v="1324.47"/>
    <n v="8145.84"/>
    <n v="-0.2"/>
    <n v="450.17"/>
    <n v="621.1"/>
    <n v="44.87"/>
    <n v="621.15"/>
    <n v="441.88"/>
    <n v="0.05"/>
    <n v="0"/>
    <n v="11.79"/>
    <n v="68.62"/>
    <n v="450.24"/>
    <n v="3675.39"/>
    <n v="0.47"/>
    <n v="83.69"/>
    <n v="175.98"/>
    <n v="686.96"/>
    <n v="234.56"/>
    <x v="17"/>
    <s v=""/>
    <n v="0"/>
    <n v="34.089999999999996"/>
    <n v="621.15"/>
  </r>
  <r>
    <x v="306"/>
    <n v="-14.03"/>
    <n v="0"/>
    <n v="-202.07"/>
    <n v="1249.76"/>
    <n v="8129.83"/>
    <n v="0.27"/>
    <n v="450.67"/>
    <n v="350.09"/>
    <n v="18.8"/>
    <n v="560"/>
    <n v="434.36"/>
    <n v="0.05"/>
    <n v="0"/>
    <n v="11.62"/>
    <n v="78.209999999999994"/>
    <n v="430.44"/>
    <n v="3667.04"/>
    <n v="0.47"/>
    <n v="83.78"/>
    <n v="99.55"/>
    <n v="701.57"/>
    <n v="134.12"/>
    <x v="18"/>
    <s v=""/>
    <n v="0"/>
    <n v="4.7700000000000014"/>
    <n v="560"/>
  </r>
  <r>
    <x v="307"/>
    <n v="-13.46"/>
    <n v="0"/>
    <n v="-191.8"/>
    <n v="1112.75"/>
    <n v="8061.09"/>
    <n v="-2.5499999999999998"/>
    <n v="449.83"/>
    <n v="195.03"/>
    <n v="5.35"/>
    <n v="238.7"/>
    <n v="457.35"/>
    <n v="0.05"/>
    <n v="0"/>
    <n v="11.19"/>
    <n v="76.540000000000006"/>
    <n v="387.71"/>
    <n v="3633.08"/>
    <n v="0.45"/>
    <n v="83.62"/>
    <n v="55.83"/>
    <n v="731.74"/>
    <n v="134.53"/>
    <x v="19"/>
    <s v=""/>
    <n v="0"/>
    <n v="-8.1100000000000012"/>
    <n v="238.7"/>
  </r>
  <r>
    <x v="308"/>
    <n v="-12.4"/>
    <n v="0"/>
    <n v="-108.46"/>
    <n v="1004.62"/>
    <n v="8073.74"/>
    <n v="-2.5099999999999998"/>
    <n v="453.17"/>
    <n v="52.8"/>
    <n v="3.78"/>
    <n v="25.97"/>
    <n v="522.1"/>
    <n v="0.05"/>
    <n v="0"/>
    <n v="10.42"/>
    <n v="44.3"/>
    <n v="355.6"/>
    <n v="3638.95"/>
    <n v="0.45"/>
    <n v="84.24"/>
    <n v="15.71"/>
    <n v="746.91"/>
    <n v="171.65"/>
    <x v="20"/>
    <s v=""/>
    <n v="0"/>
    <n v="-8.620000000000001"/>
    <n v="25.97"/>
  </r>
  <r>
    <x v="309"/>
    <n v="-11.46"/>
    <n v="0"/>
    <n v="-184.95"/>
    <n v="934.67"/>
    <n v="8119.62"/>
    <n v="-0.33"/>
    <n v="444.17"/>
    <n v="42.55"/>
    <n v="0.21"/>
    <n v="0"/>
    <n v="506.45"/>
    <n v="0.05"/>
    <n v="0"/>
    <n v="9.98"/>
    <n v="76.069999999999993"/>
    <n v="339.03"/>
    <n v="3661.95"/>
    <n v="0.44"/>
    <n v="82.57"/>
    <n v="12.81"/>
    <n v="762.92"/>
    <n v="140.94"/>
    <x v="21"/>
    <s v=""/>
    <n v="0"/>
    <n v="-11.25"/>
    <n v="0"/>
  </r>
  <r>
    <x v="310"/>
    <n v="-10.81"/>
    <n v="0"/>
    <n v="-188.5"/>
    <n v="903.45"/>
    <n v="8122.02"/>
    <n v="-0.5"/>
    <n v="305.17"/>
    <n v="42.53"/>
    <n v="0.72"/>
    <n v="0"/>
    <n v="421.67"/>
    <n v="0.05"/>
    <n v="0"/>
    <n v="10.050000000000001"/>
    <n v="78.91"/>
    <n v="328.94"/>
    <n v="3663.22"/>
    <n v="0.45"/>
    <n v="56.73"/>
    <n v="12.8"/>
    <n v="778.09"/>
    <n v="109.92"/>
    <x v="22"/>
    <s v=""/>
    <n v="0"/>
    <n v="-10.09"/>
    <n v="0"/>
  </r>
  <r>
    <x v="311"/>
    <n v="-12.24"/>
    <n v="0"/>
    <n v="-218.38"/>
    <n v="956.18"/>
    <n v="8067.67"/>
    <n v="-0.74"/>
    <n v="194.33"/>
    <n v="42.68"/>
    <n v="0.13"/>
    <n v="0"/>
    <n v="261.79000000000002"/>
    <n v="0.05"/>
    <n v="0"/>
    <n v="9.8800000000000008"/>
    <n v="93.78"/>
    <n v="345.93"/>
    <n v="3639.42"/>
    <n v="0.44"/>
    <n v="36.130000000000003"/>
    <n v="12.85"/>
    <n v="794.03"/>
    <n v="127.6"/>
    <x v="23"/>
    <s v="18 Jul"/>
    <n v="0"/>
    <n v="-12.11"/>
    <n v="0"/>
  </r>
  <r>
    <x v="312"/>
    <n v="-20.67"/>
    <n v="0"/>
    <n v="-189.4"/>
    <n v="731.18"/>
    <n v="7973.44"/>
    <n v="-2.65"/>
    <n v="190"/>
    <n v="42.71"/>
    <n v="0.28999999999999998"/>
    <n v="0"/>
    <n v="298.75"/>
    <n v="0.05"/>
    <n v="0"/>
    <n v="9.32"/>
    <n v="81.010000000000005"/>
    <n v="262.89"/>
    <n v="3598.52"/>
    <n v="0.41"/>
    <n v="35.32"/>
    <n v="12.86"/>
    <n v="808.34"/>
    <n v="98.1"/>
    <x v="24"/>
    <s v=""/>
    <n v="0"/>
    <n v="-20.380000000000003"/>
    <n v="0"/>
  </r>
  <r>
    <x v="313"/>
    <n v="-59.56"/>
    <n v="0"/>
    <n v="-143.83000000000001"/>
    <n v="570.51"/>
    <n v="7814.07"/>
    <n v="-1.69"/>
    <n v="189.83"/>
    <n v="42.84"/>
    <n v="0.1"/>
    <n v="0"/>
    <n v="353.75"/>
    <n v="0.05"/>
    <n v="0"/>
    <n v="9.18"/>
    <n v="61.06"/>
    <n v="208.47"/>
    <n v="3528.49"/>
    <n v="0.43"/>
    <n v="35.29"/>
    <n v="12.9"/>
    <n v="816.13"/>
    <n v="96.55"/>
    <x v="25"/>
    <s v=""/>
    <n v="0"/>
    <n v="-59.46"/>
    <n v="0"/>
  </r>
  <r>
    <x v="314"/>
    <n v="-16.57"/>
    <n v="-67.48"/>
    <n v="-174.89"/>
    <n v="567.84"/>
    <n v="7627.58"/>
    <n v="-1.04"/>
    <n v="189.67"/>
    <n v="42.78"/>
    <n v="0.06"/>
    <n v="0"/>
    <n v="376.66"/>
    <n v="0.05"/>
    <n v="0"/>
    <n v="9.0299999999999994"/>
    <n v="73.39"/>
    <n v="211.86"/>
    <n v="3446.4"/>
    <n v="0.44"/>
    <n v="35.26"/>
    <n v="12.88"/>
    <n v="818.05"/>
    <n v="90.63"/>
    <x v="26"/>
    <s v=""/>
    <n v="0"/>
    <n v="-16.510000000000002"/>
    <n v="-67.48"/>
  </r>
  <r>
    <x v="315"/>
    <n v="-16.52"/>
    <n v="-80.81"/>
    <n v="-165.42"/>
    <n v="523.20000000000005"/>
    <n v="7425.33"/>
    <n v="-1.43"/>
    <n v="190"/>
    <n v="42.9"/>
    <n v="0.16"/>
    <n v="0"/>
    <n v="465.77"/>
    <n v="0.05"/>
    <n v="0"/>
    <n v="9"/>
    <n v="68.44"/>
    <n v="200.39"/>
    <n v="3355.9"/>
    <n v="0.45"/>
    <n v="35.32"/>
    <n v="12.92"/>
    <n v="812.24"/>
    <n v="84.85"/>
    <x v="27"/>
    <s v=""/>
    <n v="0"/>
    <n v="-16.36"/>
    <n v="-80.81"/>
  </r>
  <r>
    <x v="316"/>
    <n v="-50.46"/>
    <n v="-80.709999999999994"/>
    <n v="-156.04"/>
    <n v="459.56"/>
    <n v="7290"/>
    <n v="-2.1800000000000002"/>
    <n v="190.17"/>
    <n v="43.32"/>
    <n v="0.13"/>
    <n v="0"/>
    <n v="453.06"/>
    <n v="0.05"/>
    <n v="0"/>
    <n v="8.99"/>
    <n v="64.489999999999995"/>
    <n v="178.55"/>
    <n v="3291.3"/>
    <n v="0.43"/>
    <n v="35.35"/>
    <n v="13.04"/>
    <n v="819.98"/>
    <n v="90.36"/>
    <x v="28"/>
    <s v=""/>
    <n v="0"/>
    <n v="-50.33"/>
    <n v="-80.709999999999994"/>
  </r>
  <r>
    <x v="317"/>
    <n v="-70.569999999999993"/>
    <n v="-80.61"/>
    <n v="-128.77000000000001"/>
    <n v="457.41"/>
    <n v="7203.53"/>
    <n v="-2.29"/>
    <n v="189.83"/>
    <n v="43"/>
    <n v="0.42"/>
    <n v="0"/>
    <n v="404.65"/>
    <n v="0.05"/>
    <n v="0"/>
    <n v="8.91"/>
    <n v="53.45"/>
    <n v="178.63"/>
    <n v="3250.63"/>
    <n v="0.43"/>
    <n v="35.29"/>
    <n v="12.95"/>
    <n v="823.11"/>
    <n v="81.17"/>
    <x v="29"/>
    <s v=""/>
    <n v="0"/>
    <n v="-70.149999999999991"/>
    <n v="-80.61"/>
  </r>
  <r>
    <x v="318"/>
    <n v="-67.290000000000006"/>
    <n v="-80.709999999999994"/>
    <n v="-150.55000000000001"/>
    <n v="461.84"/>
    <n v="7227.16"/>
    <n v="-2.92"/>
    <n v="189.67"/>
    <n v="42.73"/>
    <n v="0.75"/>
    <n v="0"/>
    <n v="332.93"/>
    <n v="0.05"/>
    <n v="0"/>
    <n v="8.8000000000000007"/>
    <n v="63.09"/>
    <n v="183.18"/>
    <n v="3260.44"/>
    <n v="0.41"/>
    <n v="35.26"/>
    <n v="12.87"/>
    <n v="832.06"/>
    <n v="102.32"/>
    <x v="30"/>
    <s v=""/>
    <n v="0"/>
    <n v="-66.540000000000006"/>
    <n v="-80.709999999999994"/>
  </r>
  <r>
    <x v="319"/>
    <n v="-77.040000000000006"/>
    <n v="-80.73"/>
    <n v="-134.76"/>
    <n v="336.68"/>
    <n v="7270.43"/>
    <n v="-2.83"/>
    <n v="190"/>
    <n v="43.12"/>
    <n v="0.44"/>
    <n v="0"/>
    <n v="337.84"/>
    <n v="0.05"/>
    <n v="0"/>
    <n v="8.6300000000000008"/>
    <n v="56.57"/>
    <n v="133.55000000000001"/>
    <n v="3297.93"/>
    <n v="0.42"/>
    <n v="35.31"/>
    <n v="12.98"/>
    <n v="849.05"/>
    <n v="85.84"/>
    <x v="31"/>
    <s v=""/>
    <n v="0"/>
    <n v="-76.600000000000009"/>
    <n v="-80.73"/>
  </r>
  <r>
    <x v="320"/>
    <n v="-76.790000000000006"/>
    <n v="-80.75"/>
    <n v="-91.01"/>
    <n v="316.18"/>
    <n v="7289.57"/>
    <n v="-2.35"/>
    <n v="189.83"/>
    <n v="43.54"/>
    <n v="0.42"/>
    <n v="0"/>
    <n v="327.20999999999998"/>
    <n v="0.05"/>
    <n v="0"/>
    <n v="8.58"/>
    <n v="38.18"/>
    <n v="126.7"/>
    <n v="3270.58"/>
    <n v="0.42"/>
    <n v="35.31"/>
    <n v="13.07"/>
    <n v="838.66"/>
    <n v="100.25"/>
    <x v="32"/>
    <s v=""/>
    <n v="0"/>
    <n v="-76.37"/>
    <n v="-80.75"/>
  </r>
  <r>
    <x v="321"/>
    <n v="-45.92"/>
    <n v="-67.25"/>
    <n v="-92.89"/>
    <n v="316.49"/>
    <n v="7449.21"/>
    <n v="-3.22"/>
    <n v="190.17"/>
    <n v="43.19"/>
    <n v="3"/>
    <n v="0"/>
    <n v="307.83"/>
    <n v="0.05"/>
    <n v="0"/>
    <n v="8.43"/>
    <n v="39.07"/>
    <n v="127.7"/>
    <n v="3306.44"/>
    <n v="0.42"/>
    <n v="35.340000000000003"/>
    <n v="13.02"/>
    <n v="828.38"/>
    <n v="112.24"/>
    <x v="33"/>
    <s v=""/>
    <n v="0"/>
    <n v="-42.92"/>
    <n v="-67.25"/>
  </r>
  <r>
    <x v="322"/>
    <n v="-78.44"/>
    <n v="0"/>
    <n v="-139.56"/>
    <n v="279.83"/>
    <n v="7844.03"/>
    <n v="-0.92"/>
    <n v="208.17"/>
    <n v="43.6"/>
    <n v="0.28999999999999998"/>
    <n v="43.07"/>
    <n v="289.05"/>
    <n v="0.05"/>
    <n v="0"/>
    <n v="8.32"/>
    <n v="59.34"/>
    <n v="113.94"/>
    <n v="3470.37"/>
    <n v="0.42"/>
    <n v="37.01"/>
    <n v="13.11"/>
    <n v="829.51"/>
    <n v="122.82"/>
    <x v="34"/>
    <s v=""/>
    <n v="0"/>
    <n v="-78.149999999999991"/>
    <n v="43.07"/>
  </r>
  <r>
    <x v="323"/>
    <n v="-95.53"/>
    <n v="0"/>
    <n v="-203.96"/>
    <n v="217.05"/>
    <n v="8092.69"/>
    <n v="-1.32"/>
    <n v="376.17"/>
    <n v="43.57"/>
    <n v="6.73"/>
    <n v="250.05"/>
    <n v="281.88"/>
    <n v="0.05"/>
    <n v="0"/>
    <n v="8.36"/>
    <n v="85.47"/>
    <n v="87.53"/>
    <n v="3603.66"/>
    <n v="0.42"/>
    <n v="52.63"/>
    <n v="13.14"/>
    <n v="818.49"/>
    <n v="120.89"/>
    <x v="35"/>
    <s v=""/>
    <n v="0"/>
    <n v="-88.8"/>
    <n v="250.05"/>
  </r>
  <r>
    <x v="324"/>
    <n v="-32.76"/>
    <n v="0"/>
    <n v="-142.37"/>
    <n v="340.96"/>
    <n v="8143.84"/>
    <n v="0.45"/>
    <n v="457.92"/>
    <n v="43.84"/>
    <n v="0.49"/>
    <n v="288.27999999999997"/>
    <n v="290.02999999999997"/>
    <n v="0.05"/>
    <n v="0.01"/>
    <n v="8.16"/>
    <n v="59.39"/>
    <n v="133.6"/>
    <n v="3616.08"/>
    <n v="0.43"/>
    <n v="60.81"/>
    <n v="13.18"/>
    <n v="785.99"/>
    <n v="162.19"/>
    <x v="36"/>
    <s v=""/>
    <n v="0"/>
    <n v="-32.269999999999996"/>
    <n v="288.27999999999997"/>
  </r>
  <r>
    <x v="325"/>
    <n v="-6.85"/>
    <n v="0"/>
    <n v="-72.849999999999994"/>
    <n v="431.06"/>
    <n v="8100.52"/>
    <n v="-0.76"/>
    <n v="534.85"/>
    <n v="43.74"/>
    <n v="125"/>
    <n v="328.44"/>
    <n v="310.75"/>
    <n v="1.51"/>
    <n v="4.3099999999999996"/>
    <n v="8.18"/>
    <n v="30.05"/>
    <n v="166.08"/>
    <n v="3605.06"/>
    <n v="0.43"/>
    <n v="74.45"/>
    <n v="13.16"/>
    <n v="753.72"/>
    <n v="202.46"/>
    <x v="37"/>
    <s v=""/>
    <n v="0"/>
    <n v="118.15"/>
    <n v="328.44"/>
  </r>
  <r>
    <x v="326"/>
    <n v="-6.86"/>
    <n v="0"/>
    <n v="0"/>
    <n v="514.67999999999995"/>
    <n v="8064.88"/>
    <n v="-0.59"/>
    <n v="576.74"/>
    <n v="43.56"/>
    <n v="159.91"/>
    <n v="402.95"/>
    <n v="309.8"/>
    <n v="70.709999999999994"/>
    <n v="62.82"/>
    <n v="8.23"/>
    <n v="0"/>
    <n v="197.8"/>
    <n v="3596.15"/>
    <n v="0.43"/>
    <n v="81.89"/>
    <n v="13.14"/>
    <n v="723.94"/>
    <n v="299.98"/>
    <x v="38"/>
    <s v=""/>
    <n v="0"/>
    <n v="153.04999999999998"/>
    <n v="402.95"/>
  </r>
  <r>
    <x v="327"/>
    <n v="-7.68"/>
    <n v="0"/>
    <n v="-60.3"/>
    <n v="380.35"/>
    <n v="8133.81"/>
    <n v="-0.13"/>
    <n v="568.51"/>
    <n v="43.51"/>
    <n v="118.35"/>
    <n v="590.59"/>
    <n v="331.23"/>
    <n v="451.78"/>
    <n v="284.2"/>
    <n v="8.52"/>
    <n v="23.62"/>
    <n v="146.85"/>
    <n v="3613.21"/>
    <n v="0.43"/>
    <n v="81.08"/>
    <n v="13.13"/>
    <n v="684.47"/>
    <n v="291.7"/>
    <x v="39"/>
    <s v=""/>
    <n v="0"/>
    <n v="110.66999999999999"/>
    <n v="590.59"/>
  </r>
  <r>
    <x v="328"/>
    <n v="-6.08"/>
    <n v="0"/>
    <n v="-180.12"/>
    <n v="352.23"/>
    <n v="8086.29"/>
    <n v="2.06"/>
    <n v="373.48"/>
    <n v="43.92"/>
    <n v="89.09"/>
    <n v="483.07"/>
    <n v="340.28"/>
    <n v="1086.8599999999999"/>
    <n v="607.22"/>
    <n v="9.42"/>
    <n v="66.92"/>
    <n v="132.28"/>
    <n v="3615.6"/>
    <n v="0.44"/>
    <n v="69.010000000000005"/>
    <n v="13.19"/>
    <n v="655.82"/>
    <n v="263.02"/>
    <x v="40"/>
    <s v=""/>
    <n v="0"/>
    <n v="83.01"/>
    <n v="483.07"/>
  </r>
  <r>
    <x v="329"/>
    <n v="-25.04"/>
    <n v="0"/>
    <n v="-274.92"/>
    <n v="421.08"/>
    <n v="7942.53"/>
    <n v="12.36"/>
    <n v="9.67"/>
    <n v="43.94"/>
    <n v="41.4"/>
    <n v="335.99"/>
    <n v="293.14"/>
    <n v="1599.19"/>
    <n v="1041.28"/>
    <n v="11.24"/>
    <n v="97.07"/>
    <n v="151.81"/>
    <n v="3608.63"/>
    <n v="0.45"/>
    <n v="42.14"/>
    <n v="13.18"/>
    <n v="640.59"/>
    <n v="168.06"/>
    <x v="41"/>
    <s v=""/>
    <n v="0"/>
    <n v="16.36"/>
    <n v="335.99"/>
  </r>
  <r>
    <x v="330"/>
    <n v="-15.09"/>
    <n v="0"/>
    <n v="-277.29000000000002"/>
    <n v="503.39"/>
    <n v="7744.28"/>
    <n v="12.89"/>
    <n v="0"/>
    <n v="43.91"/>
    <n v="0.19"/>
    <n v="0.08"/>
    <n v="251.66"/>
    <n v="1745.82"/>
    <n v="1387.69"/>
    <n v="12.41"/>
    <n v="101.25"/>
    <n v="178.59"/>
    <n v="3561.32"/>
    <n v="0.45"/>
    <n v="41.24"/>
    <n v="13.17"/>
    <n v="634.54999999999995"/>
    <n v="122.8"/>
    <x v="42"/>
    <s v=""/>
    <n v="0"/>
    <n v="-14.9"/>
    <n v="0.08"/>
  </r>
  <r>
    <x v="331"/>
    <n v="-232.19"/>
    <n v="0"/>
    <n v="-264.02999999999997"/>
    <n v="589.14"/>
    <n v="7298.85"/>
    <n v="10.83"/>
    <n v="0"/>
    <n v="43.76"/>
    <n v="2.9"/>
    <n v="0"/>
    <n v="209.68"/>
    <n v="1869.52"/>
    <n v="1629.2"/>
    <n v="12.49"/>
    <n v="95.76"/>
    <n v="204.69"/>
    <n v="3460.31"/>
    <n v="0.43"/>
    <n v="41.24"/>
    <n v="13.15"/>
    <n v="630.08000000000004"/>
    <n v="128.81"/>
    <x v="43"/>
    <s v=""/>
    <n v="0"/>
    <n v="-229.29"/>
    <n v="0"/>
  </r>
  <r>
    <x v="332"/>
    <n v="-140.24"/>
    <n v="0"/>
    <n v="-152.61000000000001"/>
    <n v="527.89"/>
    <n v="6846.27"/>
    <n v="10.45"/>
    <n v="0"/>
    <n v="42.91"/>
    <n v="1.58"/>
    <n v="0"/>
    <n v="172.27"/>
    <n v="1960.16"/>
    <n v="1810"/>
    <n v="12.29"/>
    <n v="54.89"/>
    <n v="185.74"/>
    <n v="3359.77"/>
    <n v="0.43"/>
    <n v="41.24"/>
    <n v="13.02"/>
    <n v="616.4"/>
    <n v="123.83"/>
    <x v="44"/>
    <s v=""/>
    <n v="0"/>
    <n v="-138.66"/>
    <n v="0"/>
  </r>
  <r>
    <x v="333"/>
    <n v="-31.11"/>
    <n v="-67.319999999999993"/>
    <n v="-30.38"/>
    <n v="445.49"/>
    <n v="6486.45"/>
    <n v="10.32"/>
    <n v="0"/>
    <n v="42.78"/>
    <n v="30.87"/>
    <n v="0"/>
    <n v="131.25"/>
    <n v="2070.46"/>
    <n v="1888.35"/>
    <n v="12.72"/>
    <n v="10.87"/>
    <n v="158.21"/>
    <n v="3281.08"/>
    <n v="0.43"/>
    <n v="41.24"/>
    <n v="13"/>
    <n v="607.76"/>
    <n v="94.8"/>
    <x v="45"/>
    <s v=""/>
    <n v="0"/>
    <n v="-0.23999999999999844"/>
    <n v="-67.319999999999993"/>
  </r>
  <r>
    <x v="334"/>
    <n v="-134.41"/>
    <n v="-80.92"/>
    <n v="0"/>
    <n v="743.35"/>
    <n v="5928.26"/>
    <n v="10.49"/>
    <n v="0"/>
    <n v="43.28"/>
    <n v="0.2"/>
    <n v="0"/>
    <n v="108.99"/>
    <n v="2085.91"/>
    <n v="2083.17"/>
    <n v="13.8"/>
    <n v="0"/>
    <n v="270.67"/>
    <n v="3068.8"/>
    <n v="0.42"/>
    <n v="34.369999999999997"/>
    <n v="13.08"/>
    <n v="577.79"/>
    <n v="91.02"/>
    <x v="46"/>
    <s v=""/>
    <n v="0"/>
    <n v="-134.21"/>
    <n v="-80.92"/>
  </r>
  <r>
    <x v="335"/>
    <n v="-217.25"/>
    <n v="-80.709999999999994"/>
    <n v="0"/>
    <n v="1170.92"/>
    <n v="5705.43"/>
    <n v="10.53"/>
    <n v="0"/>
    <n v="43.43"/>
    <n v="65.849999999999994"/>
    <n v="0"/>
    <n v="84.04"/>
    <n v="2225.7800000000002"/>
    <n v="2323.2600000000002"/>
    <n v="14.95"/>
    <n v="0"/>
    <n v="439.94"/>
    <n v="2576.42"/>
    <n v="0.4"/>
    <n v="0"/>
    <n v="13.14"/>
    <n v="457.13"/>
    <n v="88.28"/>
    <x v="47"/>
    <s v=""/>
    <n v="0"/>
    <n v="-151.4"/>
    <n v="-80.709999999999994"/>
  </r>
  <r>
    <x v="336"/>
    <n v="-224.94"/>
    <n v="-80.709999999999994"/>
    <n v="0"/>
    <n v="1156.31"/>
    <n v="5653.77"/>
    <n v="9.66"/>
    <n v="0"/>
    <n v="43.58"/>
    <n v="67.41"/>
    <n v="0"/>
    <n v="40.29"/>
    <n v="2169.0700000000002"/>
    <n v="2342.9499999999998"/>
    <n v="15.55"/>
    <n v="0"/>
    <n v="431.15"/>
    <n v="2564.1"/>
    <n v="0.4"/>
    <n v="0"/>
    <n v="13.16"/>
    <n v="461.23"/>
    <n v="59.52"/>
    <x v="0"/>
    <s v=""/>
    <n v="0"/>
    <n v="-157.53"/>
    <n v="-80.70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B4BBB-859B-3F4B-911C-6C88FA09B218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 rowHeaderCaption="Time">
  <location ref="A342:B391" firstHeaderRow="1" firstDataRow="1" firstDataCol="1"/>
  <pivotFields count="24">
    <pivotField numFmtId="22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Price - AUD/MWh" fld="2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55084-A9F6-1349-AD7F-84F591733161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94:D403" firstHeaderRow="0" firstDataRow="1" firstDataCol="1"/>
  <pivotFields count="37">
    <pivotField axis="axisRow" numFmtId="22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169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numFmtId="3" showAll="0"/>
    <pivotField numFmtId="3" showAll="0"/>
    <pivotField numFmtId="3"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4">
    <field x="30"/>
    <field x="29"/>
    <field x="28"/>
    <field x="0"/>
  </rowFields>
  <rowItems count="9"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. of Price - AUD/MWh" fld="22" subtotal="max" baseField="0" baseItem="0" numFmtId="3"/>
    <dataField name="Min. of Price - AUD/MWh" fld="22" subtotal="min" baseField="0" baseItem="0" numFmtId="3"/>
    <dataField name="Average of Price - AUD/MWh" fld="22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C4ED2-7224-BA4E-9991-CF15BDFA0E88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 rowHeaderCaption="Time">
  <location ref="A342:B391" firstHeaderRow="1" firstDataRow="1" firstDataCol="1"/>
  <pivotFields count="24">
    <pivotField numFmtId="22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Price - AUD/MWh" fld="22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1C306-F56C-4847-A12F-510287C7F683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 rowHeaderCaption="Time">
  <location ref="A342:B391" firstHeaderRow="1" firstDataRow="1" firstDataCol="1"/>
  <pivotFields count="24">
    <pivotField numFmtId="22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Price - AUD/MWh" fld="22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BABE7-E487-0543-A4A4-1E7335BC17C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122" firstHeaderRow="1" firstDataRow="1" firstDataCol="1"/>
  <pivotFields count="37">
    <pivotField numFmtId="22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numFmtId="168" showAll="0" sortType="ascending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numFmtId="3" showAll="0"/>
    <pivotField numFmtId="3" showAll="0"/>
    <pivotField numFmtId="3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3">
    <field x="35"/>
    <field x="34"/>
    <field x="23"/>
  </rowFields>
  <rowItems count="121">
    <i>
      <x v="1"/>
    </i>
    <i r="1">
      <x v="1"/>
    </i>
    <i r="2">
      <x/>
    </i>
    <i r="1">
      <x v="31"/>
    </i>
    <i r="2">
      <x v="1"/>
    </i>
    <i>
      <x v="2"/>
    </i>
    <i r="1">
      <x v="1"/>
    </i>
    <i r="2">
      <x v="2"/>
    </i>
    <i r="1">
      <x v="31"/>
    </i>
    <i r="2">
      <x v="3"/>
    </i>
    <i>
      <x v="3"/>
    </i>
    <i r="1">
      <x v="1"/>
    </i>
    <i r="2">
      <x v="4"/>
    </i>
    <i r="1">
      <x v="31"/>
    </i>
    <i r="2">
      <x v="5"/>
    </i>
    <i>
      <x v="4"/>
    </i>
    <i r="1">
      <x v="1"/>
    </i>
    <i r="2">
      <x v="6"/>
    </i>
    <i r="1">
      <x v="31"/>
    </i>
    <i r="2">
      <x v="7"/>
    </i>
    <i>
      <x v="5"/>
    </i>
    <i r="1">
      <x v="1"/>
    </i>
    <i r="2">
      <x v="8"/>
    </i>
    <i r="1">
      <x v="31"/>
    </i>
    <i r="2">
      <x v="9"/>
    </i>
    <i>
      <x v="6"/>
    </i>
    <i r="1">
      <x v="1"/>
    </i>
    <i r="2">
      <x v="10"/>
    </i>
    <i r="1">
      <x v="31"/>
    </i>
    <i r="2">
      <x v="11"/>
    </i>
    <i>
      <x v="7"/>
    </i>
    <i r="1">
      <x v="1"/>
    </i>
    <i r="2">
      <x v="12"/>
    </i>
    <i r="1">
      <x v="31"/>
    </i>
    <i r="2">
      <x v="13"/>
    </i>
    <i>
      <x v="8"/>
    </i>
    <i r="1">
      <x v="1"/>
    </i>
    <i r="2">
      <x v="14"/>
    </i>
    <i r="1">
      <x v="31"/>
    </i>
    <i r="2">
      <x v="15"/>
    </i>
    <i>
      <x v="9"/>
    </i>
    <i r="1">
      <x v="1"/>
    </i>
    <i r="2">
      <x v="16"/>
    </i>
    <i r="1">
      <x v="31"/>
    </i>
    <i r="2">
      <x v="17"/>
    </i>
    <i>
      <x v="10"/>
    </i>
    <i r="1">
      <x v="1"/>
    </i>
    <i r="2">
      <x v="18"/>
    </i>
    <i r="1">
      <x v="31"/>
    </i>
    <i r="2">
      <x v="19"/>
    </i>
    <i>
      <x v="11"/>
    </i>
    <i r="1">
      <x v="1"/>
    </i>
    <i r="2">
      <x v="20"/>
    </i>
    <i r="1">
      <x v="31"/>
    </i>
    <i r="2">
      <x v="21"/>
    </i>
    <i>
      <x v="12"/>
    </i>
    <i r="1">
      <x v="1"/>
    </i>
    <i r="2">
      <x v="22"/>
    </i>
    <i r="1">
      <x v="31"/>
    </i>
    <i r="2">
      <x v="23"/>
    </i>
    <i>
      <x v="13"/>
    </i>
    <i r="1">
      <x v="1"/>
    </i>
    <i r="2">
      <x v="24"/>
    </i>
    <i r="1">
      <x v="31"/>
    </i>
    <i r="2">
      <x v="25"/>
    </i>
    <i>
      <x v="14"/>
    </i>
    <i r="1">
      <x v="1"/>
    </i>
    <i r="2">
      <x v="26"/>
    </i>
    <i r="1">
      <x v="31"/>
    </i>
    <i r="2">
      <x v="27"/>
    </i>
    <i>
      <x v="15"/>
    </i>
    <i r="1">
      <x v="1"/>
    </i>
    <i r="2">
      <x v="28"/>
    </i>
    <i r="1">
      <x v="31"/>
    </i>
    <i r="2">
      <x v="29"/>
    </i>
    <i>
      <x v="16"/>
    </i>
    <i r="1">
      <x v="1"/>
    </i>
    <i r="2">
      <x v="30"/>
    </i>
    <i r="1">
      <x v="31"/>
    </i>
    <i r="2">
      <x v="31"/>
    </i>
    <i>
      <x v="17"/>
    </i>
    <i r="1">
      <x v="1"/>
    </i>
    <i r="2">
      <x v="32"/>
    </i>
    <i r="1">
      <x v="31"/>
    </i>
    <i r="2">
      <x v="33"/>
    </i>
    <i>
      <x v="18"/>
    </i>
    <i r="1">
      <x v="1"/>
    </i>
    <i r="2">
      <x v="34"/>
    </i>
    <i r="1">
      <x v="31"/>
    </i>
    <i r="2">
      <x v="35"/>
    </i>
    <i>
      <x v="19"/>
    </i>
    <i r="1">
      <x v="1"/>
    </i>
    <i r="2">
      <x v="36"/>
    </i>
    <i r="1">
      <x v="31"/>
    </i>
    <i r="2">
      <x v="37"/>
    </i>
    <i>
      <x v="20"/>
    </i>
    <i r="1">
      <x v="1"/>
    </i>
    <i r="2">
      <x v="38"/>
    </i>
    <i r="1">
      <x v="31"/>
    </i>
    <i r="2">
      <x v="39"/>
    </i>
    <i>
      <x v="21"/>
    </i>
    <i r="1">
      <x v="1"/>
    </i>
    <i r="2">
      <x v="40"/>
    </i>
    <i r="1">
      <x v="31"/>
    </i>
    <i r="2">
      <x v="41"/>
    </i>
    <i>
      <x v="22"/>
    </i>
    <i r="1">
      <x v="1"/>
    </i>
    <i r="2">
      <x v="42"/>
    </i>
    <i r="1">
      <x v="31"/>
    </i>
    <i r="2">
      <x v="43"/>
    </i>
    <i>
      <x v="23"/>
    </i>
    <i r="1">
      <x v="1"/>
    </i>
    <i r="2">
      <x v="44"/>
    </i>
    <i r="1">
      <x v="31"/>
    </i>
    <i r="2">
      <x v="45"/>
    </i>
    <i>
      <x v="24"/>
    </i>
    <i r="1">
      <x v="1"/>
    </i>
    <i r="2">
      <x v="46"/>
    </i>
    <i r="1">
      <x v="31"/>
    </i>
    <i r="2">
      <x v="47"/>
    </i>
    <i t="grand">
      <x/>
    </i>
  </rowItems>
  <colItems count="1">
    <i/>
  </colItems>
  <dataFields count="1">
    <dataField name="Average of Price - AUD/MWh" fld="22" subtotal="average" baseField="0" baseItem="0" numFmtId="3"/>
  </dataFields>
  <formats count="4">
    <format dxfId="12">
      <pivotArea field="23" type="button" dataOnly="0" labelOnly="1" outline="0" axis="axisRow" fieldPosition="2"/>
    </format>
    <format dxfId="11">
      <pivotArea dataOnly="0" labelOnly="1" fieldPosition="0">
        <references count="1">
          <reference field="23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23" count="0"/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F1573-0BC2-0F45-BF5A-E9EB1451694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J122" firstHeaderRow="0" firstDataRow="1" firstDataCol="1"/>
  <pivotFields count="37">
    <pivotField numFmtId="22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umFmtId="3" showAll="0"/>
    <pivotField numFmtId="3" showAll="0"/>
    <pivotField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numFmtId="18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numFmtId="3" showAll="0"/>
    <pivotField numFmtId="3" showAll="0"/>
    <pivotField numFmtId="3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3">
    <field x="35"/>
    <field x="34"/>
    <field x="23"/>
  </rowFields>
  <rowItems count="121">
    <i>
      <x v="1"/>
    </i>
    <i r="1">
      <x v="1"/>
    </i>
    <i r="2">
      <x/>
    </i>
    <i r="1">
      <x v="31"/>
    </i>
    <i r="2">
      <x v="1"/>
    </i>
    <i>
      <x v="2"/>
    </i>
    <i r="1">
      <x v="1"/>
    </i>
    <i r="2">
      <x v="2"/>
    </i>
    <i r="1">
      <x v="31"/>
    </i>
    <i r="2">
      <x v="3"/>
    </i>
    <i>
      <x v="3"/>
    </i>
    <i r="1">
      <x v="1"/>
    </i>
    <i r="2">
      <x v="4"/>
    </i>
    <i r="1">
      <x v="31"/>
    </i>
    <i r="2">
      <x v="5"/>
    </i>
    <i>
      <x v="4"/>
    </i>
    <i r="1">
      <x v="1"/>
    </i>
    <i r="2">
      <x v="6"/>
    </i>
    <i r="1">
      <x v="31"/>
    </i>
    <i r="2">
      <x v="7"/>
    </i>
    <i>
      <x v="5"/>
    </i>
    <i r="1">
      <x v="1"/>
    </i>
    <i r="2">
      <x v="8"/>
    </i>
    <i r="1">
      <x v="31"/>
    </i>
    <i r="2">
      <x v="9"/>
    </i>
    <i>
      <x v="6"/>
    </i>
    <i r="1">
      <x v="1"/>
    </i>
    <i r="2">
      <x v="10"/>
    </i>
    <i r="1">
      <x v="31"/>
    </i>
    <i r="2">
      <x v="11"/>
    </i>
    <i>
      <x v="7"/>
    </i>
    <i r="1">
      <x v="1"/>
    </i>
    <i r="2">
      <x v="12"/>
    </i>
    <i r="1">
      <x v="31"/>
    </i>
    <i r="2">
      <x v="13"/>
    </i>
    <i>
      <x v="8"/>
    </i>
    <i r="1">
      <x v="1"/>
    </i>
    <i r="2">
      <x v="14"/>
    </i>
    <i r="1">
      <x v="31"/>
    </i>
    <i r="2">
      <x v="15"/>
    </i>
    <i>
      <x v="9"/>
    </i>
    <i r="1">
      <x v="1"/>
    </i>
    <i r="2">
      <x v="16"/>
    </i>
    <i r="1">
      <x v="31"/>
    </i>
    <i r="2">
      <x v="17"/>
    </i>
    <i>
      <x v="10"/>
    </i>
    <i r="1">
      <x v="1"/>
    </i>
    <i r="2">
      <x v="18"/>
    </i>
    <i r="1">
      <x v="31"/>
    </i>
    <i r="2">
      <x v="19"/>
    </i>
    <i>
      <x v="11"/>
    </i>
    <i r="1">
      <x v="1"/>
    </i>
    <i r="2">
      <x v="20"/>
    </i>
    <i r="1">
      <x v="31"/>
    </i>
    <i r="2">
      <x v="21"/>
    </i>
    <i>
      <x v="12"/>
    </i>
    <i r="1">
      <x v="1"/>
    </i>
    <i r="2">
      <x v="22"/>
    </i>
    <i r="1">
      <x v="31"/>
    </i>
    <i r="2">
      <x v="23"/>
    </i>
    <i>
      <x v="13"/>
    </i>
    <i r="1">
      <x v="1"/>
    </i>
    <i r="2">
      <x v="24"/>
    </i>
    <i r="1">
      <x v="31"/>
    </i>
    <i r="2">
      <x v="25"/>
    </i>
    <i>
      <x v="14"/>
    </i>
    <i r="1">
      <x v="1"/>
    </i>
    <i r="2">
      <x v="26"/>
    </i>
    <i r="1">
      <x v="31"/>
    </i>
    <i r="2">
      <x v="27"/>
    </i>
    <i>
      <x v="15"/>
    </i>
    <i r="1">
      <x v="1"/>
    </i>
    <i r="2">
      <x v="28"/>
    </i>
    <i r="1">
      <x v="31"/>
    </i>
    <i r="2">
      <x v="29"/>
    </i>
    <i>
      <x v="16"/>
    </i>
    <i r="1">
      <x v="1"/>
    </i>
    <i r="2">
      <x v="30"/>
    </i>
    <i r="1">
      <x v="31"/>
    </i>
    <i r="2">
      <x v="31"/>
    </i>
    <i>
      <x v="17"/>
    </i>
    <i r="1">
      <x v="1"/>
    </i>
    <i r="2">
      <x v="32"/>
    </i>
    <i r="1">
      <x v="31"/>
    </i>
    <i r="2">
      <x v="33"/>
    </i>
    <i>
      <x v="18"/>
    </i>
    <i r="1">
      <x v="1"/>
    </i>
    <i r="2">
      <x v="34"/>
    </i>
    <i r="1">
      <x v="31"/>
    </i>
    <i r="2">
      <x v="35"/>
    </i>
    <i>
      <x v="19"/>
    </i>
    <i r="1">
      <x v="1"/>
    </i>
    <i r="2">
      <x v="36"/>
    </i>
    <i r="1">
      <x v="31"/>
    </i>
    <i r="2">
      <x v="37"/>
    </i>
    <i>
      <x v="20"/>
    </i>
    <i r="1">
      <x v="1"/>
    </i>
    <i r="2">
      <x v="38"/>
    </i>
    <i r="1">
      <x v="31"/>
    </i>
    <i r="2">
      <x v="39"/>
    </i>
    <i>
      <x v="21"/>
    </i>
    <i r="1">
      <x v="1"/>
    </i>
    <i r="2">
      <x v="40"/>
    </i>
    <i r="1">
      <x v="31"/>
    </i>
    <i r="2">
      <x v="41"/>
    </i>
    <i>
      <x v="22"/>
    </i>
    <i r="1">
      <x v="1"/>
    </i>
    <i r="2">
      <x v="42"/>
    </i>
    <i r="1">
      <x v="31"/>
    </i>
    <i r="2">
      <x v="43"/>
    </i>
    <i>
      <x v="23"/>
    </i>
    <i r="1">
      <x v="1"/>
    </i>
    <i r="2">
      <x v="44"/>
    </i>
    <i r="1">
      <x v="31"/>
    </i>
    <i r="2">
      <x v="45"/>
    </i>
    <i>
      <x v="24"/>
    </i>
    <i r="1">
      <x v="1"/>
    </i>
    <i r="2">
      <x v="46"/>
    </i>
    <i r="1">
      <x v="31"/>
    </i>
    <i r="2">
      <x v="4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Average Price" fld="22" subtotal="average" baseField="0" baseItem="0" numFmtId="3"/>
    <dataField name="Coal (Black)" fld="5" subtotal="average" baseField="0" baseItem="0" numFmtId="3"/>
    <dataField name="Gas (CCGT)" fld="7" subtotal="average" baseField="0" baseItem="0" numFmtId="3"/>
    <dataField name="Gas (OCGT)" fld="8" subtotal="average" baseField="0" baseItem="0" numFmtId="3"/>
    <dataField name="Hydro" fld="10" subtotal="average" baseField="0" baseItem="0" numFmtId="3"/>
    <dataField name="Wind" fld="11" subtotal="average" baseField="0" baseItem="0" numFmtId="3"/>
    <dataField name="Solar (Utility)" fld="12" subtotal="average" baseField="0" baseItem="0" numFmtId="3"/>
    <dataField name="Solar (Rooftop)" fld="13" subtotal="average" baseField="0" baseItem="0" numFmtId="3"/>
    <dataField name="Imports" fld="4" subtotal="average" baseField="0" baseItem="0" numFmtId="3"/>
  </dataFields>
  <chartFormats count="9">
    <chartFormat chart="0" format="0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978EF-E627-0A4B-9641-12CE4464E40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1:D50" firstHeaderRow="0" firstDataRow="1" firstDataCol="1"/>
  <pivotFields count="37">
    <pivotField numFmtId="22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numFmtId="18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numFmtId="3" showAll="0"/>
    <pivotField numFmtId="3" showAll="0"/>
    <pivotField numFmtId="3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ragToRow="0" dragToCol="0" dragToPage="0" showAll="0" defaultSubtotal="0"/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ice" fld="22" subtotal="average" baseField="0" baseItem="0" numFmtId="3"/>
    <dataField name="Battery Discharging" fld="9" subtotal="average" baseField="0" baseItem="0" numFmtId="3"/>
    <dataField name="Battery Charging" fld="1" subtotal="average" baseField="0" baseItem="0" numFmtId="3"/>
  </dataFields>
  <chartFormats count="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98F68-7895-1A4C-A517-10F9F64DFB7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D50" firstHeaderRow="0" firstDataRow="1" firstDataCol="1"/>
  <pivotFields count="37">
    <pivotField numFmtId="22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numFmtId="171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numFmtId="3" showAll="0"/>
    <pivotField numFmtId="3" showAll="0"/>
    <pivotField numFmtId="3"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dragToRow="0" dragToCol="0" dragToPage="0" showAll="0" defaultSubtotal="0"/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ydro Discharge" fld="10" subtotal="average" baseField="0" baseItem="0" numFmtId="3"/>
    <dataField name="Hydro Pumps" fld="2" subtotal="average" baseField="0" baseItem="0" numFmtId="3"/>
    <dataField name="Price" fld="22" subtotal="average" baseField="0" baseItem="0" numFmtId="3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39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39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896B6-E773-F946-9542-68D0E742D02C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50" firstHeaderRow="0" firstDataRow="1" firstDataCol="1"/>
  <pivotFields count="37">
    <pivotField numFmtId="22" showAll="0">
      <items count="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numFmtId="169" showAll="0">
      <items count="4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numFmtId="3" showAll="0"/>
    <pivotField dataField="1" numFmtId="3" showAll="0"/>
    <pivotField dataField="1" numFmtId="3"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ragToRow="0" dragToCol="0" dragToPage="0" showAll="0" defaultSubtotal="0"/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 - AUD/MWh" fld="22" subtotal="average" baseField="0" baseItem="0" numFmtId="3"/>
    <dataField name="Average of Helper Column - Net Hydro Output" fld="27" subtotal="average" baseField="0" baseItem="0" numFmtId="3"/>
    <dataField name="Average of Helper Column - Net Battery Output" fld="26" subtotal="average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DC8938-6B15-2744-A99C-53D3ABBDA539}" name="Table4" displayName="Table4_1" ref="A1:Z338" totalsRowShown="0" headerRowDxfId="112" dataDxfId="111" tableBorderDxfId="110" headerRowCellStyle="Table header" dataCellStyle="Input">
  <autoFilter ref="A1:Z338" xr:uid="{69F0A387-DB95-D447-8BA4-0E56698019E9}"/>
  <tableColumns count="26">
    <tableColumn id="1" xr3:uid="{55556CDE-DF2A-6C4D-BFDC-0ABAFA792578}" name="date" dataDxfId="109" dataCellStyle="Row header"/>
    <tableColumn id="2" xr3:uid="{58176356-1526-2B4B-91F8-DA18A653CDEB}" name="Battery (Charging) -  MW" dataDxfId="108" dataCellStyle="Input"/>
    <tableColumn id="3" xr3:uid="{13069A35-EA68-6645-907C-CB07297DD2F8}" name="Pumps -  MW" dataDxfId="107" dataCellStyle="Input"/>
    <tableColumn id="4" xr3:uid="{1E42B0D1-91F8-AC4B-B73F-7076FA0499DF}" name="Exports -  MW" dataDxfId="106" dataCellStyle="Input"/>
    <tableColumn id="5" xr3:uid="{634A9D45-352A-6344-98C9-632D44F37430}" name="Imports -  MW" dataDxfId="105" dataCellStyle="Input"/>
    <tableColumn id="6" xr3:uid="{80AF9985-15C0-F648-A0B0-0AFC1C8DF27D}" name="Coal (Black) -  MW" dataDxfId="104" dataCellStyle="Input"/>
    <tableColumn id="7" xr3:uid="{F2D638B7-FB9C-9643-967F-0D49376D8B6B}" name="Bioenergy (Biomass) -  MW" dataDxfId="103" dataCellStyle="Input"/>
    <tableColumn id="8" xr3:uid="{D4BB2B1B-E350-FD46-9638-DE073DA95790}" name="Gas (CCGT) -  MW" dataDxfId="102" dataCellStyle="Input"/>
    <tableColumn id="9" xr3:uid="{09113B17-A6F2-1A4E-BCBB-686BD10C12CD}" name="Gas (OCGT) -  MW" dataDxfId="101" dataCellStyle="Input"/>
    <tableColumn id="10" xr3:uid="{38B57E0F-DB37-934C-A3BC-89548E487AF1}" name="Battery (Discharging) -  MW" dataDxfId="100" dataCellStyle="Input"/>
    <tableColumn id="11" xr3:uid="{BA7BA395-9EBE-534E-8923-EEC64EE12AAC}" name="Hydro -  MW" dataDxfId="99" dataCellStyle="Input"/>
    <tableColumn id="12" xr3:uid="{52A4FC16-F20E-F34C-8DDE-2DCA641DEB06}" name="Wind -  MW" dataDxfId="98" dataCellStyle="Input"/>
    <tableColumn id="13" xr3:uid="{5B1523EF-7485-3E4E-B70B-B18D07F58843}" name="Solar (Utility) -  MW" dataDxfId="97" dataCellStyle="Input"/>
    <tableColumn id="14" xr3:uid="{4DF2BAC5-F207-2B45-8691-5B20061B58F9}" name="Solar (Rooftop) -  MW" dataDxfId="96" dataCellStyle="Input"/>
    <tableColumn id="15" xr3:uid="{20417665-967E-9541-B9EC-4E8FC37C583F}" name="Temperature - C" dataDxfId="95" dataCellStyle="Input"/>
    <tableColumn id="16" xr3:uid="{B917A01E-044A-FF4D-897F-E018A6C81A1E}" name="Exports Emissions Vol - tCO₂e" dataDxfId="94" dataCellStyle="Input"/>
    <tableColumn id="17" xr3:uid="{F838DF3C-60E1-0D43-92BB-6012C72D1B7C}" name="Imports Emissions Vol - tCO₂e" dataDxfId="93" dataCellStyle="Input"/>
    <tableColumn id="18" xr3:uid="{F5821EDF-3409-9643-B175-3C91D71F7AFA}" name="Coal (Black) Emissions Vol - tCO₂e" dataDxfId="92" dataCellStyle="Input"/>
    <tableColumn id="19" xr3:uid="{73A625BD-E2BF-774B-8FB2-D14BCF52F746}" name="Bioenergy (Biomass) Emissions Vol - tCO₂e" dataDxfId="91" dataCellStyle="Input"/>
    <tableColumn id="20" xr3:uid="{20F92BFF-F0F5-214D-A3B6-1D74EC244DCF}" name="Gas (CCGT) Emissions Vol - tCO₂e" dataDxfId="90" dataCellStyle="Input"/>
    <tableColumn id="21" xr3:uid="{460D0CBA-0B71-C64A-AC7C-95B47D5AC75C}" name="Gas (OCGT) Emissions Vol - tCO₂e" dataDxfId="89" dataCellStyle="Input"/>
    <tableColumn id="22" xr3:uid="{18F38176-9F9D-A645-8B81-35C68FEFE276}" name="Emissions Intensity - kgCO₂e/MWh" dataDxfId="88" dataCellStyle="Input"/>
    <tableColumn id="23" xr3:uid="{39D023E4-B675-7545-8431-28139F654CCD}" name="Price - AUD/MWh" dataDxfId="87" dataCellStyle="Input"/>
    <tableColumn id="24" xr3:uid="{FAE9375C-F483-D543-AE7A-36B9EC9F285F}" name="Helper Column - Time" dataDxfId="86" dataCellStyle="Input">
      <calculatedColumnFormula>TEXT(Table4_1[[#This Row],[date]], "hh:mm")</calculatedColumnFormula>
    </tableColumn>
    <tableColumn id="25" xr3:uid="{F5F03341-66C6-9B42-B321-4E402E9279E3}" name="Helper Column - Day" dataDxfId="85" dataCellStyle="Input">
      <calculatedColumnFormula>IF(AND(HOUR(A2)=0,MINUTE(A2)=0),TEXT(A2,"d mmm"),"")</calculatedColumnFormula>
    </tableColumn>
    <tableColumn id="26" xr3:uid="{483977C4-D7CE-7D4B-AC45-58A11483E345}" name="Helper Column - Zero" dataDxfId="84" dataCellStyle="Input"/>
  </tableColumns>
  <tableStyleInfo name="Table Style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56D772-41C6-4C4F-B73F-6EB827534B49}" name="general_price" displayName="general_price" ref="A1:AB338" totalsRowShown="0" headerRowDxfId="83" dataDxfId="82" tableBorderDxfId="81" headerRowCellStyle="Table header" dataCellStyle="Input">
  <autoFilter ref="A1:AB338" xr:uid="{69F0A387-DB95-D447-8BA4-0E56698019E9}"/>
  <tableColumns count="28">
    <tableColumn id="1" xr3:uid="{607B08F9-4152-F542-B5FC-5A6643F159FF}" name="date" dataDxfId="80" dataCellStyle="Row header"/>
    <tableColumn id="2" xr3:uid="{F4385D66-0DBE-BE41-9BCE-921D701A47F5}" name="Battery (Charging) -  MW" dataDxfId="79" dataCellStyle="Input"/>
    <tableColumn id="3" xr3:uid="{000B96C9-FB5F-0F47-BDED-1C9E59FBA520}" name="Pumps -  MW" dataDxfId="78" dataCellStyle="Input"/>
    <tableColumn id="4" xr3:uid="{C0490483-1F1F-0842-BBB1-9DE0677D2B3B}" name="Exports -  MW" dataDxfId="77" dataCellStyle="Input"/>
    <tableColumn id="5" xr3:uid="{7DA77766-B6AA-8942-8EBA-454BAE566C16}" name="Imports -  MW" dataDxfId="76" dataCellStyle="Input"/>
    <tableColumn id="6" xr3:uid="{556F9F59-E764-5148-9EBD-65D930CCD40E}" name="Coal (Black) -  MW" dataDxfId="75" dataCellStyle="Input"/>
    <tableColumn id="7" xr3:uid="{7659B938-5F4F-714B-B0C0-781BC132B53C}" name="Bioenergy (Biomass) -  MW" dataDxfId="74" dataCellStyle="Input"/>
    <tableColumn id="8" xr3:uid="{36E40EC9-B975-544E-B91D-12AC593FB929}" name="Gas (CCGT) -  MW" dataDxfId="73" dataCellStyle="Input"/>
    <tableColumn id="9" xr3:uid="{BF9083C7-3C9E-984E-B06F-C85BEE390CE4}" name="Gas (OCGT) -  MW" dataDxfId="72" dataCellStyle="Input"/>
    <tableColumn id="10" xr3:uid="{C4D6CB5B-0DE0-0E46-849A-F894D00A8BA5}" name="Battery (Discharging) -  MW" dataDxfId="71" dataCellStyle="Input"/>
    <tableColumn id="11" xr3:uid="{C4035633-D92B-0A40-B628-2A622BBCCBB6}" name="Hydro -  MW" dataDxfId="70" dataCellStyle="Input"/>
    <tableColumn id="12" xr3:uid="{F3981CBC-A9EE-F245-8FB3-0063F2E0F20D}" name="Wind -  MW" dataDxfId="69" dataCellStyle="Input"/>
    <tableColumn id="13" xr3:uid="{BAA8F942-B678-1F43-8D7D-41A199FE3C53}" name="Solar (Utility) -  MW" dataDxfId="68" dataCellStyle="Input"/>
    <tableColumn id="14" xr3:uid="{C6C68F2A-30C3-7647-8761-6AC1649614BB}" name="Solar (Rooftop) -  MW" dataDxfId="67" dataCellStyle="Input"/>
    <tableColumn id="15" xr3:uid="{3AFF73C3-F9CE-D046-B80D-E534FB4CC3BF}" name="Temperature - C" dataDxfId="66" dataCellStyle="Input"/>
    <tableColumn id="16" xr3:uid="{9AA45647-8513-534B-84C4-938FAB22231D}" name="Exports Emissions Vol - tCO₂e" dataDxfId="65" dataCellStyle="Input"/>
    <tableColumn id="17" xr3:uid="{4C6848E4-1659-164C-9B68-287ACB142E99}" name="Imports Emissions Vol - tCO₂e" dataDxfId="64" dataCellStyle="Input"/>
    <tableColumn id="18" xr3:uid="{73B59BBA-1B73-4B49-A0E4-D146845E6C17}" name="Coal (Black) Emissions Vol - tCO₂e" dataDxfId="63" dataCellStyle="Input"/>
    <tableColumn id="19" xr3:uid="{77631B93-EFC7-4546-BA8A-DC1A13035BFE}" name="Bioenergy (Biomass) Emissions Vol - tCO₂e" dataDxfId="62" dataCellStyle="Input"/>
    <tableColumn id="20" xr3:uid="{D0AC061D-0B8F-0E42-82FE-1D91533BB64B}" name="Gas (CCGT) Emissions Vol - tCO₂e" dataDxfId="61" dataCellStyle="Input"/>
    <tableColumn id="21" xr3:uid="{6536FC85-A560-264F-B14C-C1A977D8911E}" name="Gas (OCGT) Emissions Vol - tCO₂e" dataDxfId="60" dataCellStyle="Input"/>
    <tableColumn id="22" xr3:uid="{DA454BD5-CD36-2C46-BAC4-348985222E27}" name="Emissions Intensity - kgCO₂e/MWh" dataDxfId="59" dataCellStyle="Input"/>
    <tableColumn id="23" xr3:uid="{6247122A-18BB-7A40-9AA1-2A4AB6C61745}" name="Price - AUD/MWh" dataDxfId="58" dataCellStyle="Input"/>
    <tableColumn id="24" xr3:uid="{93C6B343-1BFA-7442-8295-074BB1440CF6}" name="Helper Column - Time" dataDxfId="57" dataCellStyle="Input">
      <calculatedColumnFormula>MOD(general_price[[#This Row],[date]], 1)</calculatedColumnFormula>
    </tableColumn>
    <tableColumn id="25" xr3:uid="{9524E1A3-7945-9842-BE63-B339E0ECD098}" name="Helper Column - Day" dataDxfId="56" dataCellStyle="Input">
      <calculatedColumnFormula>IF(AND(HOUR(A2)=0,MINUTE(A2)=0),TEXT(A2,"d mmm"),"")</calculatedColumnFormula>
    </tableColumn>
    <tableColumn id="26" xr3:uid="{8BD6E5E5-FA58-2B47-A911-BB3F3012A8D6}" name="Helper Column - Zero" dataDxfId="55" dataCellStyle="Input"/>
    <tableColumn id="27" xr3:uid="{6D4E2B64-055B-874E-806D-451EE1651F58}" name="Helper Column - Net Battery Output" dataDxfId="54" dataCellStyle="Input">
      <calculatedColumnFormula>general_price[[#This Row],[Battery (Charging) -  MW]]+general_price[[#This Row],[Battery (Discharging) -  MW]]</calculatedColumnFormula>
    </tableColumn>
    <tableColumn id="28" xr3:uid="{2D12B897-F89B-2D40-A0D4-00D54BD05C61}" name="Helper Column - Net Hydro Output" dataDxfId="53" dataCellStyle="Input">
      <calculatedColumnFormula>general_price[[#This Row],[Pumps -  MW]]+general_price[[#This Row],[Hydro -  MW]]</calculatedColumnFormula>
    </tableColumn>
  </tableColumns>
  <tableStyleInfo name="Table Style 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9965E-9C51-5E41-AA15-4727AE8C20EC}" name="Table4_134" displayName="Table4_134" ref="A1:N338" totalsRowShown="0" headerRowDxfId="52" dataDxfId="51" tableBorderDxfId="50" headerRowCellStyle="Table header" dataCellStyle="Input">
  <autoFilter ref="A1:N338" xr:uid="{69F0A387-DB95-D447-8BA4-0E56698019E9}"/>
  <tableColumns count="14">
    <tableColumn id="1" xr3:uid="{2E1BD3EA-0641-E14B-92F0-65FD4626ABE8}" name="date" dataDxfId="49" dataCellStyle="Row header"/>
    <tableColumn id="2" xr3:uid="{41ED2944-914F-C046-A2D4-04867BD7D413}" name="Battery (Charging) -  MW" dataDxfId="48" dataCellStyle="Input"/>
    <tableColumn id="3" xr3:uid="{DA829377-36EC-F342-8801-800647F237E9}" name="Pumps -  MW" dataDxfId="47" dataCellStyle="Input"/>
    <tableColumn id="6" xr3:uid="{21FA49B9-9989-7F48-B4E9-C3F5CDE82B57}" name="Coal (Black) -  MW" dataDxfId="46" dataCellStyle="Input"/>
    <tableColumn id="7" xr3:uid="{55859610-355A-0340-AA94-F8DA782DA007}" name="Bioenergy (Biomass) -  MW" dataDxfId="45" dataCellStyle="Input"/>
    <tableColumn id="8" xr3:uid="{B4F28FD1-1616-2547-950C-FE837646268A}" name="Gas (CCGT) -  MW" dataDxfId="44" dataCellStyle="Input"/>
    <tableColumn id="9" xr3:uid="{80704673-82A6-BA47-B2B4-17D9BA6A1307}" name="Gas (OCGT) -  MW" dataDxfId="43" dataCellStyle="Input"/>
    <tableColumn id="10" xr3:uid="{8918488D-7258-614F-A757-9FFEAB17E2FA}" name="Battery (Discharging) -  MW" dataDxfId="42" dataCellStyle="Input"/>
    <tableColumn id="11" xr3:uid="{BBC233B8-A962-964F-A7DB-2D17C57B710B}" name="Hydro -  MW" dataDxfId="41" dataCellStyle="Input"/>
    <tableColumn id="12" xr3:uid="{D34221BF-1A1E-4142-B3F7-A7D2EA8D5DEA}" name="Wind -  MW" dataDxfId="40" dataCellStyle="Input"/>
    <tableColumn id="13" xr3:uid="{3F932E29-4116-2345-AEC2-DB5957428C30}" name="Solar (Utility) -  MW" dataDxfId="39" dataCellStyle="Input"/>
    <tableColumn id="14" xr3:uid="{B3318C94-D869-7A4E-92EC-2124955AC58E}" name="Solar (Rooftop) -  MW" dataDxfId="38" dataCellStyle="Input"/>
    <tableColumn id="23" xr3:uid="{E4807168-48A3-C84A-AA8F-FCC8D8B2531C}" name="Price - AUD/MWh" dataDxfId="37" dataCellStyle="Input"/>
    <tableColumn id="25" xr3:uid="{6FAE6509-26B7-D545-BEBE-20357A589B71}" name="Helper Column - Day" dataDxfId="36" dataCellStyle="Input">
      <calculatedColumnFormula>IF(AND(HOUR(A2)=0,MINUTE(A2)=0),TEXT(A2,"d mmm"),"")</calculatedColumnFormula>
    </tableColumn>
  </tableColumns>
  <tableStyleInfo name="Table Style 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9A352E-23BD-A549-8BDB-6DEACA6C9189}" name="Table4_137" displayName="Table4_137" ref="A1:I338" totalsRowShown="0" headerRowDxfId="35" dataDxfId="34" tableBorderDxfId="33" headerRowCellStyle="Table header" dataCellStyle="Input">
  <autoFilter ref="A1:I338" xr:uid="{69F0A387-DB95-D447-8BA4-0E56698019E9}"/>
  <tableColumns count="9">
    <tableColumn id="1" xr3:uid="{1F22DBB1-0CF9-0249-87CB-BFFA4D5F7AEA}" name="date" dataDxfId="32" dataCellStyle="Row header"/>
    <tableColumn id="2" xr3:uid="{EDA63DE6-3054-574A-8ADE-D440CAE0EB00}" name="Battery (Charging) -  MW" dataDxfId="31" dataCellStyle="Input"/>
    <tableColumn id="3" xr3:uid="{F9A44C3A-2E51-FD4B-A6D0-56867887CF95}" name="Pumps -  MW" dataDxfId="30" dataCellStyle="Input"/>
    <tableColumn id="10" xr3:uid="{6355D954-5AEE-B244-9A71-AA3B18C2C58B}" name="Battery (Discharging) -  MW" dataDxfId="29" dataCellStyle="Input"/>
    <tableColumn id="11" xr3:uid="{3FB6E9E1-C678-414A-8AEB-B3279AD429A5}" name="Hydro -  MW" dataDxfId="28" dataCellStyle="Input"/>
    <tableColumn id="23" xr3:uid="{E4010F33-03B0-D24E-821A-ED453987E3C6}" name="Price - AUD/MWh" dataDxfId="27" dataCellStyle="Input"/>
    <tableColumn id="24" xr3:uid="{8DF0E0FA-7643-6449-B6BB-7FEDDE373ADE}" name="Helper Column - Time" dataDxfId="26" dataCellStyle="Input">
      <calculatedColumnFormula>TEXT(Table4_137[[#This Row],[date]], "hh:mm")</calculatedColumnFormula>
    </tableColumn>
    <tableColumn id="25" xr3:uid="{7855296A-8203-3248-B998-3B937B7974A0}" name="Helper Column - Day" dataDxfId="25" dataCellStyle="Input">
      <calculatedColumnFormula>IF(AND(HOUR(A2)=0,MINUTE(A2)=0),TEXT(A2,"d mmm"),"")</calculatedColumnFormula>
    </tableColumn>
    <tableColumn id="26" xr3:uid="{C0E6E067-9802-EE47-BAA0-C2D9FA23CE99}" name="Column1" dataDxfId="24" dataCellStyle="Input"/>
  </tableColumns>
  <tableStyleInfo name="Table Style 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6488E6-F27F-6B4E-AFA8-58DDE62ACD54}" name="Table4_138" displayName="Table4_138" ref="A1:I338" totalsRowShown="0" headerRowDxfId="23" dataDxfId="22" tableBorderDxfId="21" headerRowCellStyle="Table header" dataCellStyle="Input">
  <autoFilter ref="A1:I338" xr:uid="{69F0A387-DB95-D447-8BA4-0E56698019E9}"/>
  <tableColumns count="9">
    <tableColumn id="1" xr3:uid="{CE1C87FE-4C88-FC41-B9FA-21CCF7230839}" name="date" dataDxfId="20" dataCellStyle="Row header"/>
    <tableColumn id="6" xr3:uid="{88C9B378-BC25-9D42-92DE-A747DD1ED15D}" name="Coal (Black) -  MW" dataDxfId="19" dataCellStyle="Input"/>
    <tableColumn id="7" xr3:uid="{704A2D6E-6970-5A4C-8DC1-498EE234EFDD}" name="Bioenergy (Biomass) -  MW" dataDxfId="8" dataCellStyle="Input"/>
    <tableColumn id="8" xr3:uid="{9635D486-02BE-5348-AB6D-FA3C07776F63}" name="Gas (CCGT) -  MW" dataDxfId="18" dataCellStyle="Input"/>
    <tableColumn id="9" xr3:uid="{7D6633B9-772C-B140-BB62-F1DE7E575DD9}" name="Gas (OCGT) -  MW" dataDxfId="17" dataCellStyle="Input"/>
    <tableColumn id="12" xr3:uid="{E04A95C5-F4E0-9944-ACA5-597F51C15C17}" name="Wind -  MW" dataDxfId="16" dataCellStyle="Input"/>
    <tableColumn id="23" xr3:uid="{A7BAFC53-8452-9B40-AE94-1FDF3C361F3F}" name="Price - AUD/MWh" dataDxfId="15" dataCellStyle="Input"/>
    <tableColumn id="24" xr3:uid="{6160ADA8-91CF-6141-93E2-D7AE15B32185}" name="Helper Column - Time" dataDxfId="14" dataCellStyle="Input">
      <calculatedColumnFormula>TEXT(Table4_138[[#This Row],[date]], "hh:mm")</calculatedColumnFormula>
    </tableColumn>
    <tableColumn id="25" xr3:uid="{280C6379-9825-BF4A-96B7-14D89AF686C5}" name="Helper Column - Day" dataDxfId="13" dataCellStyle="Input">
      <calculatedColumnFormula>IF(AND(HOUR(A2)=0,MINUTE(A2)=0),TEXT(A2,"d mmm"),"")</calculatedColumnFormula>
    </tableColumn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PIE Standard">
      <a:dk1>
        <a:sysClr val="windowText" lastClr="000000"/>
      </a:dk1>
      <a:lt1>
        <a:sysClr val="window" lastClr="FFFFFF"/>
      </a:lt1>
      <a:dk2>
        <a:srgbClr val="40C1BB"/>
      </a:dk2>
      <a:lt2>
        <a:srgbClr val="752F8A"/>
      </a:lt2>
      <a:accent1>
        <a:srgbClr val="002664"/>
      </a:accent1>
      <a:accent2>
        <a:srgbClr val="D7153A"/>
      </a:accent2>
      <a:accent3>
        <a:srgbClr val="0A7CB9"/>
      </a:accent3>
      <a:accent4>
        <a:srgbClr val="00ABE6"/>
      </a:accent4>
      <a:accent5>
        <a:srgbClr val="FF7F2F"/>
      </a:accent5>
      <a:accent6>
        <a:srgbClr val="F9BE00"/>
      </a:accent6>
      <a:hlink>
        <a:srgbClr val="40C1BB"/>
      </a:hlink>
      <a:folHlink>
        <a:srgbClr val="752F8A"/>
      </a:folHlink>
    </a:clrScheme>
    <a:fontScheme name="Public Sans">
      <a:majorFont>
        <a:latin typeface="Public Sans"/>
        <a:ea typeface=""/>
        <a:cs typeface=""/>
      </a:majorFont>
      <a:minorFont>
        <a:latin typeface="Public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DPIE Standard">
    <a:dk1>
      <a:sysClr val="windowText" lastClr="000000"/>
    </a:dk1>
    <a:lt1>
      <a:sysClr val="window" lastClr="FFFFFF"/>
    </a:lt1>
    <a:dk2>
      <a:srgbClr val="40C1BB"/>
    </a:dk2>
    <a:lt2>
      <a:srgbClr val="752F8A"/>
    </a:lt2>
    <a:accent1>
      <a:srgbClr val="002664"/>
    </a:accent1>
    <a:accent2>
      <a:srgbClr val="D7153A"/>
    </a:accent2>
    <a:accent3>
      <a:srgbClr val="0A7CB9"/>
    </a:accent3>
    <a:accent4>
      <a:srgbClr val="00ABE6"/>
    </a:accent4>
    <a:accent5>
      <a:srgbClr val="FF7F2F"/>
    </a:accent5>
    <a:accent6>
      <a:srgbClr val="F9BE00"/>
    </a:accent6>
    <a:hlink>
      <a:srgbClr val="40C1BB"/>
    </a:hlink>
    <a:folHlink>
      <a:srgbClr val="752F8A"/>
    </a:folHlink>
  </a:clrScheme>
  <a:fontScheme name="Public Sans">
    <a:majorFont>
      <a:latin typeface="Public Sans"/>
      <a:ea typeface=""/>
      <a:cs typeface=""/>
    </a:majorFont>
    <a:minorFont>
      <a:latin typeface="Public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AF83-5DEB-45FE-B877-B6257514B044}">
  <dimension ref="B2:C21"/>
  <sheetViews>
    <sheetView showGridLines="0" zoomScale="209" workbookViewId="0">
      <selection activeCell="C4" sqref="B4:C4"/>
    </sheetView>
  </sheetViews>
  <sheetFormatPr baseColWidth="10" defaultColWidth="9.19921875" defaultRowHeight="17" customHeight="1"/>
  <cols>
    <col min="1" max="1" width="9.19921875" style="1"/>
    <col min="2" max="2" width="27.796875" style="1" customWidth="1"/>
    <col min="3" max="3" width="76.3984375" style="1" customWidth="1"/>
    <col min="4" max="16384" width="9.19921875" style="1"/>
  </cols>
  <sheetData>
    <row r="2" spans="2:3" ht="17" customHeight="1">
      <c r="B2" s="3" t="s">
        <v>0</v>
      </c>
      <c r="C2" s="3"/>
    </row>
    <row r="3" spans="2:3" ht="17" customHeight="1">
      <c r="B3" s="5" t="s">
        <v>0</v>
      </c>
      <c r="C3" s="4" t="s">
        <v>1</v>
      </c>
    </row>
    <row r="4" spans="2:3" ht="17" customHeight="1">
      <c r="B4" s="5" t="s">
        <v>80</v>
      </c>
      <c r="C4" s="27" t="s">
        <v>81</v>
      </c>
    </row>
    <row r="5" spans="2:3" ht="17" customHeight="1">
      <c r="B5" s="5" t="s">
        <v>82</v>
      </c>
      <c r="C5" s="27" t="s">
        <v>83</v>
      </c>
    </row>
    <row r="6" spans="2:3" ht="17" customHeight="1">
      <c r="B6" s="5" t="s">
        <v>84</v>
      </c>
      <c r="C6" s="27" t="s">
        <v>85</v>
      </c>
    </row>
    <row r="7" spans="2:3" ht="17" customHeight="1">
      <c r="B7" s="5" t="s">
        <v>86</v>
      </c>
      <c r="C7" s="27" t="s">
        <v>87</v>
      </c>
    </row>
    <row r="8" spans="2:3" ht="17" customHeight="1">
      <c r="B8" s="5"/>
      <c r="C8" s="4"/>
    </row>
    <row r="9" spans="2:3" ht="17" customHeight="1">
      <c r="B9" s="5"/>
      <c r="C9" s="4"/>
    </row>
    <row r="10" spans="2:3" ht="17" customHeight="1">
      <c r="B10" s="5"/>
      <c r="C10" s="2"/>
    </row>
    <row r="11" spans="2:3" ht="17" customHeight="1">
      <c r="B11" s="5"/>
      <c r="C11" s="2"/>
    </row>
    <row r="12" spans="2:3" ht="17" customHeight="1">
      <c r="B12" s="5"/>
      <c r="C12" s="2"/>
    </row>
    <row r="13" spans="2:3" ht="17" customHeight="1">
      <c r="B13" s="5"/>
      <c r="C13" s="2"/>
    </row>
    <row r="14" spans="2:3" ht="17" customHeight="1">
      <c r="B14" s="5"/>
      <c r="C14" s="2"/>
    </row>
    <row r="15" spans="2:3" ht="17" customHeight="1">
      <c r="B15" s="5"/>
      <c r="C15" s="2"/>
    </row>
    <row r="16" spans="2:3" ht="17" customHeight="1">
      <c r="B16" s="5"/>
      <c r="C16" s="2"/>
    </row>
    <row r="17" spans="2:3" ht="17" customHeight="1">
      <c r="B17" s="5"/>
      <c r="C17" s="2"/>
    </row>
    <row r="18" spans="2:3" ht="17" customHeight="1">
      <c r="B18" s="5"/>
      <c r="C18" s="2"/>
    </row>
    <row r="19" spans="2:3" ht="17" customHeight="1">
      <c r="B19" s="5"/>
      <c r="C19" s="2"/>
    </row>
    <row r="20" spans="2:3" ht="17" customHeight="1">
      <c r="B20" s="5"/>
      <c r="C20" s="2"/>
    </row>
    <row r="21" spans="2:3" ht="17" customHeight="1">
      <c r="B21" s="5"/>
      <c r="C21" s="2"/>
    </row>
  </sheetData>
  <hyperlinks>
    <hyperlink ref="B3" location="Contents!A1" display="Contents" xr:uid="{A6817FEE-4639-429A-96E8-C5C4D8C86B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4AFD-BECA-104C-8FF5-838AF6897D99}">
  <dimension ref="A1:AI391"/>
  <sheetViews>
    <sheetView zoomScale="10" zoomScaleNormal="10" workbookViewId="0">
      <selection activeCell="T403" sqref="T403"/>
    </sheetView>
  </sheetViews>
  <sheetFormatPr baseColWidth="10" defaultRowHeight="13"/>
  <cols>
    <col min="1" max="1" width="17.19921875" bestFit="1" customWidth="1"/>
    <col min="2" max="2" width="29.796875" bestFit="1" customWidth="1"/>
    <col min="3" max="3" width="27.3984375" bestFit="1" customWidth="1"/>
    <col min="4" max="4" width="18.19921875" customWidth="1"/>
    <col min="5" max="5" width="18.3984375" customWidth="1"/>
    <col min="6" max="6" width="22.3984375" customWidth="1"/>
    <col min="7" max="7" width="29.796875" customWidth="1"/>
    <col min="8" max="9" width="22.59765625" customWidth="1"/>
    <col min="10" max="10" width="31.19921875" customWidth="1"/>
    <col min="11" max="11" width="16.796875" customWidth="1"/>
    <col min="12" max="12" width="15.796875" customWidth="1"/>
    <col min="13" max="13" width="23.796875" customWidth="1"/>
    <col min="14" max="14" width="25.59765625" customWidth="1"/>
    <col min="15" max="15" width="20.19921875" customWidth="1"/>
    <col min="16" max="16" width="32.19921875" customWidth="1"/>
    <col min="17" max="17" width="32.59765625" customWidth="1"/>
    <col min="18" max="18" width="36.59765625" customWidth="1"/>
    <col min="19" max="19" width="44" customWidth="1"/>
    <col min="20" max="21" width="36.796875" customWidth="1"/>
    <col min="22" max="22" width="36.59765625" customWidth="1"/>
    <col min="23" max="23" width="21.796875" customWidth="1"/>
    <col min="24" max="24" width="37.59765625" customWidth="1"/>
    <col min="25" max="25" width="15.3984375" style="26" customWidth="1"/>
  </cols>
  <sheetData>
    <row r="1" spans="1:26" ht="42">
      <c r="A1" s="20" t="s">
        <v>2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20" t="s">
        <v>22</v>
      </c>
      <c r="V1" s="20" t="s">
        <v>23</v>
      </c>
      <c r="W1" s="21" t="s">
        <v>24</v>
      </c>
      <c r="X1" s="21" t="s">
        <v>27</v>
      </c>
      <c r="Y1" s="24" t="s">
        <v>77</v>
      </c>
      <c r="Z1" s="21" t="s">
        <v>78</v>
      </c>
    </row>
    <row r="2" spans="1:26">
      <c r="A2" s="9">
        <v>45849.520833333336</v>
      </c>
      <c r="B2" s="10">
        <v>-190.82</v>
      </c>
      <c r="C2" s="11">
        <v>-469.14</v>
      </c>
      <c r="D2" s="11">
        <v>-255.91</v>
      </c>
      <c r="E2" s="11">
        <v>913.45</v>
      </c>
      <c r="F2" s="11">
        <v>3381.98</v>
      </c>
      <c r="G2" s="11">
        <v>28.92</v>
      </c>
      <c r="H2" s="11">
        <v>0</v>
      </c>
      <c r="I2" s="11">
        <v>37.35</v>
      </c>
      <c r="J2" s="11">
        <v>353.88</v>
      </c>
      <c r="K2" s="11">
        <v>0</v>
      </c>
      <c r="L2" s="11">
        <v>1569.25</v>
      </c>
      <c r="M2" s="11">
        <v>1561.96</v>
      </c>
      <c r="N2" s="11">
        <v>0</v>
      </c>
      <c r="O2" s="11">
        <v>17.7</v>
      </c>
      <c r="P2" s="11">
        <v>9.02</v>
      </c>
      <c r="Q2" s="11">
        <v>41.99</v>
      </c>
      <c r="R2" s="11">
        <v>254.19</v>
      </c>
      <c r="S2" s="11">
        <v>0.08</v>
      </c>
      <c r="T2" s="11">
        <v>0</v>
      </c>
      <c r="U2" s="11">
        <v>1.87</v>
      </c>
      <c r="V2" s="11">
        <v>443.49</v>
      </c>
      <c r="W2" s="12">
        <v>-22.01</v>
      </c>
      <c r="X2" s="22" t="str">
        <f>TEXT(Table4_1[[#This Row],[date]], "hh:mm")</f>
        <v>12:30</v>
      </c>
      <c r="Y2" s="25" t="str">
        <f t="shared" ref="Y2:Y65" si="0">IF(AND(HOUR(A2)=0,MINUTE(A2)=0),TEXT(A2,"d mmm"),"")</f>
        <v/>
      </c>
      <c r="Z2" s="22">
        <v>0</v>
      </c>
    </row>
    <row r="3" spans="1:26">
      <c r="A3" s="13">
        <v>45849.541666666664</v>
      </c>
      <c r="B3" s="14">
        <v>-401.87</v>
      </c>
      <c r="C3" s="15">
        <v>-468.66</v>
      </c>
      <c r="D3" s="15">
        <v>-132.59</v>
      </c>
      <c r="E3" s="15">
        <v>873.89</v>
      </c>
      <c r="F3" s="15">
        <v>3430.37</v>
      </c>
      <c r="G3" s="15">
        <v>29.64</v>
      </c>
      <c r="H3" s="15">
        <v>0</v>
      </c>
      <c r="I3" s="15">
        <v>37.369999999999997</v>
      </c>
      <c r="J3" s="15">
        <v>152.37</v>
      </c>
      <c r="K3" s="15">
        <v>0</v>
      </c>
      <c r="L3" s="15">
        <v>1626.93</v>
      </c>
      <c r="M3" s="15">
        <v>1760.86</v>
      </c>
      <c r="N3" s="15">
        <v>1653.29</v>
      </c>
      <c r="O3" s="15">
        <v>17.86</v>
      </c>
      <c r="P3" s="15">
        <v>27.69</v>
      </c>
      <c r="Q3" s="15">
        <v>251.17</v>
      </c>
      <c r="R3" s="15">
        <v>1547.5</v>
      </c>
      <c r="S3" s="15">
        <v>0.51</v>
      </c>
      <c r="T3" s="15">
        <v>0</v>
      </c>
      <c r="U3" s="15">
        <v>11.25</v>
      </c>
      <c r="V3" s="15">
        <v>364.25</v>
      </c>
      <c r="W3" s="16">
        <v>-14.01</v>
      </c>
      <c r="X3" s="19" t="str">
        <f>TEXT(Table4_1[[#This Row],[date]], "hh:mm")</f>
        <v>13:00</v>
      </c>
      <c r="Y3" s="25" t="str">
        <f t="shared" si="0"/>
        <v/>
      </c>
      <c r="Z3" s="22">
        <v>0</v>
      </c>
    </row>
    <row r="4" spans="1:26">
      <c r="A4" s="13">
        <v>45849.5625</v>
      </c>
      <c r="B4" s="14">
        <v>-649.61</v>
      </c>
      <c r="C4" s="15">
        <v>-468.04</v>
      </c>
      <c r="D4" s="15">
        <v>-10.54</v>
      </c>
      <c r="E4" s="15">
        <v>886.3</v>
      </c>
      <c r="F4" s="15">
        <v>3463.22</v>
      </c>
      <c r="G4" s="15">
        <v>20.71</v>
      </c>
      <c r="H4" s="15">
        <v>0</v>
      </c>
      <c r="I4" s="15">
        <v>37.19</v>
      </c>
      <c r="J4" s="15">
        <v>1.82</v>
      </c>
      <c r="K4" s="15">
        <v>0</v>
      </c>
      <c r="L4" s="15">
        <v>1717.61</v>
      </c>
      <c r="M4" s="15">
        <v>1879.89</v>
      </c>
      <c r="N4" s="15">
        <v>3109.92</v>
      </c>
      <c r="O4" s="15">
        <v>17.98</v>
      </c>
      <c r="P4" s="15">
        <v>2.2000000000000002</v>
      </c>
      <c r="Q4" s="15">
        <v>254.96</v>
      </c>
      <c r="R4" s="15">
        <v>1562.28</v>
      </c>
      <c r="S4" s="15">
        <v>0.45</v>
      </c>
      <c r="T4" s="15">
        <v>0</v>
      </c>
      <c r="U4" s="15">
        <v>11.2</v>
      </c>
      <c r="V4" s="15">
        <v>315.14999999999998</v>
      </c>
      <c r="W4" s="16">
        <v>13.96</v>
      </c>
      <c r="X4" s="19" t="str">
        <f>TEXT(Table4_1[[#This Row],[date]], "hh:mm")</f>
        <v>13:30</v>
      </c>
      <c r="Y4" s="25" t="str">
        <f t="shared" si="0"/>
        <v/>
      </c>
      <c r="Z4" s="22">
        <v>0</v>
      </c>
    </row>
    <row r="5" spans="1:26">
      <c r="A5" s="13">
        <v>45849.583333333336</v>
      </c>
      <c r="B5" s="14">
        <v>-162.4</v>
      </c>
      <c r="C5" s="15">
        <v>-467.76</v>
      </c>
      <c r="D5" s="15">
        <v>-159.88999999999999</v>
      </c>
      <c r="E5" s="15">
        <v>897.81</v>
      </c>
      <c r="F5" s="15">
        <v>3444.6</v>
      </c>
      <c r="G5" s="15">
        <v>11.93</v>
      </c>
      <c r="H5" s="15">
        <v>1.17</v>
      </c>
      <c r="I5" s="15">
        <v>38.090000000000003</v>
      </c>
      <c r="J5" s="15">
        <v>97.38</v>
      </c>
      <c r="K5" s="15">
        <v>0</v>
      </c>
      <c r="L5" s="15">
        <v>1735.37</v>
      </c>
      <c r="M5" s="15">
        <v>1686.57</v>
      </c>
      <c r="N5" s="15">
        <v>2800.7</v>
      </c>
      <c r="O5" s="15">
        <v>17.87</v>
      </c>
      <c r="P5" s="15">
        <v>34.130000000000003</v>
      </c>
      <c r="Q5" s="15">
        <v>246.76</v>
      </c>
      <c r="R5" s="15">
        <v>1554.06</v>
      </c>
      <c r="S5" s="15">
        <v>0.38</v>
      </c>
      <c r="T5" s="15">
        <v>0.22</v>
      </c>
      <c r="U5" s="15">
        <v>11.47</v>
      </c>
      <c r="V5" s="15">
        <v>315.64</v>
      </c>
      <c r="W5" s="16">
        <v>0.04</v>
      </c>
      <c r="X5" s="19" t="str">
        <f>TEXT(Table4_1[[#This Row],[date]], "hh:mm")</f>
        <v>14:00</v>
      </c>
      <c r="Y5" s="25" t="str">
        <f t="shared" si="0"/>
        <v/>
      </c>
      <c r="Z5" s="22">
        <v>0</v>
      </c>
    </row>
    <row r="6" spans="1:26">
      <c r="A6" s="13">
        <v>45849.604166666664</v>
      </c>
      <c r="B6" s="14">
        <v>-22.51</v>
      </c>
      <c r="C6" s="15">
        <v>-468.28</v>
      </c>
      <c r="D6" s="15">
        <v>-151.47999999999999</v>
      </c>
      <c r="E6" s="15">
        <v>917.95</v>
      </c>
      <c r="F6" s="15">
        <v>3513.54</v>
      </c>
      <c r="G6" s="15">
        <v>11.22</v>
      </c>
      <c r="H6" s="15">
        <v>52.33</v>
      </c>
      <c r="I6" s="15">
        <v>38.33</v>
      </c>
      <c r="J6" s="15">
        <v>241.68</v>
      </c>
      <c r="K6" s="15">
        <v>0</v>
      </c>
      <c r="L6" s="15">
        <v>1759.84</v>
      </c>
      <c r="M6" s="15">
        <v>1445.08</v>
      </c>
      <c r="N6" s="15">
        <v>2425.0500000000002</v>
      </c>
      <c r="O6" s="15">
        <v>17.37</v>
      </c>
      <c r="P6" s="15">
        <v>32.479999999999997</v>
      </c>
      <c r="Q6" s="15">
        <v>239.86</v>
      </c>
      <c r="R6" s="15">
        <v>1584.67</v>
      </c>
      <c r="S6" s="15">
        <v>0.37</v>
      </c>
      <c r="T6" s="15">
        <v>9.73</v>
      </c>
      <c r="U6" s="15">
        <v>11.54</v>
      </c>
      <c r="V6" s="15">
        <v>329.07</v>
      </c>
      <c r="W6" s="16">
        <v>20.3</v>
      </c>
      <c r="X6" s="19" t="str">
        <f>TEXT(Table4_1[[#This Row],[date]], "hh:mm")</f>
        <v>14:30</v>
      </c>
      <c r="Y6" s="25" t="str">
        <f t="shared" si="0"/>
        <v/>
      </c>
      <c r="Z6" s="22">
        <v>0</v>
      </c>
    </row>
    <row r="7" spans="1:26">
      <c r="A7" s="13">
        <v>45849.625</v>
      </c>
      <c r="B7" s="14">
        <v>-379.85</v>
      </c>
      <c r="C7" s="15">
        <v>-467.17</v>
      </c>
      <c r="D7" s="15">
        <v>-0.59</v>
      </c>
      <c r="E7" s="15">
        <v>919.42</v>
      </c>
      <c r="F7" s="15">
        <v>3972.11</v>
      </c>
      <c r="G7" s="15">
        <v>12.25</v>
      </c>
      <c r="H7" s="15">
        <v>179.83</v>
      </c>
      <c r="I7" s="15">
        <v>37.979999999999997</v>
      </c>
      <c r="J7" s="15">
        <v>78.8</v>
      </c>
      <c r="K7" s="15">
        <v>0</v>
      </c>
      <c r="L7" s="15">
        <v>1832.99</v>
      </c>
      <c r="M7" s="15">
        <v>1392.68</v>
      </c>
      <c r="N7" s="15">
        <v>1963.82</v>
      </c>
      <c r="O7" s="15">
        <v>16.97</v>
      </c>
      <c r="P7" s="15">
        <v>0.14000000000000001</v>
      </c>
      <c r="Q7" s="15">
        <v>239.01</v>
      </c>
      <c r="R7" s="15">
        <v>1788.98</v>
      </c>
      <c r="S7" s="15">
        <v>0.39</v>
      </c>
      <c r="T7" s="15">
        <v>33.43</v>
      </c>
      <c r="U7" s="15">
        <v>11.44</v>
      </c>
      <c r="V7" s="15">
        <v>384.44</v>
      </c>
      <c r="W7" s="16">
        <v>46.74</v>
      </c>
      <c r="X7" s="19" t="str">
        <f>TEXT(Table4_1[[#This Row],[date]], "hh:mm")</f>
        <v>15:00</v>
      </c>
      <c r="Y7" s="25" t="str">
        <f t="shared" si="0"/>
        <v/>
      </c>
      <c r="Z7" s="22">
        <v>0</v>
      </c>
    </row>
    <row r="8" spans="1:26">
      <c r="A8" s="13">
        <v>45849.645833333336</v>
      </c>
      <c r="B8" s="14">
        <v>-100.81</v>
      </c>
      <c r="C8" s="15">
        <v>-436.42</v>
      </c>
      <c r="D8" s="15">
        <v>-125.35</v>
      </c>
      <c r="E8" s="15">
        <v>885.51</v>
      </c>
      <c r="F8" s="15">
        <v>4521.03</v>
      </c>
      <c r="G8" s="15">
        <v>11.73</v>
      </c>
      <c r="H8" s="15">
        <v>190</v>
      </c>
      <c r="I8" s="15">
        <v>38.64</v>
      </c>
      <c r="J8" s="15">
        <v>235.41</v>
      </c>
      <c r="K8" s="15">
        <v>0</v>
      </c>
      <c r="L8" s="15">
        <v>1820.41</v>
      </c>
      <c r="M8" s="15">
        <v>1220.54</v>
      </c>
      <c r="N8" s="15">
        <v>1440.64</v>
      </c>
      <c r="O8" s="15">
        <v>16.91</v>
      </c>
      <c r="P8" s="15">
        <v>31.3</v>
      </c>
      <c r="Q8" s="15">
        <v>207.77</v>
      </c>
      <c r="R8" s="15">
        <v>2041.49</v>
      </c>
      <c r="S8" s="15">
        <v>0.37</v>
      </c>
      <c r="T8" s="15">
        <v>35.32</v>
      </c>
      <c r="U8" s="15">
        <v>11.63</v>
      </c>
      <c r="V8" s="15">
        <v>430.63</v>
      </c>
      <c r="W8" s="16">
        <v>-11.05</v>
      </c>
      <c r="X8" s="19" t="str">
        <f>TEXT(Table4_1[[#This Row],[date]], "hh:mm")</f>
        <v>15:30</v>
      </c>
      <c r="Y8" s="25" t="str">
        <f t="shared" si="0"/>
        <v/>
      </c>
      <c r="Z8" s="22">
        <v>0</v>
      </c>
    </row>
    <row r="9" spans="1:26">
      <c r="A9" s="13">
        <v>45849.666666666664</v>
      </c>
      <c r="B9" s="14">
        <v>-84.16</v>
      </c>
      <c r="C9" s="15">
        <v>-230.55</v>
      </c>
      <c r="D9" s="15">
        <v>-105.76</v>
      </c>
      <c r="E9" s="15">
        <v>751.42</v>
      </c>
      <c r="F9" s="15">
        <v>5370.25</v>
      </c>
      <c r="G9" s="15">
        <v>13.43</v>
      </c>
      <c r="H9" s="15">
        <v>199.67</v>
      </c>
      <c r="I9" s="15">
        <v>40.81</v>
      </c>
      <c r="J9" s="15">
        <v>60.13</v>
      </c>
      <c r="K9" s="15">
        <v>11.96</v>
      </c>
      <c r="L9" s="15">
        <v>1870.99</v>
      </c>
      <c r="M9" s="15">
        <v>1049.7</v>
      </c>
      <c r="N9" s="15">
        <v>914.26</v>
      </c>
      <c r="O9" s="15">
        <v>16.22</v>
      </c>
      <c r="P9" s="15">
        <v>29.46</v>
      </c>
      <c r="Q9" s="15">
        <v>200.61</v>
      </c>
      <c r="R9" s="15">
        <v>2430.58</v>
      </c>
      <c r="S9" s="15">
        <v>0.42</v>
      </c>
      <c r="T9" s="15">
        <v>37.119999999999997</v>
      </c>
      <c r="U9" s="15">
        <v>12.29</v>
      </c>
      <c r="V9" s="15">
        <v>503.02</v>
      </c>
      <c r="W9" s="16">
        <v>37.74</v>
      </c>
      <c r="X9" s="19" t="str">
        <f>TEXT(Table4_1[[#This Row],[date]], "hh:mm")</f>
        <v>16:00</v>
      </c>
      <c r="Y9" s="25" t="str">
        <f t="shared" si="0"/>
        <v/>
      </c>
      <c r="Z9" s="22">
        <v>0</v>
      </c>
    </row>
    <row r="10" spans="1:26">
      <c r="A10" s="13">
        <v>45849.6875</v>
      </c>
      <c r="B10" s="14">
        <v>-307.23</v>
      </c>
      <c r="C10" s="15">
        <v>0</v>
      </c>
      <c r="D10" s="15">
        <v>-157.65</v>
      </c>
      <c r="E10" s="15">
        <v>754.07</v>
      </c>
      <c r="F10" s="15">
        <v>6233.9</v>
      </c>
      <c r="G10" s="15">
        <v>1.38</v>
      </c>
      <c r="H10" s="15">
        <v>345.83</v>
      </c>
      <c r="I10" s="15">
        <v>41.5</v>
      </c>
      <c r="J10" s="15">
        <v>186.7</v>
      </c>
      <c r="K10" s="15">
        <v>76.8</v>
      </c>
      <c r="L10" s="15">
        <v>1904.08</v>
      </c>
      <c r="M10" s="15">
        <v>592.71</v>
      </c>
      <c r="N10" s="15">
        <v>440.91</v>
      </c>
      <c r="O10" s="15">
        <v>15.82</v>
      </c>
      <c r="P10" s="15">
        <v>48.61</v>
      </c>
      <c r="Q10" s="15">
        <v>237.38</v>
      </c>
      <c r="R10" s="15">
        <v>2824.61</v>
      </c>
      <c r="S10" s="15">
        <v>0.46</v>
      </c>
      <c r="T10" s="15">
        <v>64.290000000000006</v>
      </c>
      <c r="U10" s="15">
        <v>12.7</v>
      </c>
      <c r="V10" s="15">
        <v>573.92999999999995</v>
      </c>
      <c r="W10" s="16">
        <v>63.4</v>
      </c>
      <c r="X10" s="19" t="str">
        <f>TEXT(Table4_1[[#This Row],[date]], "hh:mm")</f>
        <v>16:30</v>
      </c>
      <c r="Y10" s="25" t="str">
        <f t="shared" si="0"/>
        <v/>
      </c>
      <c r="Z10" s="22">
        <v>0</v>
      </c>
    </row>
    <row r="11" spans="1:26">
      <c r="A11" s="13">
        <v>45849.708333333336</v>
      </c>
      <c r="B11" s="14">
        <v>-300.85000000000002</v>
      </c>
      <c r="C11" s="15">
        <v>0</v>
      </c>
      <c r="D11" s="15">
        <v>-200.52</v>
      </c>
      <c r="E11" s="15">
        <v>638.88</v>
      </c>
      <c r="F11" s="15">
        <v>6792.19</v>
      </c>
      <c r="G11" s="15">
        <v>-0.54</v>
      </c>
      <c r="H11" s="15">
        <v>447.33</v>
      </c>
      <c r="I11" s="15">
        <v>159.38</v>
      </c>
      <c r="J11" s="15">
        <v>279.3</v>
      </c>
      <c r="K11" s="15">
        <v>506.54</v>
      </c>
      <c r="L11" s="15">
        <v>1924.31</v>
      </c>
      <c r="M11" s="15">
        <v>166.79</v>
      </c>
      <c r="N11" s="15">
        <v>116.99</v>
      </c>
      <c r="O11" s="15">
        <v>15.44</v>
      </c>
      <c r="P11" s="15">
        <v>62.35</v>
      </c>
      <c r="Q11" s="15">
        <v>223.1</v>
      </c>
      <c r="R11" s="15">
        <v>3078.15</v>
      </c>
      <c r="S11" s="15">
        <v>0.45</v>
      </c>
      <c r="T11" s="15">
        <v>83.16</v>
      </c>
      <c r="U11" s="15">
        <v>45.76</v>
      </c>
      <c r="V11" s="15">
        <v>609.23</v>
      </c>
      <c r="W11" s="16">
        <v>100.59</v>
      </c>
      <c r="X11" s="19" t="str">
        <f>TEXT(Table4_1[[#This Row],[date]], "hh:mm")</f>
        <v>17:00</v>
      </c>
      <c r="Y11" s="25" t="str">
        <f t="shared" si="0"/>
        <v/>
      </c>
      <c r="Z11" s="22">
        <v>0</v>
      </c>
    </row>
    <row r="12" spans="1:26">
      <c r="A12" s="13">
        <v>45849.729166666664</v>
      </c>
      <c r="B12" s="14">
        <v>-60.4</v>
      </c>
      <c r="C12" s="15">
        <v>0</v>
      </c>
      <c r="D12" s="15">
        <v>-208.53</v>
      </c>
      <c r="E12" s="15">
        <v>614.17999999999995</v>
      </c>
      <c r="F12" s="15">
        <v>7173.65</v>
      </c>
      <c r="G12" s="15">
        <v>-1.78</v>
      </c>
      <c r="H12" s="15">
        <v>445.5</v>
      </c>
      <c r="I12" s="15">
        <v>207.84</v>
      </c>
      <c r="J12" s="15">
        <v>202.42</v>
      </c>
      <c r="K12" s="15">
        <v>692.02</v>
      </c>
      <c r="L12" s="15">
        <v>1944.45</v>
      </c>
      <c r="M12" s="15">
        <v>8.5399999999999991</v>
      </c>
      <c r="N12" s="15">
        <v>12.03</v>
      </c>
      <c r="O12" s="15">
        <v>15.12</v>
      </c>
      <c r="P12" s="15">
        <v>65.650000000000006</v>
      </c>
      <c r="Q12" s="15">
        <v>219.51</v>
      </c>
      <c r="R12" s="15">
        <v>3248.93</v>
      </c>
      <c r="S12" s="15">
        <v>0.44</v>
      </c>
      <c r="T12" s="15">
        <v>82.82</v>
      </c>
      <c r="U12" s="15">
        <v>59.43</v>
      </c>
      <c r="V12" s="15">
        <v>614.98</v>
      </c>
      <c r="W12" s="16">
        <v>135.19999999999999</v>
      </c>
      <c r="X12" s="19" t="str">
        <f>TEXT(Table4_1[[#This Row],[date]], "hh:mm")</f>
        <v>17:30</v>
      </c>
      <c r="Y12" s="25" t="str">
        <f t="shared" si="0"/>
        <v/>
      </c>
      <c r="Z12" s="22">
        <v>0</v>
      </c>
    </row>
    <row r="13" spans="1:26">
      <c r="A13" s="13">
        <v>45849.75</v>
      </c>
      <c r="B13" s="14">
        <v>-2.2799999999999998</v>
      </c>
      <c r="C13" s="15">
        <v>0</v>
      </c>
      <c r="D13" s="15">
        <v>-487.92</v>
      </c>
      <c r="E13" s="15">
        <v>372.96</v>
      </c>
      <c r="F13" s="15">
        <v>7371.04</v>
      </c>
      <c r="G13" s="15">
        <v>-1.23</v>
      </c>
      <c r="H13" s="15">
        <v>445.5</v>
      </c>
      <c r="I13" s="15">
        <v>208.9</v>
      </c>
      <c r="J13" s="15">
        <v>204.59</v>
      </c>
      <c r="K13" s="15">
        <v>993.21</v>
      </c>
      <c r="L13" s="15">
        <v>1999.15</v>
      </c>
      <c r="M13" s="15">
        <v>0.02</v>
      </c>
      <c r="N13" s="15">
        <v>0.09</v>
      </c>
      <c r="O13" s="15">
        <v>14.85</v>
      </c>
      <c r="P13" s="15">
        <v>150.97</v>
      </c>
      <c r="Q13" s="15">
        <v>131.74</v>
      </c>
      <c r="R13" s="15">
        <v>3337.58</v>
      </c>
      <c r="S13" s="15">
        <v>0.44</v>
      </c>
      <c r="T13" s="15">
        <v>82.82</v>
      </c>
      <c r="U13" s="15">
        <v>59.74</v>
      </c>
      <c r="V13" s="15">
        <v>626.9</v>
      </c>
      <c r="W13" s="16">
        <v>163.44999999999999</v>
      </c>
      <c r="X13" s="19" t="str">
        <f>TEXT(Table4_1[[#This Row],[date]], "hh:mm")</f>
        <v>18:00</v>
      </c>
      <c r="Y13" s="25" t="str">
        <f t="shared" si="0"/>
        <v/>
      </c>
      <c r="Z13" s="22">
        <v>0</v>
      </c>
    </row>
    <row r="14" spans="1:26">
      <c r="A14" s="13">
        <v>45849.770833333336</v>
      </c>
      <c r="B14" s="14">
        <v>-2.2000000000000002</v>
      </c>
      <c r="C14" s="15">
        <v>0</v>
      </c>
      <c r="D14" s="15">
        <v>-510.44</v>
      </c>
      <c r="E14" s="15">
        <v>358.28</v>
      </c>
      <c r="F14" s="15">
        <v>7404.26</v>
      </c>
      <c r="G14" s="15">
        <v>-0.77</v>
      </c>
      <c r="H14" s="15">
        <v>445.33</v>
      </c>
      <c r="I14" s="15">
        <v>208.73</v>
      </c>
      <c r="J14" s="15">
        <v>254.8</v>
      </c>
      <c r="K14" s="15">
        <v>941.37</v>
      </c>
      <c r="L14" s="15">
        <v>2028.92</v>
      </c>
      <c r="M14" s="15">
        <v>0.02</v>
      </c>
      <c r="N14" s="15">
        <v>0</v>
      </c>
      <c r="O14" s="15">
        <v>14.73</v>
      </c>
      <c r="P14" s="15">
        <v>157.80000000000001</v>
      </c>
      <c r="Q14" s="15">
        <v>125.88</v>
      </c>
      <c r="R14" s="15">
        <v>3352.88</v>
      </c>
      <c r="S14" s="15">
        <v>0.44</v>
      </c>
      <c r="T14" s="15">
        <v>82.79</v>
      </c>
      <c r="U14" s="15">
        <v>59.68</v>
      </c>
      <c r="V14" s="15">
        <v>628.27</v>
      </c>
      <c r="W14" s="16">
        <v>129.05000000000001</v>
      </c>
      <c r="X14" s="19" t="str">
        <f>TEXT(Table4_1[[#This Row],[date]], "hh:mm")</f>
        <v>18:30</v>
      </c>
      <c r="Y14" s="25" t="str">
        <f t="shared" si="0"/>
        <v/>
      </c>
      <c r="Z14" s="22">
        <v>0</v>
      </c>
    </row>
    <row r="15" spans="1:26">
      <c r="A15" s="13">
        <v>45849.791666666664</v>
      </c>
      <c r="B15" s="14">
        <v>-3.18</v>
      </c>
      <c r="C15" s="15">
        <v>0</v>
      </c>
      <c r="D15" s="15">
        <v>-501.92</v>
      </c>
      <c r="E15" s="15">
        <v>369.47</v>
      </c>
      <c r="F15" s="15">
        <v>7406.87</v>
      </c>
      <c r="G15" s="15">
        <v>-0.91</v>
      </c>
      <c r="H15" s="15">
        <v>446</v>
      </c>
      <c r="I15" s="15">
        <v>207.75</v>
      </c>
      <c r="J15" s="15">
        <v>132.97999999999999</v>
      </c>
      <c r="K15" s="15">
        <v>961.9</v>
      </c>
      <c r="L15" s="15">
        <v>1986.17</v>
      </c>
      <c r="M15" s="15">
        <v>0.02</v>
      </c>
      <c r="N15" s="15">
        <v>0</v>
      </c>
      <c r="O15" s="15">
        <v>13.97</v>
      </c>
      <c r="P15" s="15">
        <v>157.35</v>
      </c>
      <c r="Q15" s="15">
        <v>129.35</v>
      </c>
      <c r="R15" s="15">
        <v>3354</v>
      </c>
      <c r="S15" s="15">
        <v>0.44</v>
      </c>
      <c r="T15" s="15">
        <v>82.91</v>
      </c>
      <c r="U15" s="15">
        <v>59.38</v>
      </c>
      <c r="V15" s="15">
        <v>635.47</v>
      </c>
      <c r="W15" s="16">
        <v>133.6</v>
      </c>
      <c r="X15" s="19" t="str">
        <f>TEXT(Table4_1[[#This Row],[date]], "hh:mm")</f>
        <v>19:00</v>
      </c>
      <c r="Y15" s="25" t="str">
        <f t="shared" si="0"/>
        <v/>
      </c>
      <c r="Z15" s="22">
        <v>0</v>
      </c>
    </row>
    <row r="16" spans="1:26">
      <c r="A16" s="13">
        <v>45849.8125</v>
      </c>
      <c r="B16" s="14">
        <v>-4.08</v>
      </c>
      <c r="C16" s="15">
        <v>0</v>
      </c>
      <c r="D16" s="15">
        <v>-551.23</v>
      </c>
      <c r="E16" s="15">
        <v>423.87</v>
      </c>
      <c r="F16" s="15">
        <v>7405.12</v>
      </c>
      <c r="G16" s="15">
        <v>-0.89</v>
      </c>
      <c r="H16" s="15">
        <v>445.83</v>
      </c>
      <c r="I16" s="15">
        <v>208.19</v>
      </c>
      <c r="J16" s="15">
        <v>61.78</v>
      </c>
      <c r="K16" s="15">
        <v>967.99</v>
      </c>
      <c r="L16" s="15">
        <v>1944.55</v>
      </c>
      <c r="M16" s="15">
        <v>0.02</v>
      </c>
      <c r="N16" s="15">
        <v>0</v>
      </c>
      <c r="O16" s="15">
        <v>13.17</v>
      </c>
      <c r="P16" s="15">
        <v>174.28</v>
      </c>
      <c r="Q16" s="15">
        <v>144.09</v>
      </c>
      <c r="R16" s="15">
        <v>3353.18</v>
      </c>
      <c r="S16" s="15">
        <v>0.44</v>
      </c>
      <c r="T16" s="15">
        <v>82.88</v>
      </c>
      <c r="U16" s="15">
        <v>59.5</v>
      </c>
      <c r="V16" s="15">
        <v>641.4</v>
      </c>
      <c r="W16" s="16">
        <v>123.74</v>
      </c>
      <c r="X16" s="19" t="str">
        <f>TEXT(Table4_1[[#This Row],[date]], "hh:mm")</f>
        <v>19:30</v>
      </c>
      <c r="Y16" s="25" t="str">
        <f t="shared" si="0"/>
        <v/>
      </c>
      <c r="Z16" s="22">
        <v>0</v>
      </c>
    </row>
    <row r="17" spans="1:26">
      <c r="A17" s="13">
        <v>45849.833333333336</v>
      </c>
      <c r="B17" s="14">
        <v>-1.94</v>
      </c>
      <c r="C17" s="15">
        <v>0</v>
      </c>
      <c r="D17" s="15">
        <v>-558.29</v>
      </c>
      <c r="E17" s="15">
        <v>391.52</v>
      </c>
      <c r="F17" s="15">
        <v>7406.79</v>
      </c>
      <c r="G17" s="15">
        <v>-0.47</v>
      </c>
      <c r="H17" s="15">
        <v>446</v>
      </c>
      <c r="I17" s="15">
        <v>202.7</v>
      </c>
      <c r="J17" s="15">
        <v>51.27</v>
      </c>
      <c r="K17" s="15">
        <v>963.75</v>
      </c>
      <c r="L17" s="15">
        <v>1893.48</v>
      </c>
      <c r="M17" s="15">
        <v>0.02</v>
      </c>
      <c r="N17" s="15">
        <v>0</v>
      </c>
      <c r="O17" s="15">
        <v>13.17</v>
      </c>
      <c r="P17" s="15">
        <v>177.6</v>
      </c>
      <c r="Q17" s="15">
        <v>133.1</v>
      </c>
      <c r="R17" s="15">
        <v>3353.85</v>
      </c>
      <c r="S17" s="15">
        <v>0.44</v>
      </c>
      <c r="T17" s="15">
        <v>82.91</v>
      </c>
      <c r="U17" s="15">
        <v>57.97</v>
      </c>
      <c r="V17" s="15">
        <v>647.57000000000005</v>
      </c>
      <c r="W17" s="16">
        <v>111.94</v>
      </c>
      <c r="X17" s="19" t="str">
        <f>TEXT(Table4_1[[#This Row],[date]], "hh:mm")</f>
        <v>20:00</v>
      </c>
      <c r="Y17" s="25" t="str">
        <f t="shared" si="0"/>
        <v/>
      </c>
      <c r="Z17" s="22">
        <v>0</v>
      </c>
    </row>
    <row r="18" spans="1:26">
      <c r="A18" s="13">
        <v>45849.854166666664</v>
      </c>
      <c r="B18" s="14">
        <v>-3.76</v>
      </c>
      <c r="C18" s="15">
        <v>0</v>
      </c>
      <c r="D18" s="15">
        <v>-555.45000000000005</v>
      </c>
      <c r="E18" s="15">
        <v>426.23</v>
      </c>
      <c r="F18" s="15">
        <v>7394.76</v>
      </c>
      <c r="G18" s="15">
        <v>-0.82</v>
      </c>
      <c r="H18" s="15">
        <v>448.33</v>
      </c>
      <c r="I18" s="15">
        <v>134.81</v>
      </c>
      <c r="J18" s="15">
        <v>4.51</v>
      </c>
      <c r="K18" s="15">
        <v>940.19</v>
      </c>
      <c r="L18" s="15">
        <v>1840.63</v>
      </c>
      <c r="M18" s="15">
        <v>0.02</v>
      </c>
      <c r="N18" s="15">
        <v>0</v>
      </c>
      <c r="O18" s="15">
        <v>13.23</v>
      </c>
      <c r="P18" s="15">
        <v>178.64</v>
      </c>
      <c r="Q18" s="15">
        <v>144.19999999999999</v>
      </c>
      <c r="R18" s="15">
        <v>3347.24</v>
      </c>
      <c r="S18" s="15">
        <v>0.45</v>
      </c>
      <c r="T18" s="15">
        <v>83.35</v>
      </c>
      <c r="U18" s="15">
        <v>38.840000000000003</v>
      </c>
      <c r="V18" s="15">
        <v>652.88</v>
      </c>
      <c r="W18" s="16">
        <v>96.23</v>
      </c>
      <c r="X18" s="19" t="str">
        <f>TEXT(Table4_1[[#This Row],[date]], "hh:mm")</f>
        <v>20:30</v>
      </c>
      <c r="Y18" s="25" t="str">
        <f t="shared" si="0"/>
        <v/>
      </c>
      <c r="Z18" s="22">
        <v>0</v>
      </c>
    </row>
    <row r="19" spans="1:26">
      <c r="A19" s="13">
        <v>45849.875</v>
      </c>
      <c r="B19" s="14">
        <v>-4.08</v>
      </c>
      <c r="C19" s="15">
        <v>0</v>
      </c>
      <c r="D19" s="15">
        <v>-561.46</v>
      </c>
      <c r="E19" s="15">
        <v>480.95</v>
      </c>
      <c r="F19" s="15">
        <v>7400.16</v>
      </c>
      <c r="G19" s="15">
        <v>-1.1000000000000001</v>
      </c>
      <c r="H19" s="15">
        <v>446.83</v>
      </c>
      <c r="I19" s="15">
        <v>43.05</v>
      </c>
      <c r="J19" s="15">
        <v>6.95</v>
      </c>
      <c r="K19" s="15">
        <v>890.52</v>
      </c>
      <c r="L19" s="15">
        <v>1711.43</v>
      </c>
      <c r="M19" s="15">
        <v>0.02</v>
      </c>
      <c r="N19" s="15">
        <v>0</v>
      </c>
      <c r="O19" s="15">
        <v>12.78</v>
      </c>
      <c r="P19" s="15">
        <v>183.5</v>
      </c>
      <c r="Q19" s="15">
        <v>166.51</v>
      </c>
      <c r="R19" s="15">
        <v>3349.59</v>
      </c>
      <c r="S19" s="15">
        <v>0.45</v>
      </c>
      <c r="T19" s="15">
        <v>83.07</v>
      </c>
      <c r="U19" s="15">
        <v>12.96</v>
      </c>
      <c r="V19" s="15">
        <v>661.86</v>
      </c>
      <c r="W19" s="16">
        <v>96.52</v>
      </c>
      <c r="X19" s="19" t="str">
        <f>TEXT(Table4_1[[#This Row],[date]], "hh:mm")</f>
        <v>21:00</v>
      </c>
      <c r="Y19" s="25" t="str">
        <f t="shared" si="0"/>
        <v/>
      </c>
      <c r="Z19" s="22">
        <v>0</v>
      </c>
    </row>
    <row r="20" spans="1:26">
      <c r="A20" s="13">
        <v>45849.895833333336</v>
      </c>
      <c r="B20" s="14">
        <v>-4.13</v>
      </c>
      <c r="C20" s="15">
        <v>0</v>
      </c>
      <c r="D20" s="15">
        <v>-599.28</v>
      </c>
      <c r="E20" s="15">
        <v>609.55999999999995</v>
      </c>
      <c r="F20" s="15">
        <v>7394.61</v>
      </c>
      <c r="G20" s="15">
        <v>-0.79</v>
      </c>
      <c r="H20" s="15">
        <v>445.67</v>
      </c>
      <c r="I20" s="15">
        <v>42.96</v>
      </c>
      <c r="J20" s="15">
        <v>2.73</v>
      </c>
      <c r="K20" s="15">
        <v>579.07000000000005</v>
      </c>
      <c r="L20" s="15">
        <v>1597.28</v>
      </c>
      <c r="M20" s="15">
        <v>0.02</v>
      </c>
      <c r="N20" s="15">
        <v>0</v>
      </c>
      <c r="O20" s="15">
        <v>12.54</v>
      </c>
      <c r="P20" s="15">
        <v>204.56</v>
      </c>
      <c r="Q20" s="15">
        <v>205.62</v>
      </c>
      <c r="R20" s="15">
        <v>3347.11</v>
      </c>
      <c r="S20" s="15">
        <v>0.45</v>
      </c>
      <c r="T20" s="15">
        <v>82.85</v>
      </c>
      <c r="U20" s="15">
        <v>12.94</v>
      </c>
      <c r="V20" s="15">
        <v>684.04</v>
      </c>
      <c r="W20" s="16">
        <v>106.16</v>
      </c>
      <c r="X20" s="19" t="str">
        <f>TEXT(Table4_1[[#This Row],[date]], "hh:mm")</f>
        <v>21:30</v>
      </c>
      <c r="Y20" s="25" t="str">
        <f t="shared" si="0"/>
        <v/>
      </c>
      <c r="Z20" s="22">
        <v>0</v>
      </c>
    </row>
    <row r="21" spans="1:26">
      <c r="A21" s="13">
        <v>45849.916666666664</v>
      </c>
      <c r="B21" s="14">
        <v>-3.78</v>
      </c>
      <c r="C21" s="15">
        <v>0</v>
      </c>
      <c r="D21" s="15">
        <v>-604.04</v>
      </c>
      <c r="E21" s="15">
        <v>591.14</v>
      </c>
      <c r="F21" s="15">
        <v>7344.47</v>
      </c>
      <c r="G21" s="15">
        <v>-0.79</v>
      </c>
      <c r="H21" s="15">
        <v>437.5</v>
      </c>
      <c r="I21" s="15">
        <v>43.81</v>
      </c>
      <c r="J21" s="15">
        <v>0.04</v>
      </c>
      <c r="K21" s="15">
        <v>453.65</v>
      </c>
      <c r="L21" s="15">
        <v>1542.07</v>
      </c>
      <c r="M21" s="15">
        <v>0.02</v>
      </c>
      <c r="N21" s="15">
        <v>0</v>
      </c>
      <c r="O21" s="15">
        <v>12.57</v>
      </c>
      <c r="P21" s="15">
        <v>209.6</v>
      </c>
      <c r="Q21" s="15">
        <v>199.86</v>
      </c>
      <c r="R21" s="15">
        <v>3324.68</v>
      </c>
      <c r="S21" s="15">
        <v>0.45</v>
      </c>
      <c r="T21" s="15">
        <v>81.33</v>
      </c>
      <c r="U21" s="15">
        <v>13.19</v>
      </c>
      <c r="V21" s="15">
        <v>697.6</v>
      </c>
      <c r="W21" s="16">
        <v>100.01</v>
      </c>
      <c r="X21" s="19" t="str">
        <f>TEXT(Table4_1[[#This Row],[date]], "hh:mm")</f>
        <v>22:00</v>
      </c>
      <c r="Y21" s="25" t="str">
        <f t="shared" si="0"/>
        <v/>
      </c>
      <c r="Z21" s="22">
        <v>0</v>
      </c>
    </row>
    <row r="22" spans="1:26">
      <c r="A22" s="13">
        <v>45849.9375</v>
      </c>
      <c r="B22" s="14">
        <v>-3.23</v>
      </c>
      <c r="C22" s="15">
        <v>0</v>
      </c>
      <c r="D22" s="15">
        <v>-480.9</v>
      </c>
      <c r="E22" s="15">
        <v>399.6</v>
      </c>
      <c r="F22" s="15">
        <v>7331.12</v>
      </c>
      <c r="G22" s="15">
        <v>-0.99</v>
      </c>
      <c r="H22" s="15">
        <v>448.67</v>
      </c>
      <c r="I22" s="15">
        <v>44.19</v>
      </c>
      <c r="J22" s="15">
        <v>13.33</v>
      </c>
      <c r="K22" s="15">
        <v>419</v>
      </c>
      <c r="L22" s="15">
        <v>1524.18</v>
      </c>
      <c r="M22" s="15">
        <v>0.02</v>
      </c>
      <c r="N22" s="15">
        <v>0</v>
      </c>
      <c r="O22" s="15">
        <v>12.54</v>
      </c>
      <c r="P22" s="15">
        <v>167.51</v>
      </c>
      <c r="Q22" s="15">
        <v>135.80000000000001</v>
      </c>
      <c r="R22" s="15">
        <v>3318.79</v>
      </c>
      <c r="S22" s="15">
        <v>0.45</v>
      </c>
      <c r="T22" s="15">
        <v>83.41</v>
      </c>
      <c r="U22" s="15">
        <v>13.31</v>
      </c>
      <c r="V22" s="15">
        <v>704.69</v>
      </c>
      <c r="W22" s="16">
        <v>100.01</v>
      </c>
      <c r="X22" s="19" t="str">
        <f>TEXT(Table4_1[[#This Row],[date]], "hh:mm")</f>
        <v>22:30</v>
      </c>
      <c r="Y22" s="25" t="str">
        <f t="shared" si="0"/>
        <v/>
      </c>
      <c r="Z22" s="22">
        <v>0</v>
      </c>
    </row>
    <row r="23" spans="1:26">
      <c r="A23" s="13">
        <v>45849.958333333336</v>
      </c>
      <c r="B23" s="14">
        <v>-3.47</v>
      </c>
      <c r="C23" s="15">
        <v>0</v>
      </c>
      <c r="D23" s="15">
        <v>-487.3</v>
      </c>
      <c r="E23" s="15">
        <v>406.69</v>
      </c>
      <c r="F23" s="15">
        <v>7136.3</v>
      </c>
      <c r="G23" s="15">
        <v>-0.71</v>
      </c>
      <c r="H23" s="15">
        <v>440.5</v>
      </c>
      <c r="I23" s="15">
        <v>44.26</v>
      </c>
      <c r="J23" s="15">
        <v>8.36</v>
      </c>
      <c r="K23" s="15">
        <v>426.01</v>
      </c>
      <c r="L23" s="15">
        <v>1476.49</v>
      </c>
      <c r="M23" s="15">
        <v>0.02</v>
      </c>
      <c r="N23" s="15">
        <v>0</v>
      </c>
      <c r="O23" s="15">
        <v>12.76</v>
      </c>
      <c r="P23" s="15">
        <v>169.68</v>
      </c>
      <c r="Q23" s="15">
        <v>138.15</v>
      </c>
      <c r="R23" s="15">
        <v>3231.86</v>
      </c>
      <c r="S23" s="15">
        <v>0.44</v>
      </c>
      <c r="T23" s="15">
        <v>81.89</v>
      </c>
      <c r="U23" s="15">
        <v>13.33</v>
      </c>
      <c r="V23" s="15">
        <v>704.45</v>
      </c>
      <c r="W23" s="16">
        <v>100.01</v>
      </c>
      <c r="X23" s="19" t="str">
        <f>TEXT(Table4_1[[#This Row],[date]], "hh:mm")</f>
        <v>23:00</v>
      </c>
      <c r="Y23" s="25" t="str">
        <f t="shared" si="0"/>
        <v/>
      </c>
      <c r="Z23" s="22">
        <v>0</v>
      </c>
    </row>
    <row r="24" spans="1:26">
      <c r="A24" s="13">
        <v>45849.979166666664</v>
      </c>
      <c r="B24" s="14">
        <v>-8.66</v>
      </c>
      <c r="C24" s="15">
        <v>0</v>
      </c>
      <c r="D24" s="15">
        <v>-480.83</v>
      </c>
      <c r="E24" s="15">
        <v>473.88</v>
      </c>
      <c r="F24" s="15">
        <v>6924.32</v>
      </c>
      <c r="G24" s="15">
        <v>-1.29</v>
      </c>
      <c r="H24" s="15">
        <v>443</v>
      </c>
      <c r="I24" s="15">
        <v>43.43</v>
      </c>
      <c r="J24" s="15">
        <v>4.6500000000000004</v>
      </c>
      <c r="K24" s="15">
        <v>266.63</v>
      </c>
      <c r="L24" s="15">
        <v>1382.8</v>
      </c>
      <c r="M24" s="15">
        <v>0.02</v>
      </c>
      <c r="N24" s="15">
        <v>0</v>
      </c>
      <c r="O24" s="15">
        <v>12.91</v>
      </c>
      <c r="P24" s="15">
        <v>171.05</v>
      </c>
      <c r="Q24" s="15">
        <v>160.26</v>
      </c>
      <c r="R24" s="15">
        <v>3137.37</v>
      </c>
      <c r="S24" s="15">
        <v>0.44</v>
      </c>
      <c r="T24" s="15">
        <v>82.35</v>
      </c>
      <c r="U24" s="15">
        <v>13.08</v>
      </c>
      <c r="V24" s="15">
        <v>714.69</v>
      </c>
      <c r="W24" s="16">
        <v>99.24</v>
      </c>
      <c r="X24" s="19" t="str">
        <f>TEXT(Table4_1[[#This Row],[date]], "hh:mm")</f>
        <v>23:30</v>
      </c>
      <c r="Y24" s="25" t="str">
        <f t="shared" si="0"/>
        <v/>
      </c>
      <c r="Z24" s="22">
        <v>0</v>
      </c>
    </row>
    <row r="25" spans="1:26">
      <c r="A25" s="13">
        <v>45850</v>
      </c>
      <c r="B25" s="14">
        <v>-5.73</v>
      </c>
      <c r="C25" s="15">
        <v>0</v>
      </c>
      <c r="D25" s="15">
        <v>-525.99</v>
      </c>
      <c r="E25" s="15">
        <v>386.95</v>
      </c>
      <c r="F25" s="15">
        <v>6706.91</v>
      </c>
      <c r="G25" s="15">
        <v>-1.49</v>
      </c>
      <c r="H25" s="15">
        <v>357.83</v>
      </c>
      <c r="I25" s="15">
        <v>43.2</v>
      </c>
      <c r="J25" s="15">
        <v>5.28</v>
      </c>
      <c r="K25" s="15">
        <v>368.5</v>
      </c>
      <c r="L25" s="15">
        <v>1309.52</v>
      </c>
      <c r="M25" s="15">
        <v>0.02</v>
      </c>
      <c r="N25" s="15">
        <v>0</v>
      </c>
      <c r="O25" s="15">
        <v>13.14</v>
      </c>
      <c r="P25" s="15">
        <v>185.48</v>
      </c>
      <c r="Q25" s="15">
        <v>133.27000000000001</v>
      </c>
      <c r="R25" s="15">
        <v>3040.37</v>
      </c>
      <c r="S25" s="15">
        <v>0.44</v>
      </c>
      <c r="T25" s="15">
        <v>66.52</v>
      </c>
      <c r="U25" s="15">
        <v>13.01</v>
      </c>
      <c r="V25" s="15">
        <v>721.88</v>
      </c>
      <c r="W25" s="16">
        <v>88.25</v>
      </c>
      <c r="X25" s="19" t="str">
        <f>TEXT(Table4_1[[#This Row],[date]], "hh:mm")</f>
        <v>00:00</v>
      </c>
      <c r="Y25" s="25" t="str">
        <f t="shared" si="0"/>
        <v>12 Jul</v>
      </c>
      <c r="Z25" s="22">
        <v>0</v>
      </c>
    </row>
    <row r="26" spans="1:26">
      <c r="A26" s="13">
        <v>45850.020833333336</v>
      </c>
      <c r="B26" s="14">
        <v>-2.97</v>
      </c>
      <c r="C26" s="15">
        <v>0</v>
      </c>
      <c r="D26" s="15">
        <v>-597.52</v>
      </c>
      <c r="E26" s="15">
        <v>244.68</v>
      </c>
      <c r="F26" s="15">
        <v>6653.65</v>
      </c>
      <c r="G26" s="15">
        <v>-0.83</v>
      </c>
      <c r="H26" s="15">
        <v>300.5</v>
      </c>
      <c r="I26" s="15">
        <v>43.07</v>
      </c>
      <c r="J26" s="15">
        <v>5.2</v>
      </c>
      <c r="K26" s="15">
        <v>550.14</v>
      </c>
      <c r="L26" s="15">
        <v>1326.11</v>
      </c>
      <c r="M26" s="15">
        <v>0.02</v>
      </c>
      <c r="N26" s="15">
        <v>0</v>
      </c>
      <c r="O26" s="15">
        <v>13.11</v>
      </c>
      <c r="P26" s="15">
        <v>207.54</v>
      </c>
      <c r="Q26" s="15">
        <v>83.71</v>
      </c>
      <c r="R26" s="15">
        <v>3016.74</v>
      </c>
      <c r="S26" s="15">
        <v>0.44</v>
      </c>
      <c r="T26" s="15">
        <v>55.86</v>
      </c>
      <c r="U26" s="15">
        <v>12.97</v>
      </c>
      <c r="V26" s="15">
        <v>724.24</v>
      </c>
      <c r="W26" s="16">
        <v>78.92</v>
      </c>
      <c r="X26" s="19" t="str">
        <f>TEXT(Table4_1[[#This Row],[date]], "hh:mm")</f>
        <v>00:30</v>
      </c>
      <c r="Y26" s="25" t="str">
        <f t="shared" si="0"/>
        <v/>
      </c>
      <c r="Z26" s="22">
        <v>0</v>
      </c>
    </row>
    <row r="27" spans="1:26">
      <c r="A27" s="13">
        <v>45850.041666666664</v>
      </c>
      <c r="B27" s="14">
        <v>-6.6</v>
      </c>
      <c r="C27" s="15">
        <v>0</v>
      </c>
      <c r="D27" s="15">
        <v>-670.27</v>
      </c>
      <c r="E27" s="15">
        <v>357.03</v>
      </c>
      <c r="F27" s="15">
        <v>6514.32</v>
      </c>
      <c r="G27" s="15">
        <v>-0.99</v>
      </c>
      <c r="H27" s="15">
        <v>291.83</v>
      </c>
      <c r="I27" s="15">
        <v>43.06</v>
      </c>
      <c r="J27" s="15">
        <v>1.08</v>
      </c>
      <c r="K27" s="15">
        <v>554.45000000000005</v>
      </c>
      <c r="L27" s="15">
        <v>1360.1</v>
      </c>
      <c r="M27" s="15">
        <v>0.02</v>
      </c>
      <c r="N27" s="15">
        <v>0</v>
      </c>
      <c r="O27" s="15">
        <v>13.01</v>
      </c>
      <c r="P27" s="15">
        <v>230.46</v>
      </c>
      <c r="Q27" s="15">
        <v>122.7</v>
      </c>
      <c r="R27" s="15">
        <v>2954.58</v>
      </c>
      <c r="S27" s="15">
        <v>0.45</v>
      </c>
      <c r="T27" s="15">
        <v>54.25</v>
      </c>
      <c r="U27" s="15">
        <v>12.96</v>
      </c>
      <c r="V27" s="15">
        <v>715.83</v>
      </c>
      <c r="W27" s="16">
        <v>80.59</v>
      </c>
      <c r="X27" s="19" t="str">
        <f>TEXT(Table4_1[[#This Row],[date]], "hh:mm")</f>
        <v>01:00</v>
      </c>
      <c r="Y27" s="25" t="str">
        <f t="shared" si="0"/>
        <v/>
      </c>
      <c r="Z27" s="22">
        <v>0</v>
      </c>
    </row>
    <row r="28" spans="1:26">
      <c r="A28" s="13">
        <v>45850.0625</v>
      </c>
      <c r="B28" s="14">
        <v>-6.97</v>
      </c>
      <c r="C28" s="15">
        <v>0</v>
      </c>
      <c r="D28" s="15">
        <v>-476.18</v>
      </c>
      <c r="E28" s="15">
        <v>339.97</v>
      </c>
      <c r="F28" s="15">
        <v>6333.29</v>
      </c>
      <c r="G28" s="15">
        <v>-0.74</v>
      </c>
      <c r="H28" s="15">
        <v>194.17</v>
      </c>
      <c r="I28" s="15">
        <v>43.13</v>
      </c>
      <c r="J28" s="15">
        <v>2.64</v>
      </c>
      <c r="K28" s="15">
        <v>345.43</v>
      </c>
      <c r="L28" s="15">
        <v>1420.98</v>
      </c>
      <c r="M28" s="15">
        <v>0.02</v>
      </c>
      <c r="N28" s="15">
        <v>0</v>
      </c>
      <c r="O28" s="15">
        <v>12.89</v>
      </c>
      <c r="P28" s="15">
        <v>166.27</v>
      </c>
      <c r="Q28" s="15">
        <v>115.89</v>
      </c>
      <c r="R28" s="15">
        <v>2873.75</v>
      </c>
      <c r="S28" s="15">
        <v>0.45</v>
      </c>
      <c r="T28" s="15">
        <v>36.1</v>
      </c>
      <c r="U28" s="15">
        <v>12.99</v>
      </c>
      <c r="V28" s="15">
        <v>713.37</v>
      </c>
      <c r="W28" s="16">
        <v>82.29</v>
      </c>
      <c r="X28" s="19" t="str">
        <f>TEXT(Table4_1[[#This Row],[date]], "hh:mm")</f>
        <v>01:30</v>
      </c>
      <c r="Y28" s="25" t="str">
        <f t="shared" si="0"/>
        <v/>
      </c>
      <c r="Z28" s="22">
        <v>0</v>
      </c>
    </row>
    <row r="29" spans="1:26">
      <c r="A29" s="13">
        <v>45850.083333333336</v>
      </c>
      <c r="B29" s="14">
        <v>-12.24</v>
      </c>
      <c r="C29" s="15">
        <v>0</v>
      </c>
      <c r="D29" s="15">
        <v>-472.52</v>
      </c>
      <c r="E29" s="15">
        <v>468.28</v>
      </c>
      <c r="F29" s="15">
        <v>6183.43</v>
      </c>
      <c r="G29" s="15">
        <v>-0.75</v>
      </c>
      <c r="H29" s="15">
        <v>190</v>
      </c>
      <c r="I29" s="15">
        <v>43.12</v>
      </c>
      <c r="J29" s="15">
        <v>3.17</v>
      </c>
      <c r="K29" s="15">
        <v>245.01</v>
      </c>
      <c r="L29" s="15">
        <v>1340.77</v>
      </c>
      <c r="M29" s="15">
        <v>0.02</v>
      </c>
      <c r="N29" s="15">
        <v>0</v>
      </c>
      <c r="O29" s="15">
        <v>12.68</v>
      </c>
      <c r="P29" s="15">
        <v>168.05</v>
      </c>
      <c r="Q29" s="15">
        <v>159.94999999999999</v>
      </c>
      <c r="R29" s="15">
        <v>2806.97</v>
      </c>
      <c r="S29" s="15">
        <v>0.45</v>
      </c>
      <c r="T29" s="15">
        <v>35.32</v>
      </c>
      <c r="U29" s="15">
        <v>12.98</v>
      </c>
      <c r="V29" s="15">
        <v>714.98</v>
      </c>
      <c r="W29" s="16">
        <v>80.709999999999994</v>
      </c>
      <c r="X29" s="19" t="str">
        <f>TEXT(Table4_1[[#This Row],[date]], "hh:mm")</f>
        <v>02:00</v>
      </c>
      <c r="Y29" s="25" t="str">
        <f t="shared" si="0"/>
        <v/>
      </c>
      <c r="Z29" s="22">
        <v>0</v>
      </c>
    </row>
    <row r="30" spans="1:26">
      <c r="A30" s="13">
        <v>45850.104166666664</v>
      </c>
      <c r="B30" s="14">
        <v>-38.869999999999997</v>
      </c>
      <c r="C30" s="15">
        <v>0</v>
      </c>
      <c r="D30" s="15">
        <v>-507.07</v>
      </c>
      <c r="E30" s="15">
        <v>443.37</v>
      </c>
      <c r="F30" s="15">
        <v>6012.58</v>
      </c>
      <c r="G30" s="15">
        <v>-0.76</v>
      </c>
      <c r="H30" s="15">
        <v>190</v>
      </c>
      <c r="I30" s="15">
        <v>43.23</v>
      </c>
      <c r="J30" s="15">
        <v>2.41</v>
      </c>
      <c r="K30" s="15">
        <v>268.77</v>
      </c>
      <c r="L30" s="15">
        <v>1443.86</v>
      </c>
      <c r="M30" s="15">
        <v>0.02</v>
      </c>
      <c r="N30" s="15">
        <v>0</v>
      </c>
      <c r="O30" s="15">
        <v>12.95</v>
      </c>
      <c r="P30" s="15">
        <v>176.46</v>
      </c>
      <c r="Q30" s="15">
        <v>151.66</v>
      </c>
      <c r="R30" s="15">
        <v>2730.75</v>
      </c>
      <c r="S30" s="15">
        <v>0.45</v>
      </c>
      <c r="T30" s="15">
        <v>35.32</v>
      </c>
      <c r="U30" s="15">
        <v>13.02</v>
      </c>
      <c r="V30" s="15">
        <v>707.48</v>
      </c>
      <c r="W30" s="16">
        <v>84.85</v>
      </c>
      <c r="X30" s="19" t="str">
        <f>TEXT(Table4_1[[#This Row],[date]], "hh:mm")</f>
        <v>02:30</v>
      </c>
      <c r="Y30" s="25" t="str">
        <f t="shared" si="0"/>
        <v/>
      </c>
      <c r="Z30" s="22">
        <v>0</v>
      </c>
    </row>
    <row r="31" spans="1:26">
      <c r="A31" s="13">
        <v>45850.125</v>
      </c>
      <c r="B31" s="14">
        <v>-43.54</v>
      </c>
      <c r="C31" s="15">
        <v>0</v>
      </c>
      <c r="D31" s="15">
        <v>-435.67</v>
      </c>
      <c r="E31" s="15">
        <v>358.18</v>
      </c>
      <c r="F31" s="15">
        <v>5886.86</v>
      </c>
      <c r="G31" s="15">
        <v>-0.85</v>
      </c>
      <c r="H31" s="15">
        <v>190</v>
      </c>
      <c r="I31" s="15">
        <v>43.27</v>
      </c>
      <c r="J31" s="15">
        <v>2.5499999999999998</v>
      </c>
      <c r="K31" s="15">
        <v>154.43</v>
      </c>
      <c r="L31" s="15">
        <v>1499.18</v>
      </c>
      <c r="M31" s="15">
        <v>0.02</v>
      </c>
      <c r="N31" s="15">
        <v>0</v>
      </c>
      <c r="O31" s="15">
        <v>13.14</v>
      </c>
      <c r="P31" s="15">
        <v>152.13999999999999</v>
      </c>
      <c r="Q31" s="15">
        <v>121.17</v>
      </c>
      <c r="R31" s="15">
        <v>2674.14</v>
      </c>
      <c r="S31" s="15">
        <v>0.45</v>
      </c>
      <c r="T31" s="15">
        <v>35.32</v>
      </c>
      <c r="U31" s="15">
        <v>13.03</v>
      </c>
      <c r="V31" s="15">
        <v>711.47</v>
      </c>
      <c r="W31" s="16">
        <v>79.08</v>
      </c>
      <c r="X31" s="19" t="str">
        <f>TEXT(Table4_1[[#This Row],[date]], "hh:mm")</f>
        <v>03:00</v>
      </c>
      <c r="Y31" s="25" t="str">
        <f t="shared" si="0"/>
        <v/>
      </c>
      <c r="Z31" s="22">
        <v>0</v>
      </c>
    </row>
    <row r="32" spans="1:26">
      <c r="A32" s="13">
        <v>45850.145833333336</v>
      </c>
      <c r="B32" s="14">
        <v>-51.93</v>
      </c>
      <c r="C32" s="15">
        <v>0</v>
      </c>
      <c r="D32" s="15">
        <v>-431.77</v>
      </c>
      <c r="E32" s="15">
        <v>563.08000000000004</v>
      </c>
      <c r="F32" s="15">
        <v>5576.23</v>
      </c>
      <c r="G32" s="15">
        <v>-0.73</v>
      </c>
      <c r="H32" s="15">
        <v>190</v>
      </c>
      <c r="I32" s="15">
        <v>43.26</v>
      </c>
      <c r="J32" s="15">
        <v>0</v>
      </c>
      <c r="K32" s="15">
        <v>146.91999999999999</v>
      </c>
      <c r="L32" s="15">
        <v>1488.17</v>
      </c>
      <c r="M32" s="15">
        <v>0.02</v>
      </c>
      <c r="N32" s="15">
        <v>0</v>
      </c>
      <c r="O32" s="15">
        <v>12.94</v>
      </c>
      <c r="P32" s="15">
        <v>149.61000000000001</v>
      </c>
      <c r="Q32" s="15">
        <v>189.23</v>
      </c>
      <c r="R32" s="15">
        <v>2535.8000000000002</v>
      </c>
      <c r="S32" s="15">
        <v>0.45</v>
      </c>
      <c r="T32" s="15">
        <v>35.32</v>
      </c>
      <c r="U32" s="15">
        <v>13.03</v>
      </c>
      <c r="V32" s="15">
        <v>687.09</v>
      </c>
      <c r="W32" s="16">
        <v>84.85</v>
      </c>
      <c r="X32" s="19" t="str">
        <f>TEXT(Table4_1[[#This Row],[date]], "hh:mm")</f>
        <v>03:30</v>
      </c>
      <c r="Y32" s="25" t="str">
        <f t="shared" si="0"/>
        <v/>
      </c>
      <c r="Z32" s="22">
        <v>0</v>
      </c>
    </row>
    <row r="33" spans="1:35">
      <c r="A33" s="13">
        <v>45850.166666666664</v>
      </c>
      <c r="B33" s="14">
        <v>-30.81</v>
      </c>
      <c r="C33" s="15">
        <v>0</v>
      </c>
      <c r="D33" s="15">
        <v>-288.58999999999997</v>
      </c>
      <c r="E33" s="15">
        <v>550.07000000000005</v>
      </c>
      <c r="F33" s="15">
        <v>5208.9399999999996</v>
      </c>
      <c r="G33" s="15">
        <v>-1.29</v>
      </c>
      <c r="H33" s="15">
        <v>199</v>
      </c>
      <c r="I33" s="15">
        <v>43.36</v>
      </c>
      <c r="J33" s="15">
        <v>0.73</v>
      </c>
      <c r="K33" s="15">
        <v>151.85</v>
      </c>
      <c r="L33" s="15">
        <v>1509.53</v>
      </c>
      <c r="M33" s="15">
        <v>0.02</v>
      </c>
      <c r="N33" s="15">
        <v>0</v>
      </c>
      <c r="O33" s="15">
        <v>12.8</v>
      </c>
      <c r="P33" s="15">
        <v>98.12</v>
      </c>
      <c r="Q33" s="15">
        <v>184.56</v>
      </c>
      <c r="R33" s="15">
        <v>2372.3200000000002</v>
      </c>
      <c r="S33" s="15">
        <v>0.45</v>
      </c>
      <c r="T33" s="15">
        <v>36.99</v>
      </c>
      <c r="U33" s="15">
        <v>13.05</v>
      </c>
      <c r="V33" s="15">
        <v>659.92</v>
      </c>
      <c r="W33" s="16">
        <v>84.85</v>
      </c>
      <c r="X33" s="19" t="str">
        <f>TEXT(Table4_1[[#This Row],[date]], "hh:mm")</f>
        <v>04:00</v>
      </c>
      <c r="Y33" s="25" t="str">
        <f t="shared" si="0"/>
        <v/>
      </c>
      <c r="Z33" s="22">
        <v>0</v>
      </c>
      <c r="AI33" s="6"/>
    </row>
    <row r="34" spans="1:35">
      <c r="A34" s="13">
        <v>45850.1875</v>
      </c>
      <c r="B34" s="14">
        <v>-3.04</v>
      </c>
      <c r="C34" s="15">
        <v>0</v>
      </c>
      <c r="D34" s="15">
        <v>-146.09</v>
      </c>
      <c r="E34" s="15">
        <v>717.55</v>
      </c>
      <c r="F34" s="15">
        <v>4885.05</v>
      </c>
      <c r="G34" s="15">
        <v>-0.95</v>
      </c>
      <c r="H34" s="15">
        <v>208.33</v>
      </c>
      <c r="I34" s="15">
        <v>43.29</v>
      </c>
      <c r="J34" s="15">
        <v>1.2</v>
      </c>
      <c r="K34" s="15">
        <v>161.01</v>
      </c>
      <c r="L34" s="15">
        <v>1425.83</v>
      </c>
      <c r="M34" s="15">
        <v>0.02</v>
      </c>
      <c r="N34" s="15">
        <v>0</v>
      </c>
      <c r="O34" s="15">
        <v>12.66</v>
      </c>
      <c r="P34" s="15">
        <v>49.5</v>
      </c>
      <c r="Q34" s="15">
        <v>243.84</v>
      </c>
      <c r="R34" s="15">
        <v>2227.9499999999998</v>
      </c>
      <c r="S34" s="15">
        <v>0.45</v>
      </c>
      <c r="T34" s="15">
        <v>38.729999999999997</v>
      </c>
      <c r="U34" s="15">
        <v>13.04</v>
      </c>
      <c r="V34" s="15">
        <v>625.37</v>
      </c>
      <c r="W34" s="16">
        <v>85.11</v>
      </c>
      <c r="X34" s="19" t="str">
        <f>TEXT(Table4_1[[#This Row],[date]], "hh:mm")</f>
        <v>04:30</v>
      </c>
      <c r="Y34" s="25" t="str">
        <f t="shared" si="0"/>
        <v/>
      </c>
      <c r="Z34" s="22">
        <v>0</v>
      </c>
    </row>
    <row r="35" spans="1:35">
      <c r="A35" s="13">
        <v>45850.208333333336</v>
      </c>
      <c r="B35" s="14">
        <v>-3.4</v>
      </c>
      <c r="C35" s="15">
        <v>0</v>
      </c>
      <c r="D35" s="15">
        <v>-30.49</v>
      </c>
      <c r="E35" s="15">
        <v>825.98</v>
      </c>
      <c r="F35" s="15">
        <v>4551.1000000000004</v>
      </c>
      <c r="G35" s="15">
        <v>-0.84</v>
      </c>
      <c r="H35" s="15">
        <v>258.33</v>
      </c>
      <c r="I35" s="15">
        <v>43.34</v>
      </c>
      <c r="J35" s="15">
        <v>5.23</v>
      </c>
      <c r="K35" s="15">
        <v>165.47</v>
      </c>
      <c r="L35" s="15">
        <v>1482.43</v>
      </c>
      <c r="M35" s="15">
        <v>0.02</v>
      </c>
      <c r="N35" s="15">
        <v>0</v>
      </c>
      <c r="O35" s="15">
        <v>12.87</v>
      </c>
      <c r="P35" s="15">
        <v>10.050000000000001</v>
      </c>
      <c r="Q35" s="15">
        <v>283.58</v>
      </c>
      <c r="R35" s="15">
        <v>2078.98</v>
      </c>
      <c r="S35" s="15">
        <v>0.44</v>
      </c>
      <c r="T35" s="15">
        <v>48.02</v>
      </c>
      <c r="U35" s="15">
        <v>13.25</v>
      </c>
      <c r="V35" s="15">
        <v>586.72</v>
      </c>
      <c r="W35" s="16">
        <v>84.85</v>
      </c>
      <c r="X35" s="19" t="str">
        <f>TEXT(Table4_1[[#This Row],[date]], "hh:mm")</f>
        <v>05:00</v>
      </c>
      <c r="Y35" s="25" t="str">
        <f t="shared" si="0"/>
        <v/>
      </c>
      <c r="Z35" s="22">
        <v>0</v>
      </c>
    </row>
    <row r="36" spans="1:35">
      <c r="A36" s="13">
        <v>45850.229166666664</v>
      </c>
      <c r="B36" s="14">
        <v>-3.83</v>
      </c>
      <c r="C36" s="15">
        <v>0</v>
      </c>
      <c r="D36" s="15">
        <v>0</v>
      </c>
      <c r="E36" s="15">
        <v>913.24</v>
      </c>
      <c r="F36" s="15">
        <v>4439.37</v>
      </c>
      <c r="G36" s="15">
        <v>-1.22</v>
      </c>
      <c r="H36" s="15">
        <v>308</v>
      </c>
      <c r="I36" s="15">
        <v>188.84</v>
      </c>
      <c r="J36" s="15">
        <v>5.26</v>
      </c>
      <c r="K36" s="15">
        <v>246.49</v>
      </c>
      <c r="L36" s="15">
        <v>1371.53</v>
      </c>
      <c r="M36" s="15">
        <v>0.02</v>
      </c>
      <c r="N36" s="15">
        <v>0</v>
      </c>
      <c r="O36" s="15">
        <v>13.03</v>
      </c>
      <c r="P36" s="15">
        <v>0</v>
      </c>
      <c r="Q36" s="15">
        <v>322.3</v>
      </c>
      <c r="R36" s="15">
        <v>2029.17</v>
      </c>
      <c r="S36" s="15">
        <v>0.45</v>
      </c>
      <c r="T36" s="15">
        <v>57.26</v>
      </c>
      <c r="U36" s="15">
        <v>54.27</v>
      </c>
      <c r="V36" s="15">
        <v>573.44000000000005</v>
      </c>
      <c r="W36" s="16">
        <v>91.72</v>
      </c>
      <c r="X36" s="19" t="str">
        <f>TEXT(Table4_1[[#This Row],[date]], "hh:mm")</f>
        <v>05:30</v>
      </c>
      <c r="Y36" s="25" t="str">
        <f t="shared" si="0"/>
        <v/>
      </c>
      <c r="Z36" s="22">
        <v>0</v>
      </c>
    </row>
    <row r="37" spans="1:35">
      <c r="A37" s="13">
        <v>45850.25</v>
      </c>
      <c r="B37" s="14">
        <v>-2.94</v>
      </c>
      <c r="C37" s="15">
        <v>0</v>
      </c>
      <c r="D37" s="15">
        <v>-9.35</v>
      </c>
      <c r="E37" s="15">
        <v>777.94</v>
      </c>
      <c r="F37" s="15">
        <v>4467.91</v>
      </c>
      <c r="G37" s="15">
        <v>-1.65</v>
      </c>
      <c r="H37" s="15">
        <v>442.17</v>
      </c>
      <c r="I37" s="15">
        <v>276.87</v>
      </c>
      <c r="J37" s="15">
        <v>7.77</v>
      </c>
      <c r="K37" s="15">
        <v>455.65</v>
      </c>
      <c r="L37" s="15">
        <v>1262.98</v>
      </c>
      <c r="M37" s="15">
        <v>0.02</v>
      </c>
      <c r="N37" s="15">
        <v>0</v>
      </c>
      <c r="O37" s="15">
        <v>12.64</v>
      </c>
      <c r="P37" s="15">
        <v>2.93</v>
      </c>
      <c r="Q37" s="15">
        <v>269.42</v>
      </c>
      <c r="R37" s="15">
        <v>2041.81</v>
      </c>
      <c r="S37" s="15">
        <v>0.44</v>
      </c>
      <c r="T37" s="15">
        <v>82.2</v>
      </c>
      <c r="U37" s="15">
        <v>78.930000000000007</v>
      </c>
      <c r="V37" s="15">
        <v>573.99</v>
      </c>
      <c r="W37" s="16">
        <v>96.72</v>
      </c>
      <c r="X37" s="19" t="str">
        <f>TEXT(Table4_1[[#This Row],[date]], "hh:mm")</f>
        <v>06:00</v>
      </c>
      <c r="Y37" s="25" t="str">
        <f t="shared" si="0"/>
        <v/>
      </c>
      <c r="Z37" s="22">
        <v>0</v>
      </c>
    </row>
    <row r="38" spans="1:35">
      <c r="A38" s="13">
        <v>45850.270833333336</v>
      </c>
      <c r="B38" s="14">
        <v>-4.3</v>
      </c>
      <c r="C38" s="15">
        <v>0</v>
      </c>
      <c r="D38" s="15">
        <v>-35.47</v>
      </c>
      <c r="E38" s="15">
        <v>683.95</v>
      </c>
      <c r="F38" s="15">
        <v>4683.13</v>
      </c>
      <c r="G38" s="15">
        <v>-0.77</v>
      </c>
      <c r="H38" s="15">
        <v>444.67</v>
      </c>
      <c r="I38" s="15">
        <v>366.33</v>
      </c>
      <c r="J38" s="15">
        <v>113.87</v>
      </c>
      <c r="K38" s="15">
        <v>576.05999999999995</v>
      </c>
      <c r="L38" s="15">
        <v>1211.46</v>
      </c>
      <c r="M38" s="15">
        <v>0.02</v>
      </c>
      <c r="N38" s="15">
        <v>0.12</v>
      </c>
      <c r="O38" s="15">
        <v>11.38</v>
      </c>
      <c r="P38" s="15">
        <v>11.11</v>
      </c>
      <c r="Q38" s="15">
        <v>238.33</v>
      </c>
      <c r="R38" s="15">
        <v>2137.79</v>
      </c>
      <c r="S38" s="15">
        <v>0.45</v>
      </c>
      <c r="T38" s="15">
        <v>82.66</v>
      </c>
      <c r="U38" s="15">
        <v>104.16</v>
      </c>
      <c r="V38" s="15">
        <v>578.44000000000005</v>
      </c>
      <c r="W38" s="16">
        <v>108.08</v>
      </c>
      <c r="X38" s="19" t="str">
        <f>TEXT(Table4_1[[#This Row],[date]], "hh:mm")</f>
        <v>06:30</v>
      </c>
      <c r="Y38" s="25" t="str">
        <f t="shared" si="0"/>
        <v/>
      </c>
      <c r="Z38" s="22">
        <v>0</v>
      </c>
    </row>
    <row r="39" spans="1:35">
      <c r="A39" s="13">
        <v>45850.291666666664</v>
      </c>
      <c r="B39" s="14">
        <v>-3.38</v>
      </c>
      <c r="C39" s="15">
        <v>0</v>
      </c>
      <c r="D39" s="15">
        <v>-4.84</v>
      </c>
      <c r="E39" s="15">
        <v>648.62</v>
      </c>
      <c r="F39" s="15">
        <v>4935.49</v>
      </c>
      <c r="G39" s="15">
        <v>-0.84</v>
      </c>
      <c r="H39" s="15">
        <v>445.83</v>
      </c>
      <c r="I39" s="15">
        <v>398.12</v>
      </c>
      <c r="J39" s="15">
        <v>144.33000000000001</v>
      </c>
      <c r="K39" s="15">
        <v>649.33000000000004</v>
      </c>
      <c r="L39" s="15">
        <v>1196.57</v>
      </c>
      <c r="M39" s="15">
        <v>3.98</v>
      </c>
      <c r="N39" s="15">
        <v>7.55</v>
      </c>
      <c r="O39" s="15">
        <v>10.46</v>
      </c>
      <c r="P39" s="15">
        <v>1.52</v>
      </c>
      <c r="Q39" s="15">
        <v>226.75</v>
      </c>
      <c r="R39" s="15">
        <v>2250.38</v>
      </c>
      <c r="S39" s="15">
        <v>0.45</v>
      </c>
      <c r="T39" s="15">
        <v>82.88</v>
      </c>
      <c r="U39" s="15">
        <v>113.31</v>
      </c>
      <c r="V39" s="15">
        <v>581.19000000000005</v>
      </c>
      <c r="W39" s="16">
        <v>138.79</v>
      </c>
      <c r="X39" s="19" t="str">
        <f>TEXT(Table4_1[[#This Row],[date]], "hh:mm")</f>
        <v>07:00</v>
      </c>
      <c r="Y39" s="25" t="str">
        <f t="shared" si="0"/>
        <v/>
      </c>
      <c r="Z39" s="22">
        <v>0</v>
      </c>
    </row>
    <row r="40" spans="1:35">
      <c r="A40" s="13">
        <v>45850.3125</v>
      </c>
      <c r="B40" s="14">
        <v>-3.76</v>
      </c>
      <c r="C40" s="15">
        <v>0</v>
      </c>
      <c r="D40" s="15">
        <v>-198.95</v>
      </c>
      <c r="E40" s="15">
        <v>975.45</v>
      </c>
      <c r="F40" s="15">
        <v>5117.78</v>
      </c>
      <c r="G40" s="15">
        <v>-0.57999999999999996</v>
      </c>
      <c r="H40" s="15">
        <v>444.83</v>
      </c>
      <c r="I40" s="15">
        <v>470.75</v>
      </c>
      <c r="J40" s="15">
        <v>142.56</v>
      </c>
      <c r="K40" s="15">
        <v>674.62</v>
      </c>
      <c r="L40" s="15">
        <v>1088.75</v>
      </c>
      <c r="M40" s="15">
        <v>106.34</v>
      </c>
      <c r="N40" s="15">
        <v>90.41</v>
      </c>
      <c r="O40" s="15">
        <v>10.42</v>
      </c>
      <c r="P40" s="15">
        <v>62.75</v>
      </c>
      <c r="Q40" s="15">
        <v>317.48</v>
      </c>
      <c r="R40" s="15">
        <v>2331.67</v>
      </c>
      <c r="S40" s="15">
        <v>0.45</v>
      </c>
      <c r="T40" s="15">
        <v>82.69</v>
      </c>
      <c r="U40" s="15">
        <v>133.62</v>
      </c>
      <c r="V40" s="15">
        <v>572.15</v>
      </c>
      <c r="W40" s="16">
        <v>144.01</v>
      </c>
      <c r="X40" s="19" t="str">
        <f>TEXT(Table4_1[[#This Row],[date]], "hh:mm")</f>
        <v>07:30</v>
      </c>
      <c r="Y40" s="25" t="str">
        <f t="shared" si="0"/>
        <v/>
      </c>
      <c r="Z40" s="22">
        <v>0</v>
      </c>
    </row>
    <row r="41" spans="1:35">
      <c r="A41" s="13">
        <v>45850.333333333336</v>
      </c>
      <c r="B41" s="14">
        <v>-4.1900000000000004</v>
      </c>
      <c r="C41" s="15">
        <v>0</v>
      </c>
      <c r="D41" s="15">
        <v>-658.99</v>
      </c>
      <c r="E41" s="15">
        <v>1201.9000000000001</v>
      </c>
      <c r="F41" s="15">
        <v>5303.66</v>
      </c>
      <c r="G41" s="15">
        <v>-0.16</v>
      </c>
      <c r="H41" s="15">
        <v>443.83</v>
      </c>
      <c r="I41" s="15">
        <v>526.64</v>
      </c>
      <c r="J41" s="15">
        <v>58.45</v>
      </c>
      <c r="K41" s="15">
        <v>649.25</v>
      </c>
      <c r="L41" s="15">
        <v>1027.05</v>
      </c>
      <c r="M41" s="15">
        <v>454.44</v>
      </c>
      <c r="N41" s="15">
        <v>375.8</v>
      </c>
      <c r="O41" s="15">
        <v>10.81</v>
      </c>
      <c r="P41" s="15">
        <v>205.13</v>
      </c>
      <c r="Q41" s="15">
        <v>342.57</v>
      </c>
      <c r="R41" s="15">
        <v>2413.5500000000002</v>
      </c>
      <c r="S41" s="15">
        <v>0.45</v>
      </c>
      <c r="T41" s="15">
        <v>82.51</v>
      </c>
      <c r="U41" s="15">
        <v>149.4</v>
      </c>
      <c r="V41" s="15">
        <v>564.29999999999995</v>
      </c>
      <c r="W41" s="16">
        <v>178</v>
      </c>
      <c r="X41" s="19" t="str">
        <f>TEXT(Table4_1[[#This Row],[date]], "hh:mm")</f>
        <v>08:00</v>
      </c>
      <c r="Y41" s="25" t="str">
        <f t="shared" si="0"/>
        <v/>
      </c>
      <c r="Z41" s="22">
        <v>0</v>
      </c>
    </row>
    <row r="42" spans="1:35">
      <c r="A42" s="13">
        <v>45850.354166666664</v>
      </c>
      <c r="B42" s="14">
        <v>-9.08</v>
      </c>
      <c r="C42" s="15">
        <v>0</v>
      </c>
      <c r="D42" s="15">
        <v>-805</v>
      </c>
      <c r="E42" s="15">
        <v>1010.35</v>
      </c>
      <c r="F42" s="15">
        <v>5316.74</v>
      </c>
      <c r="G42" s="15">
        <v>-0.73</v>
      </c>
      <c r="H42" s="15">
        <v>429.67</v>
      </c>
      <c r="I42" s="15">
        <v>443.49</v>
      </c>
      <c r="J42" s="15">
        <v>21.3</v>
      </c>
      <c r="K42" s="15">
        <v>506.13</v>
      </c>
      <c r="L42" s="15">
        <v>922.26</v>
      </c>
      <c r="M42" s="15">
        <v>982.56</v>
      </c>
      <c r="N42" s="15">
        <v>830.33</v>
      </c>
      <c r="O42" s="15">
        <v>11.73</v>
      </c>
      <c r="P42" s="15">
        <v>244.03</v>
      </c>
      <c r="Q42" s="15">
        <v>243.23</v>
      </c>
      <c r="R42" s="15">
        <v>2416.84</v>
      </c>
      <c r="S42" s="15">
        <v>0.44</v>
      </c>
      <c r="T42" s="15">
        <v>79.88</v>
      </c>
      <c r="U42" s="15">
        <v>125.96</v>
      </c>
      <c r="V42" s="15">
        <v>543.76</v>
      </c>
      <c r="W42" s="16">
        <v>127.56</v>
      </c>
      <c r="X42" s="19" t="str">
        <f>TEXT(Table4_1[[#This Row],[date]], "hh:mm")</f>
        <v>08:30</v>
      </c>
      <c r="Y42" s="25" t="str">
        <f t="shared" si="0"/>
        <v/>
      </c>
      <c r="Z42" s="22">
        <v>0</v>
      </c>
    </row>
    <row r="43" spans="1:35">
      <c r="A43" s="13">
        <v>45850.375</v>
      </c>
      <c r="B43" s="14">
        <v>-10</v>
      </c>
      <c r="C43" s="15">
        <v>0</v>
      </c>
      <c r="D43" s="15">
        <v>-805.21</v>
      </c>
      <c r="E43" s="15">
        <v>894.28</v>
      </c>
      <c r="F43" s="15">
        <v>4978.33</v>
      </c>
      <c r="G43" s="15">
        <v>-0.99</v>
      </c>
      <c r="H43" s="15">
        <v>240</v>
      </c>
      <c r="I43" s="15">
        <v>272.06</v>
      </c>
      <c r="J43" s="15">
        <v>2.87</v>
      </c>
      <c r="K43" s="15">
        <v>251.97</v>
      </c>
      <c r="L43" s="15">
        <v>928.76</v>
      </c>
      <c r="M43" s="15">
        <v>1604.72</v>
      </c>
      <c r="N43" s="15">
        <v>1368.94</v>
      </c>
      <c r="O43" s="15">
        <v>13.64</v>
      </c>
      <c r="P43" s="15">
        <v>231.29</v>
      </c>
      <c r="Q43" s="15">
        <v>197.97</v>
      </c>
      <c r="R43" s="15">
        <v>2261.91</v>
      </c>
      <c r="S43" s="15">
        <v>0.44</v>
      </c>
      <c r="T43" s="15">
        <v>44.62</v>
      </c>
      <c r="U43" s="15">
        <v>77.61</v>
      </c>
      <c r="V43" s="15">
        <v>490.36</v>
      </c>
      <c r="W43" s="16">
        <v>100.01</v>
      </c>
      <c r="X43" s="19" t="str">
        <f>TEXT(Table4_1[[#This Row],[date]], "hh:mm")</f>
        <v>09:00</v>
      </c>
      <c r="Y43" s="25" t="str">
        <f t="shared" si="0"/>
        <v/>
      </c>
      <c r="Z43" s="22">
        <v>0</v>
      </c>
    </row>
    <row r="44" spans="1:35">
      <c r="A44" s="13">
        <v>45850.395833333336</v>
      </c>
      <c r="B44" s="14">
        <v>-8.0299999999999994</v>
      </c>
      <c r="C44" s="15">
        <v>0</v>
      </c>
      <c r="D44" s="15">
        <v>-824.64</v>
      </c>
      <c r="E44" s="15">
        <v>897.83</v>
      </c>
      <c r="F44" s="15">
        <v>4610.5200000000004</v>
      </c>
      <c r="G44" s="15">
        <v>-1.86</v>
      </c>
      <c r="H44" s="15">
        <v>6.33</v>
      </c>
      <c r="I44" s="15">
        <v>138.19999999999999</v>
      </c>
      <c r="J44" s="15">
        <v>14.61</v>
      </c>
      <c r="K44" s="15">
        <v>162.88</v>
      </c>
      <c r="L44" s="15">
        <v>954.13</v>
      </c>
      <c r="M44" s="15">
        <v>1895.65</v>
      </c>
      <c r="N44" s="15">
        <v>1912.81</v>
      </c>
      <c r="O44" s="15">
        <v>15.05</v>
      </c>
      <c r="P44" s="15">
        <v>224.62</v>
      </c>
      <c r="Q44" s="15">
        <v>201.87</v>
      </c>
      <c r="R44" s="15">
        <v>2089.54</v>
      </c>
      <c r="S44" s="15">
        <v>0.43</v>
      </c>
      <c r="T44" s="15">
        <v>1.18</v>
      </c>
      <c r="U44" s="15">
        <v>39.85</v>
      </c>
      <c r="V44" s="15">
        <v>436.75</v>
      </c>
      <c r="W44" s="16">
        <v>100.01</v>
      </c>
      <c r="X44" s="19" t="str">
        <f>TEXT(Table4_1[[#This Row],[date]], "hh:mm")</f>
        <v>09:30</v>
      </c>
      <c r="Y44" s="25" t="str">
        <f t="shared" si="0"/>
        <v/>
      </c>
      <c r="Z44" s="22">
        <v>0</v>
      </c>
    </row>
    <row r="45" spans="1:35">
      <c r="A45" s="13">
        <v>45850.416666666664</v>
      </c>
      <c r="B45" s="14">
        <v>-106.11</v>
      </c>
      <c r="C45" s="15">
        <v>0</v>
      </c>
      <c r="D45" s="15">
        <v>-811.29</v>
      </c>
      <c r="E45" s="15">
        <v>826.34</v>
      </c>
      <c r="F45" s="15">
        <v>4159.3</v>
      </c>
      <c r="G45" s="15">
        <v>-4.28</v>
      </c>
      <c r="H45" s="15">
        <v>0</v>
      </c>
      <c r="I45" s="15">
        <v>44.13</v>
      </c>
      <c r="J45" s="15">
        <v>4.43</v>
      </c>
      <c r="K45" s="15">
        <v>22.68</v>
      </c>
      <c r="L45" s="15">
        <v>950.09</v>
      </c>
      <c r="M45" s="15">
        <v>2152.4499999999998</v>
      </c>
      <c r="N45" s="15">
        <v>2415.17</v>
      </c>
      <c r="O45" s="15">
        <v>15.92</v>
      </c>
      <c r="P45" s="15">
        <v>209.28</v>
      </c>
      <c r="Q45" s="15">
        <v>199.9</v>
      </c>
      <c r="R45" s="15">
        <v>1881.84</v>
      </c>
      <c r="S45" s="15">
        <v>0.38</v>
      </c>
      <c r="T45" s="15">
        <v>0</v>
      </c>
      <c r="U45" s="15">
        <v>13.29</v>
      </c>
      <c r="V45" s="15">
        <v>392.73</v>
      </c>
      <c r="W45" s="16">
        <v>84.85</v>
      </c>
      <c r="X45" s="19" t="str">
        <f>TEXT(Table4_1[[#This Row],[date]], "hh:mm")</f>
        <v>10:00</v>
      </c>
      <c r="Y45" s="25" t="str">
        <f t="shared" si="0"/>
        <v/>
      </c>
      <c r="Z45" s="22">
        <v>0</v>
      </c>
    </row>
    <row r="46" spans="1:35">
      <c r="A46" s="13">
        <v>45850.4375</v>
      </c>
      <c r="B46" s="14">
        <v>-201.76</v>
      </c>
      <c r="C46" s="15">
        <v>0</v>
      </c>
      <c r="D46" s="15">
        <v>-738.74</v>
      </c>
      <c r="E46" s="15">
        <v>799.83</v>
      </c>
      <c r="F46" s="15">
        <v>3605.46</v>
      </c>
      <c r="G46" s="15">
        <v>-5.28</v>
      </c>
      <c r="H46" s="15">
        <v>0</v>
      </c>
      <c r="I46" s="15">
        <v>41.45</v>
      </c>
      <c r="J46" s="15">
        <v>0.02</v>
      </c>
      <c r="K46" s="15">
        <v>0</v>
      </c>
      <c r="L46" s="15">
        <v>940.09</v>
      </c>
      <c r="M46" s="15">
        <v>2357.34</v>
      </c>
      <c r="N46" s="15">
        <v>2838.32</v>
      </c>
      <c r="O46" s="15">
        <v>16.559999999999999</v>
      </c>
      <c r="P46" s="15">
        <v>174.67</v>
      </c>
      <c r="Q46" s="15">
        <v>199.5</v>
      </c>
      <c r="R46" s="15">
        <v>1631.61</v>
      </c>
      <c r="S46" s="15">
        <v>0.36</v>
      </c>
      <c r="T46" s="15">
        <v>0</v>
      </c>
      <c r="U46" s="15">
        <v>12.48</v>
      </c>
      <c r="V46" s="15">
        <v>341.29</v>
      </c>
      <c r="W46" s="16">
        <v>8.01</v>
      </c>
      <c r="X46" s="19" t="str">
        <f>TEXT(Table4_1[[#This Row],[date]], "hh:mm")</f>
        <v>10:30</v>
      </c>
      <c r="Y46" s="25" t="str">
        <f t="shared" si="0"/>
        <v/>
      </c>
      <c r="Z46" s="22">
        <v>0</v>
      </c>
    </row>
    <row r="47" spans="1:35">
      <c r="A47" s="13">
        <v>45850.458333333336</v>
      </c>
      <c r="B47" s="14">
        <v>-318.83</v>
      </c>
      <c r="C47" s="15">
        <v>-83.29</v>
      </c>
      <c r="D47" s="15">
        <v>-644.01</v>
      </c>
      <c r="E47" s="15">
        <v>803.56</v>
      </c>
      <c r="F47" s="15">
        <v>3174.08</v>
      </c>
      <c r="G47" s="15">
        <v>-2.37</v>
      </c>
      <c r="H47" s="15">
        <v>0</v>
      </c>
      <c r="I47" s="15">
        <v>45.3</v>
      </c>
      <c r="J47" s="15">
        <v>0</v>
      </c>
      <c r="K47" s="15">
        <v>0</v>
      </c>
      <c r="L47" s="15">
        <v>934</v>
      </c>
      <c r="M47" s="15">
        <v>2465.61</v>
      </c>
      <c r="N47" s="15">
        <v>3144.54</v>
      </c>
      <c r="O47" s="15">
        <v>17.190000000000001</v>
      </c>
      <c r="P47" s="15">
        <v>138.74</v>
      </c>
      <c r="Q47" s="15">
        <v>206.31</v>
      </c>
      <c r="R47" s="15">
        <v>1436.88</v>
      </c>
      <c r="S47" s="15">
        <v>0.38</v>
      </c>
      <c r="T47" s="15">
        <v>0</v>
      </c>
      <c r="U47" s="15">
        <v>13.64</v>
      </c>
      <c r="V47" s="15">
        <v>304.85000000000002</v>
      </c>
      <c r="W47" s="16">
        <v>5</v>
      </c>
      <c r="X47" s="19" t="str">
        <f>TEXT(Table4_1[[#This Row],[date]], "hh:mm")</f>
        <v>11:00</v>
      </c>
      <c r="Y47" s="25" t="str">
        <f t="shared" si="0"/>
        <v/>
      </c>
      <c r="Z47" s="22">
        <v>0</v>
      </c>
    </row>
    <row r="48" spans="1:35">
      <c r="A48" s="13">
        <v>45850.479166666664</v>
      </c>
      <c r="B48" s="14">
        <v>-358.97</v>
      </c>
      <c r="C48" s="15">
        <v>-285.31</v>
      </c>
      <c r="D48" s="15">
        <v>-730.81</v>
      </c>
      <c r="E48" s="15">
        <v>783.73</v>
      </c>
      <c r="F48" s="15">
        <v>3001.72</v>
      </c>
      <c r="G48" s="15">
        <v>1.53</v>
      </c>
      <c r="H48" s="15">
        <v>0</v>
      </c>
      <c r="I48" s="15">
        <v>44.94</v>
      </c>
      <c r="J48" s="15">
        <v>0.54</v>
      </c>
      <c r="K48" s="15">
        <v>0</v>
      </c>
      <c r="L48" s="15">
        <v>990.65</v>
      </c>
      <c r="M48" s="15">
        <v>2647.82</v>
      </c>
      <c r="N48" s="15">
        <v>3349.84</v>
      </c>
      <c r="O48" s="15">
        <v>17.43</v>
      </c>
      <c r="P48" s="15">
        <v>143.4</v>
      </c>
      <c r="Q48" s="15">
        <v>205.2</v>
      </c>
      <c r="R48" s="15">
        <v>1359.24</v>
      </c>
      <c r="S48" s="15">
        <v>0.37</v>
      </c>
      <c r="T48" s="15">
        <v>0</v>
      </c>
      <c r="U48" s="15">
        <v>13.53</v>
      </c>
      <c r="V48" s="15">
        <v>290.74</v>
      </c>
      <c r="W48" s="16">
        <v>-8.9499999999999993</v>
      </c>
      <c r="X48" s="19" t="str">
        <f>TEXT(Table4_1[[#This Row],[date]], "hh:mm")</f>
        <v>11:30</v>
      </c>
      <c r="Y48" s="25" t="str">
        <f t="shared" si="0"/>
        <v/>
      </c>
      <c r="Z48" s="22">
        <v>0</v>
      </c>
    </row>
    <row r="49" spans="1:26">
      <c r="A49" s="13">
        <v>45850.5</v>
      </c>
      <c r="B49" s="14">
        <v>-405.98</v>
      </c>
      <c r="C49" s="15">
        <v>-481.08</v>
      </c>
      <c r="D49" s="15">
        <v>-729.48</v>
      </c>
      <c r="E49" s="15">
        <v>765.53</v>
      </c>
      <c r="F49" s="15">
        <v>2956.86</v>
      </c>
      <c r="G49" s="15">
        <v>1.76</v>
      </c>
      <c r="H49" s="15">
        <v>0</v>
      </c>
      <c r="I49" s="15">
        <v>44.95</v>
      </c>
      <c r="J49" s="15">
        <v>0.08</v>
      </c>
      <c r="K49" s="15">
        <v>0</v>
      </c>
      <c r="L49" s="15">
        <v>997.2</v>
      </c>
      <c r="M49" s="15">
        <v>2598.02</v>
      </c>
      <c r="N49" s="15">
        <v>3470.55</v>
      </c>
      <c r="O49" s="15">
        <v>17.88</v>
      </c>
      <c r="P49" s="15">
        <v>139.05000000000001</v>
      </c>
      <c r="Q49" s="15">
        <v>214.96</v>
      </c>
      <c r="R49" s="15">
        <v>1340.31</v>
      </c>
      <c r="S49" s="15">
        <v>0.37</v>
      </c>
      <c r="T49" s="15">
        <v>0</v>
      </c>
      <c r="U49" s="15">
        <v>13.53</v>
      </c>
      <c r="V49" s="15">
        <v>293.8</v>
      </c>
      <c r="W49" s="16">
        <v>-14.01</v>
      </c>
      <c r="X49" s="19" t="str">
        <f>TEXT(Table4_1[[#This Row],[date]], "hh:mm")</f>
        <v>12:00</v>
      </c>
      <c r="Y49" s="25" t="str">
        <f t="shared" si="0"/>
        <v/>
      </c>
      <c r="Z49" s="22">
        <v>0</v>
      </c>
    </row>
    <row r="50" spans="1:26">
      <c r="A50" s="13">
        <v>45850.520833333336</v>
      </c>
      <c r="B50" s="14">
        <v>-345.19</v>
      </c>
      <c r="C50" s="15">
        <v>-658.89</v>
      </c>
      <c r="D50" s="15">
        <v>-558.66999999999996</v>
      </c>
      <c r="E50" s="15">
        <v>783.02</v>
      </c>
      <c r="F50" s="15">
        <v>2976.78</v>
      </c>
      <c r="G50" s="15">
        <v>2.52</v>
      </c>
      <c r="H50" s="15">
        <v>0</v>
      </c>
      <c r="I50" s="15">
        <v>44.78</v>
      </c>
      <c r="J50" s="15">
        <v>0.92</v>
      </c>
      <c r="K50" s="15">
        <v>0</v>
      </c>
      <c r="L50" s="15">
        <v>942.36</v>
      </c>
      <c r="M50" s="15">
        <v>2420.1799999999998</v>
      </c>
      <c r="N50" s="15">
        <v>3475.53</v>
      </c>
      <c r="O50" s="15">
        <v>18.57</v>
      </c>
      <c r="P50" s="15">
        <v>107.78</v>
      </c>
      <c r="Q50" s="15">
        <v>230.04</v>
      </c>
      <c r="R50" s="15">
        <v>1349.55</v>
      </c>
      <c r="S50" s="15">
        <v>0.38</v>
      </c>
      <c r="T50" s="15">
        <v>0</v>
      </c>
      <c r="U50" s="15">
        <v>13.48</v>
      </c>
      <c r="V50" s="15">
        <v>300.2</v>
      </c>
      <c r="W50" s="16">
        <v>-22.01</v>
      </c>
      <c r="X50" s="19" t="str">
        <f>TEXT(Table4_1[[#This Row],[date]], "hh:mm")</f>
        <v>12:30</v>
      </c>
      <c r="Y50" s="25" t="str">
        <f t="shared" si="0"/>
        <v/>
      </c>
      <c r="Z50" s="22">
        <v>0</v>
      </c>
    </row>
    <row r="51" spans="1:26">
      <c r="A51" s="13">
        <v>45850.541666666664</v>
      </c>
      <c r="B51" s="14">
        <v>-267.83999999999997</v>
      </c>
      <c r="C51" s="15">
        <v>-660.31</v>
      </c>
      <c r="D51" s="15">
        <v>-493.76</v>
      </c>
      <c r="E51" s="15">
        <v>803.69</v>
      </c>
      <c r="F51" s="15">
        <v>2954.66</v>
      </c>
      <c r="G51" s="15">
        <v>8.02</v>
      </c>
      <c r="H51" s="15">
        <v>0</v>
      </c>
      <c r="I51" s="15">
        <v>44.91</v>
      </c>
      <c r="J51" s="15">
        <v>1.02</v>
      </c>
      <c r="K51" s="15">
        <v>0</v>
      </c>
      <c r="L51" s="15">
        <v>897.81</v>
      </c>
      <c r="M51" s="15">
        <v>2357.1799999999998</v>
      </c>
      <c r="N51" s="15">
        <v>3343.25</v>
      </c>
      <c r="O51" s="15">
        <v>18.78</v>
      </c>
      <c r="P51" s="15">
        <v>96.17</v>
      </c>
      <c r="Q51" s="15">
        <v>234.27</v>
      </c>
      <c r="R51" s="15">
        <v>1338.64</v>
      </c>
      <c r="S51" s="15">
        <v>0.37</v>
      </c>
      <c r="T51" s="15">
        <v>0</v>
      </c>
      <c r="U51" s="15">
        <v>13.52</v>
      </c>
      <c r="V51" s="15">
        <v>300.94</v>
      </c>
      <c r="W51" s="16">
        <v>-18</v>
      </c>
      <c r="X51" s="19" t="str">
        <f>TEXT(Table4_1[[#This Row],[date]], "hh:mm")</f>
        <v>13:00</v>
      </c>
      <c r="Y51" s="25" t="str">
        <f t="shared" si="0"/>
        <v/>
      </c>
      <c r="Z51" s="22">
        <v>0</v>
      </c>
    </row>
    <row r="52" spans="1:26">
      <c r="A52" s="13">
        <v>45850.5625</v>
      </c>
      <c r="B52" s="14">
        <v>-223.94</v>
      </c>
      <c r="C52" s="15">
        <v>-659.22</v>
      </c>
      <c r="D52" s="15">
        <v>-525.74</v>
      </c>
      <c r="E52" s="15">
        <v>760.26</v>
      </c>
      <c r="F52" s="15">
        <v>2922.89</v>
      </c>
      <c r="G52" s="15">
        <v>8.64</v>
      </c>
      <c r="H52" s="15">
        <v>0</v>
      </c>
      <c r="I52" s="15">
        <v>38.96</v>
      </c>
      <c r="J52" s="15">
        <v>1.95</v>
      </c>
      <c r="K52" s="15">
        <v>0</v>
      </c>
      <c r="L52" s="15">
        <v>937.44</v>
      </c>
      <c r="M52" s="15">
        <v>2451.46</v>
      </c>
      <c r="N52" s="15">
        <v>3122.3</v>
      </c>
      <c r="O52" s="15">
        <v>18.75</v>
      </c>
      <c r="P52" s="15">
        <v>99.78</v>
      </c>
      <c r="Q52" s="15">
        <v>219.82</v>
      </c>
      <c r="R52" s="15">
        <v>1322.39</v>
      </c>
      <c r="S52" s="15">
        <v>0.36</v>
      </c>
      <c r="T52" s="15">
        <v>0</v>
      </c>
      <c r="U52" s="15">
        <v>11.73</v>
      </c>
      <c r="V52" s="15">
        <v>302.08999999999997</v>
      </c>
      <c r="W52" s="16">
        <v>-14.01</v>
      </c>
      <c r="X52" s="19" t="str">
        <f>TEXT(Table4_1[[#This Row],[date]], "hh:mm")</f>
        <v>13:30</v>
      </c>
      <c r="Y52" s="25" t="str">
        <f t="shared" si="0"/>
        <v/>
      </c>
      <c r="Z52" s="22">
        <v>0</v>
      </c>
    </row>
    <row r="53" spans="1:26">
      <c r="A53" s="13">
        <v>45850.583333333336</v>
      </c>
      <c r="B53" s="14">
        <v>-91.91</v>
      </c>
      <c r="C53" s="15">
        <v>-659.99</v>
      </c>
      <c r="D53" s="15">
        <v>-530.42999999999995</v>
      </c>
      <c r="E53" s="15">
        <v>742.33</v>
      </c>
      <c r="F53" s="15">
        <v>2930.97</v>
      </c>
      <c r="G53" s="15">
        <v>9.1</v>
      </c>
      <c r="H53" s="15">
        <v>0</v>
      </c>
      <c r="I53" s="15">
        <v>37.880000000000003</v>
      </c>
      <c r="J53" s="15">
        <v>2.19</v>
      </c>
      <c r="K53" s="15">
        <v>0</v>
      </c>
      <c r="L53" s="15">
        <v>886.17</v>
      </c>
      <c r="M53" s="15">
        <v>2589.39</v>
      </c>
      <c r="N53" s="15">
        <v>2872.62</v>
      </c>
      <c r="O53" s="15">
        <v>18.989999999999998</v>
      </c>
      <c r="P53" s="15">
        <v>99.64</v>
      </c>
      <c r="Q53" s="15">
        <v>209.7</v>
      </c>
      <c r="R53" s="15">
        <v>1326.55</v>
      </c>
      <c r="S53" s="15">
        <v>0.38</v>
      </c>
      <c r="T53" s="15">
        <v>0</v>
      </c>
      <c r="U53" s="15">
        <v>11.4</v>
      </c>
      <c r="V53" s="15">
        <v>304.57</v>
      </c>
      <c r="W53" s="16">
        <v>-14.01</v>
      </c>
      <c r="X53" s="19" t="str">
        <f>TEXT(Table4_1[[#This Row],[date]], "hh:mm")</f>
        <v>14:00</v>
      </c>
      <c r="Y53" s="25" t="str">
        <f t="shared" si="0"/>
        <v/>
      </c>
      <c r="Z53" s="22">
        <v>0</v>
      </c>
    </row>
    <row r="54" spans="1:26">
      <c r="A54" s="13">
        <v>45850.604166666664</v>
      </c>
      <c r="B54" s="14">
        <v>-23.34</v>
      </c>
      <c r="C54" s="15">
        <v>-659.91</v>
      </c>
      <c r="D54" s="15">
        <v>-415.64</v>
      </c>
      <c r="E54" s="15">
        <v>761.55</v>
      </c>
      <c r="F54" s="15">
        <v>2953.08</v>
      </c>
      <c r="G54" s="15">
        <v>8.36</v>
      </c>
      <c r="H54" s="15">
        <v>0</v>
      </c>
      <c r="I54" s="15">
        <v>37.840000000000003</v>
      </c>
      <c r="J54" s="15">
        <v>3.43</v>
      </c>
      <c r="K54" s="15">
        <v>0</v>
      </c>
      <c r="L54" s="15">
        <v>882.42</v>
      </c>
      <c r="M54" s="15">
        <v>2642.71</v>
      </c>
      <c r="N54" s="15">
        <v>2499.4299999999998</v>
      </c>
      <c r="O54" s="15">
        <v>18.670000000000002</v>
      </c>
      <c r="P54" s="15">
        <v>77.87</v>
      </c>
      <c r="Q54" s="15">
        <v>202.45</v>
      </c>
      <c r="R54" s="15">
        <v>1337</v>
      </c>
      <c r="S54" s="15">
        <v>0.37</v>
      </c>
      <c r="T54" s="15">
        <v>0</v>
      </c>
      <c r="U54" s="15">
        <v>11.39</v>
      </c>
      <c r="V54" s="15">
        <v>310.42</v>
      </c>
      <c r="W54" s="16">
        <v>-8.91</v>
      </c>
      <c r="X54" s="19" t="str">
        <f>TEXT(Table4_1[[#This Row],[date]], "hh:mm")</f>
        <v>14:30</v>
      </c>
      <c r="Y54" s="25" t="str">
        <f t="shared" si="0"/>
        <v/>
      </c>
      <c r="Z54" s="22">
        <v>0</v>
      </c>
    </row>
    <row r="55" spans="1:26">
      <c r="A55" s="13">
        <v>45850.625</v>
      </c>
      <c r="B55" s="14">
        <v>-5.71</v>
      </c>
      <c r="C55" s="15">
        <v>-628.64</v>
      </c>
      <c r="D55" s="15">
        <v>-329.66</v>
      </c>
      <c r="E55" s="15">
        <v>775.64</v>
      </c>
      <c r="F55" s="15">
        <v>3081.65</v>
      </c>
      <c r="G55" s="15">
        <v>8.32</v>
      </c>
      <c r="H55" s="15">
        <v>2</v>
      </c>
      <c r="I55" s="15">
        <v>37.83</v>
      </c>
      <c r="J55" s="15">
        <v>7.54</v>
      </c>
      <c r="K55" s="15">
        <v>0</v>
      </c>
      <c r="L55" s="15">
        <v>948.74</v>
      </c>
      <c r="M55" s="15">
        <v>2595.16</v>
      </c>
      <c r="N55" s="15">
        <v>2089.39</v>
      </c>
      <c r="O55" s="15">
        <v>18.38</v>
      </c>
      <c r="P55" s="15">
        <v>63.34</v>
      </c>
      <c r="Q55" s="15">
        <v>195.15</v>
      </c>
      <c r="R55" s="15">
        <v>1395.4</v>
      </c>
      <c r="S55" s="15">
        <v>0.37</v>
      </c>
      <c r="T55" s="15">
        <v>0.37</v>
      </c>
      <c r="U55" s="15">
        <v>11.39</v>
      </c>
      <c r="V55" s="15">
        <v>328.01</v>
      </c>
      <c r="W55" s="16">
        <v>9.06</v>
      </c>
      <c r="X55" s="19" t="str">
        <f>TEXT(Table4_1[[#This Row],[date]], "hh:mm")</f>
        <v>15:00</v>
      </c>
      <c r="Y55" s="25" t="str">
        <f t="shared" si="0"/>
        <v/>
      </c>
      <c r="Z55" s="22">
        <v>0</v>
      </c>
    </row>
    <row r="56" spans="1:26">
      <c r="A56" s="13">
        <v>45850.645833333336</v>
      </c>
      <c r="B56" s="14">
        <v>-10.58</v>
      </c>
      <c r="C56" s="15">
        <v>-304.86</v>
      </c>
      <c r="D56" s="15">
        <v>-323.95</v>
      </c>
      <c r="E56" s="15">
        <v>830.64</v>
      </c>
      <c r="F56" s="15">
        <v>3254.49</v>
      </c>
      <c r="G56" s="15">
        <v>9.65</v>
      </c>
      <c r="H56" s="15">
        <v>131</v>
      </c>
      <c r="I56" s="15">
        <v>37.880000000000003</v>
      </c>
      <c r="J56" s="15">
        <v>7.59</v>
      </c>
      <c r="K56" s="15">
        <v>0</v>
      </c>
      <c r="L56" s="15">
        <v>972.05</v>
      </c>
      <c r="M56" s="15">
        <v>2346.75</v>
      </c>
      <c r="N56" s="15">
        <v>1577.29</v>
      </c>
      <c r="O56" s="15">
        <v>17.809999999999999</v>
      </c>
      <c r="P56" s="15">
        <v>68.959999999999994</v>
      </c>
      <c r="Q56" s="15">
        <v>199.65</v>
      </c>
      <c r="R56" s="15">
        <v>1472.34</v>
      </c>
      <c r="S56" s="15">
        <v>0.4</v>
      </c>
      <c r="T56" s="15">
        <v>24.35</v>
      </c>
      <c r="U56" s="15">
        <v>11.41</v>
      </c>
      <c r="V56" s="15">
        <v>353.78</v>
      </c>
      <c r="W56" s="16">
        <v>35.880000000000003</v>
      </c>
      <c r="X56" s="19" t="str">
        <f>TEXT(Table4_1[[#This Row],[date]], "hh:mm")</f>
        <v>15:30</v>
      </c>
      <c r="Y56" s="25" t="str">
        <f t="shared" si="0"/>
        <v/>
      </c>
      <c r="Z56" s="22">
        <v>0</v>
      </c>
    </row>
    <row r="57" spans="1:26">
      <c r="A57" s="13">
        <v>45850.666666666664</v>
      </c>
      <c r="B57" s="14">
        <v>-3.08</v>
      </c>
      <c r="C57" s="15">
        <v>-67.099999999999994</v>
      </c>
      <c r="D57" s="15">
        <v>-178.82</v>
      </c>
      <c r="E57" s="15">
        <v>851.57</v>
      </c>
      <c r="F57" s="15">
        <v>3737.21</v>
      </c>
      <c r="G57" s="15">
        <v>5.32</v>
      </c>
      <c r="H57" s="15">
        <v>264.5</v>
      </c>
      <c r="I57" s="15">
        <v>42.68</v>
      </c>
      <c r="J57" s="15">
        <v>9.9700000000000006</v>
      </c>
      <c r="K57" s="15">
        <v>0</v>
      </c>
      <c r="L57" s="15">
        <v>928.08</v>
      </c>
      <c r="M57" s="15">
        <v>1809.05</v>
      </c>
      <c r="N57" s="15">
        <v>1015.1</v>
      </c>
      <c r="O57" s="15">
        <v>16.82</v>
      </c>
      <c r="P57" s="15">
        <v>44.82</v>
      </c>
      <c r="Q57" s="15">
        <v>224.13</v>
      </c>
      <c r="R57" s="15">
        <v>1692.04</v>
      </c>
      <c r="S57" s="15">
        <v>0.45</v>
      </c>
      <c r="T57" s="15">
        <v>49.17</v>
      </c>
      <c r="U57" s="15">
        <v>12.85</v>
      </c>
      <c r="V57" s="15">
        <v>417.02</v>
      </c>
      <c r="W57" s="16">
        <v>51.95</v>
      </c>
      <c r="X57" s="19" t="str">
        <f>TEXT(Table4_1[[#This Row],[date]], "hh:mm")</f>
        <v>16:00</v>
      </c>
      <c r="Y57" s="25" t="str">
        <f t="shared" si="0"/>
        <v/>
      </c>
      <c r="Z57" s="22">
        <v>0</v>
      </c>
    </row>
    <row r="58" spans="1:26">
      <c r="A58" s="13">
        <v>45850.6875</v>
      </c>
      <c r="B58" s="14">
        <v>-2</v>
      </c>
      <c r="C58" s="15">
        <v>0</v>
      </c>
      <c r="D58" s="15">
        <v>-125.98</v>
      </c>
      <c r="E58" s="15">
        <v>859.14</v>
      </c>
      <c r="F58" s="15">
        <v>4544.6099999999997</v>
      </c>
      <c r="G58" s="15">
        <v>1.41</v>
      </c>
      <c r="H58" s="15">
        <v>399.67</v>
      </c>
      <c r="I58" s="15">
        <v>45.07</v>
      </c>
      <c r="J58" s="15">
        <v>229.5</v>
      </c>
      <c r="K58" s="15">
        <v>148.13</v>
      </c>
      <c r="L58" s="15">
        <v>936.68</v>
      </c>
      <c r="M58" s="15">
        <v>1029.74</v>
      </c>
      <c r="N58" s="15">
        <v>498.78</v>
      </c>
      <c r="O58" s="15">
        <v>16.05</v>
      </c>
      <c r="P58" s="15">
        <v>36.17</v>
      </c>
      <c r="Q58" s="15">
        <v>272.17</v>
      </c>
      <c r="R58" s="15">
        <v>2051.33</v>
      </c>
      <c r="S58" s="15">
        <v>0.46</v>
      </c>
      <c r="T58" s="15">
        <v>74.3</v>
      </c>
      <c r="U58" s="15">
        <v>13.57</v>
      </c>
      <c r="V58" s="15">
        <v>499.64</v>
      </c>
      <c r="W58" s="16">
        <v>140.01</v>
      </c>
      <c r="X58" s="19" t="str">
        <f>TEXT(Table4_1[[#This Row],[date]], "hh:mm")</f>
        <v>16:30</v>
      </c>
      <c r="Y58" s="25" t="str">
        <f t="shared" si="0"/>
        <v/>
      </c>
      <c r="Z58" s="22">
        <v>0</v>
      </c>
    </row>
    <row r="59" spans="1:26">
      <c r="A59" s="13">
        <v>45850.708333333336</v>
      </c>
      <c r="B59" s="14">
        <v>-1.59</v>
      </c>
      <c r="C59" s="15">
        <v>0</v>
      </c>
      <c r="D59" s="15">
        <v>-126.06</v>
      </c>
      <c r="E59" s="15">
        <v>882.76</v>
      </c>
      <c r="F59" s="15">
        <v>5435.55</v>
      </c>
      <c r="G59" s="15">
        <v>-1.76</v>
      </c>
      <c r="H59" s="15">
        <v>270.83</v>
      </c>
      <c r="I59" s="15">
        <v>121.89</v>
      </c>
      <c r="J59" s="15">
        <v>393.4</v>
      </c>
      <c r="K59" s="15">
        <v>671.58</v>
      </c>
      <c r="L59" s="15">
        <v>842.16</v>
      </c>
      <c r="M59" s="15">
        <v>250.07</v>
      </c>
      <c r="N59" s="15">
        <v>139.47</v>
      </c>
      <c r="O59" s="15">
        <v>15.3</v>
      </c>
      <c r="P59" s="15">
        <v>40.08</v>
      </c>
      <c r="Q59" s="15">
        <v>299.18</v>
      </c>
      <c r="R59" s="15">
        <v>2453.4699999999998</v>
      </c>
      <c r="S59" s="15">
        <v>0.43</v>
      </c>
      <c r="T59" s="15">
        <v>50.35</v>
      </c>
      <c r="U59" s="15">
        <v>39.200000000000003</v>
      </c>
      <c r="V59" s="15">
        <v>572.96</v>
      </c>
      <c r="W59" s="16">
        <v>191.18</v>
      </c>
      <c r="X59" s="19" t="str">
        <f>TEXT(Table4_1[[#This Row],[date]], "hh:mm")</f>
        <v>17:00</v>
      </c>
      <c r="Y59" s="25" t="str">
        <f t="shared" si="0"/>
        <v/>
      </c>
      <c r="Z59" s="22">
        <v>0</v>
      </c>
    </row>
    <row r="60" spans="1:26">
      <c r="A60" s="13">
        <v>45850.729166666664</v>
      </c>
      <c r="B60" s="14">
        <v>-1.51</v>
      </c>
      <c r="C60" s="15">
        <v>0</v>
      </c>
      <c r="D60" s="15">
        <v>-155.11000000000001</v>
      </c>
      <c r="E60" s="15">
        <v>704.35</v>
      </c>
      <c r="F60" s="15">
        <v>6348.36</v>
      </c>
      <c r="G60" s="15">
        <v>-1.57</v>
      </c>
      <c r="H60" s="15">
        <v>4</v>
      </c>
      <c r="I60" s="15">
        <v>512.5</v>
      </c>
      <c r="J60" s="15">
        <v>444.85</v>
      </c>
      <c r="K60" s="15">
        <v>900.46</v>
      </c>
      <c r="L60" s="15">
        <v>849.72</v>
      </c>
      <c r="M60" s="15">
        <v>9.92</v>
      </c>
      <c r="N60" s="15">
        <v>15.39</v>
      </c>
      <c r="O60" s="15">
        <v>14.81</v>
      </c>
      <c r="P60" s="15">
        <v>52.02</v>
      </c>
      <c r="Q60" s="15">
        <v>244.61</v>
      </c>
      <c r="R60" s="15">
        <v>2871.74</v>
      </c>
      <c r="S60" s="15">
        <v>0.43</v>
      </c>
      <c r="T60" s="15">
        <v>0.74</v>
      </c>
      <c r="U60" s="15">
        <v>178.56</v>
      </c>
      <c r="V60" s="15">
        <v>633.65</v>
      </c>
      <c r="W60" s="16">
        <v>186.38</v>
      </c>
      <c r="X60" s="19" t="str">
        <f>TEXT(Table4_1[[#This Row],[date]], "hh:mm")</f>
        <v>17:30</v>
      </c>
      <c r="Y60" s="25" t="str">
        <f t="shared" si="0"/>
        <v/>
      </c>
      <c r="Z60" s="22">
        <v>0</v>
      </c>
    </row>
    <row r="61" spans="1:26">
      <c r="A61" s="13">
        <v>45850.75</v>
      </c>
      <c r="B61" s="14">
        <v>-2.0099999999999998</v>
      </c>
      <c r="C61" s="15">
        <v>0</v>
      </c>
      <c r="D61" s="15">
        <v>-101.71</v>
      </c>
      <c r="E61" s="15">
        <v>561.28</v>
      </c>
      <c r="F61" s="15">
        <v>6998.02</v>
      </c>
      <c r="G61" s="15">
        <v>-1.22</v>
      </c>
      <c r="H61" s="15">
        <v>26.63</v>
      </c>
      <c r="I61" s="15">
        <v>570.39</v>
      </c>
      <c r="J61" s="15">
        <v>379.29</v>
      </c>
      <c r="K61" s="15">
        <v>921.21</v>
      </c>
      <c r="L61" s="15">
        <v>918.11</v>
      </c>
      <c r="M61" s="15">
        <v>0.05</v>
      </c>
      <c r="N61" s="15">
        <v>0.17</v>
      </c>
      <c r="O61" s="15">
        <v>14.17</v>
      </c>
      <c r="P61" s="15">
        <v>35</v>
      </c>
      <c r="Q61" s="15">
        <v>195.46</v>
      </c>
      <c r="R61" s="15">
        <v>3168.93</v>
      </c>
      <c r="S61" s="15">
        <v>0.44</v>
      </c>
      <c r="T61" s="15">
        <v>9.5299999999999994</v>
      </c>
      <c r="U61" s="15">
        <v>196.31</v>
      </c>
      <c r="V61" s="15">
        <v>657.28</v>
      </c>
      <c r="W61" s="16">
        <v>299.99</v>
      </c>
      <c r="X61" s="19" t="str">
        <f>TEXT(Table4_1[[#This Row],[date]], "hh:mm")</f>
        <v>18:00</v>
      </c>
      <c r="Y61" s="25" t="str">
        <f t="shared" si="0"/>
        <v/>
      </c>
      <c r="Z61" s="22">
        <v>0</v>
      </c>
    </row>
    <row r="62" spans="1:26">
      <c r="A62" s="13">
        <v>45850.770833333336</v>
      </c>
      <c r="B62" s="14">
        <v>-2.0299999999999998</v>
      </c>
      <c r="C62" s="15">
        <v>0</v>
      </c>
      <c r="D62" s="15">
        <v>-26.51</v>
      </c>
      <c r="E62" s="15">
        <v>495.67</v>
      </c>
      <c r="F62" s="15">
        <v>7255.17</v>
      </c>
      <c r="G62" s="15">
        <v>-0.99</v>
      </c>
      <c r="H62" s="15">
        <v>26.56</v>
      </c>
      <c r="I62" s="15">
        <v>581.52</v>
      </c>
      <c r="J62" s="15">
        <v>293.07</v>
      </c>
      <c r="K62" s="15">
        <v>877.88</v>
      </c>
      <c r="L62" s="15">
        <v>892.72</v>
      </c>
      <c r="M62" s="15">
        <v>0.05</v>
      </c>
      <c r="N62" s="15">
        <v>0</v>
      </c>
      <c r="O62" s="15">
        <v>13.63</v>
      </c>
      <c r="P62" s="15">
        <v>9.2200000000000006</v>
      </c>
      <c r="Q62" s="15">
        <v>174.34</v>
      </c>
      <c r="R62" s="15">
        <v>3284.88</v>
      </c>
      <c r="S62" s="15">
        <v>0.44</v>
      </c>
      <c r="T62" s="15">
        <v>9.5</v>
      </c>
      <c r="U62" s="15">
        <v>190.71</v>
      </c>
      <c r="V62" s="15">
        <v>670.74</v>
      </c>
      <c r="W62" s="16">
        <v>147.96</v>
      </c>
      <c r="X62" s="19" t="str">
        <f>TEXT(Table4_1[[#This Row],[date]], "hh:mm")</f>
        <v>18:30</v>
      </c>
      <c r="Y62" s="25" t="str">
        <f t="shared" si="0"/>
        <v/>
      </c>
      <c r="Z62" s="22">
        <v>0</v>
      </c>
    </row>
    <row r="63" spans="1:26">
      <c r="A63" s="13">
        <v>45850.791666666664</v>
      </c>
      <c r="B63" s="14">
        <v>-2.5</v>
      </c>
      <c r="C63" s="15">
        <v>0</v>
      </c>
      <c r="D63" s="15">
        <v>-1.6</v>
      </c>
      <c r="E63" s="15">
        <v>522.91</v>
      </c>
      <c r="F63" s="15">
        <v>7304.28</v>
      </c>
      <c r="G63" s="15">
        <v>-0.62</v>
      </c>
      <c r="H63" s="15">
        <v>0</v>
      </c>
      <c r="I63" s="15">
        <v>659.66</v>
      </c>
      <c r="J63" s="15">
        <v>168.81</v>
      </c>
      <c r="K63" s="15">
        <v>845.9</v>
      </c>
      <c r="L63" s="15">
        <v>834.08</v>
      </c>
      <c r="M63" s="15">
        <v>0.05</v>
      </c>
      <c r="N63" s="15">
        <v>0</v>
      </c>
      <c r="O63" s="15">
        <v>12.97</v>
      </c>
      <c r="P63" s="15">
        <v>0.57999999999999996</v>
      </c>
      <c r="Q63" s="15">
        <v>187.43</v>
      </c>
      <c r="R63" s="15">
        <v>3306.85</v>
      </c>
      <c r="S63" s="15">
        <v>0.45</v>
      </c>
      <c r="T63" s="15">
        <v>0</v>
      </c>
      <c r="U63" s="15">
        <v>221.18</v>
      </c>
      <c r="V63" s="15">
        <v>683.09</v>
      </c>
      <c r="W63" s="16">
        <v>252.64</v>
      </c>
      <c r="X63" s="19" t="str">
        <f>TEXT(Table4_1[[#This Row],[date]], "hh:mm")</f>
        <v>19:00</v>
      </c>
      <c r="Y63" s="25" t="str">
        <f t="shared" si="0"/>
        <v/>
      </c>
      <c r="Z63" s="22">
        <v>0</v>
      </c>
    </row>
    <row r="64" spans="1:26">
      <c r="A64" s="13">
        <v>45850.8125</v>
      </c>
      <c r="B64" s="14">
        <v>-4.2699999999999996</v>
      </c>
      <c r="C64" s="15">
        <v>0</v>
      </c>
      <c r="D64" s="15">
        <v>0</v>
      </c>
      <c r="E64" s="15">
        <v>655.32000000000005</v>
      </c>
      <c r="F64" s="15">
        <v>7304.57</v>
      </c>
      <c r="G64" s="15">
        <v>-0.75</v>
      </c>
      <c r="H64" s="15">
        <v>0</v>
      </c>
      <c r="I64" s="15">
        <v>579.75</v>
      </c>
      <c r="J64" s="15">
        <v>33.909999999999997</v>
      </c>
      <c r="K64" s="15">
        <v>759.83</v>
      </c>
      <c r="L64" s="15">
        <v>773.64</v>
      </c>
      <c r="M64" s="15">
        <v>0.05</v>
      </c>
      <c r="N64" s="15">
        <v>0</v>
      </c>
      <c r="O64" s="15">
        <v>12.35</v>
      </c>
      <c r="P64" s="15">
        <v>0</v>
      </c>
      <c r="Q64" s="15">
        <v>238.5</v>
      </c>
      <c r="R64" s="15">
        <v>3306.94</v>
      </c>
      <c r="S64" s="15">
        <v>0.44</v>
      </c>
      <c r="T64" s="15">
        <v>0</v>
      </c>
      <c r="U64" s="15">
        <v>195.53</v>
      </c>
      <c r="V64" s="15">
        <v>693.51</v>
      </c>
      <c r="W64" s="16">
        <v>139.18</v>
      </c>
      <c r="X64" s="19" t="str">
        <f>TEXT(Table4_1[[#This Row],[date]], "hh:mm")</f>
        <v>19:30</v>
      </c>
      <c r="Y64" s="25" t="str">
        <f t="shared" si="0"/>
        <v/>
      </c>
      <c r="Z64" s="22">
        <v>0</v>
      </c>
    </row>
    <row r="65" spans="1:26">
      <c r="A65" s="13">
        <v>45850.833333333336</v>
      </c>
      <c r="B65" s="14">
        <v>-6.4</v>
      </c>
      <c r="C65" s="15">
        <v>0</v>
      </c>
      <c r="D65" s="15">
        <v>0</v>
      </c>
      <c r="E65" s="15">
        <v>776.71</v>
      </c>
      <c r="F65" s="15">
        <v>7305.94</v>
      </c>
      <c r="G65" s="15">
        <v>-1.31</v>
      </c>
      <c r="H65" s="15">
        <v>0</v>
      </c>
      <c r="I65" s="15">
        <v>496.44</v>
      </c>
      <c r="J65" s="15">
        <v>2.81</v>
      </c>
      <c r="K65" s="15">
        <v>763.22</v>
      </c>
      <c r="L65" s="15">
        <v>612.73</v>
      </c>
      <c r="M65" s="15">
        <v>0.05</v>
      </c>
      <c r="N65" s="15">
        <v>0</v>
      </c>
      <c r="O65" s="15">
        <v>11.77</v>
      </c>
      <c r="P65" s="15">
        <v>0</v>
      </c>
      <c r="Q65" s="15">
        <v>278.08999999999997</v>
      </c>
      <c r="R65" s="15">
        <v>3307.34</v>
      </c>
      <c r="S65" s="15">
        <v>0.44</v>
      </c>
      <c r="T65" s="15">
        <v>0</v>
      </c>
      <c r="U65" s="15">
        <v>167.64</v>
      </c>
      <c r="V65" s="15">
        <v>698.56</v>
      </c>
      <c r="W65" s="16">
        <v>112.18</v>
      </c>
      <c r="X65" s="19" t="str">
        <f>TEXT(Table4_1[[#This Row],[date]], "hh:mm")</f>
        <v>20:00</v>
      </c>
      <c r="Y65" s="25" t="str">
        <f t="shared" si="0"/>
        <v/>
      </c>
      <c r="Z65" s="22">
        <v>0</v>
      </c>
    </row>
    <row r="66" spans="1:26">
      <c r="A66" s="13">
        <v>45850.854166666664</v>
      </c>
      <c r="B66" s="14">
        <v>-3.04</v>
      </c>
      <c r="C66" s="15">
        <v>0</v>
      </c>
      <c r="D66" s="15">
        <v>0</v>
      </c>
      <c r="E66" s="15">
        <v>991.87</v>
      </c>
      <c r="F66" s="15">
        <v>7345.75</v>
      </c>
      <c r="G66" s="15">
        <v>-0.97</v>
      </c>
      <c r="H66" s="15">
        <v>0</v>
      </c>
      <c r="I66" s="15">
        <v>273.85000000000002</v>
      </c>
      <c r="J66" s="15">
        <v>6.24</v>
      </c>
      <c r="K66" s="15">
        <v>598.26</v>
      </c>
      <c r="L66" s="15">
        <v>613.29999999999995</v>
      </c>
      <c r="M66" s="15">
        <v>0.05</v>
      </c>
      <c r="N66" s="15">
        <v>0</v>
      </c>
      <c r="O66" s="15">
        <v>11.41</v>
      </c>
      <c r="P66" s="15">
        <v>0</v>
      </c>
      <c r="Q66" s="15">
        <v>345.87</v>
      </c>
      <c r="R66" s="15">
        <v>3325.23</v>
      </c>
      <c r="S66" s="15">
        <v>0.45</v>
      </c>
      <c r="T66" s="15">
        <v>0</v>
      </c>
      <c r="U66" s="15">
        <v>101.09</v>
      </c>
      <c r="V66" s="15">
        <v>697.54</v>
      </c>
      <c r="W66" s="16">
        <v>100.02</v>
      </c>
      <c r="X66" s="19" t="str">
        <f>TEXT(Table4_1[[#This Row],[date]], "hh:mm")</f>
        <v>20:30</v>
      </c>
      <c r="Y66" s="25" t="str">
        <f t="shared" ref="Y66:Y129" si="1">IF(AND(HOUR(A66)=0,MINUTE(A66)=0),TEXT(A66,"d mmm"),"")</f>
        <v/>
      </c>
      <c r="Z66" s="22">
        <v>0</v>
      </c>
    </row>
    <row r="67" spans="1:26">
      <c r="A67" s="13">
        <v>45850.875</v>
      </c>
      <c r="B67" s="14">
        <v>-5.24</v>
      </c>
      <c r="C67" s="15">
        <v>0</v>
      </c>
      <c r="D67" s="15">
        <v>0</v>
      </c>
      <c r="E67" s="15">
        <v>1424.57</v>
      </c>
      <c r="F67" s="15">
        <v>7322.64</v>
      </c>
      <c r="G67" s="15">
        <v>-1.25</v>
      </c>
      <c r="H67" s="15">
        <v>0</v>
      </c>
      <c r="I67" s="15">
        <v>43.6</v>
      </c>
      <c r="J67" s="15">
        <v>2.4500000000000002</v>
      </c>
      <c r="K67" s="15">
        <v>397.99</v>
      </c>
      <c r="L67" s="15">
        <v>679.39</v>
      </c>
      <c r="M67" s="15">
        <v>0.05</v>
      </c>
      <c r="N67" s="15">
        <v>0</v>
      </c>
      <c r="O67" s="15">
        <v>10.97</v>
      </c>
      <c r="P67" s="15">
        <v>0</v>
      </c>
      <c r="Q67" s="15">
        <v>484.72</v>
      </c>
      <c r="R67" s="15">
        <v>3314.98</v>
      </c>
      <c r="S67" s="15">
        <v>0.44</v>
      </c>
      <c r="T67" s="15">
        <v>0</v>
      </c>
      <c r="U67" s="15">
        <v>13.13</v>
      </c>
      <c r="V67" s="15">
        <v>674.87</v>
      </c>
      <c r="W67" s="16">
        <v>88.68</v>
      </c>
      <c r="X67" s="19" t="str">
        <f>TEXT(Table4_1[[#This Row],[date]], "hh:mm")</f>
        <v>21:00</v>
      </c>
      <c r="Y67" s="25" t="str">
        <f t="shared" si="1"/>
        <v/>
      </c>
      <c r="Z67" s="22">
        <v>0</v>
      </c>
    </row>
    <row r="68" spans="1:26">
      <c r="A68" s="13">
        <v>45850.895833333336</v>
      </c>
      <c r="B68" s="14">
        <v>-5.66</v>
      </c>
      <c r="C68" s="15">
        <v>0</v>
      </c>
      <c r="D68" s="15">
        <v>0</v>
      </c>
      <c r="E68" s="15">
        <v>1385.5</v>
      </c>
      <c r="F68" s="15">
        <v>7337.44</v>
      </c>
      <c r="G68" s="15">
        <v>-1.28</v>
      </c>
      <c r="H68" s="15">
        <v>0</v>
      </c>
      <c r="I68" s="15">
        <v>43.97</v>
      </c>
      <c r="J68" s="15">
        <v>1.79</v>
      </c>
      <c r="K68" s="15">
        <v>272.16000000000003</v>
      </c>
      <c r="L68" s="15">
        <v>731.77</v>
      </c>
      <c r="M68" s="15">
        <v>0.05</v>
      </c>
      <c r="N68" s="15">
        <v>0</v>
      </c>
      <c r="O68" s="15">
        <v>10.75</v>
      </c>
      <c r="P68" s="15">
        <v>0</v>
      </c>
      <c r="Q68" s="15">
        <v>457.31</v>
      </c>
      <c r="R68" s="15">
        <v>3321.52</v>
      </c>
      <c r="S68" s="15">
        <v>0.44</v>
      </c>
      <c r="T68" s="15">
        <v>0</v>
      </c>
      <c r="U68" s="15">
        <v>13.24</v>
      </c>
      <c r="V68" s="15">
        <v>683.04</v>
      </c>
      <c r="W68" s="16">
        <v>87.25</v>
      </c>
      <c r="X68" s="19" t="str">
        <f>TEXT(Table4_1[[#This Row],[date]], "hh:mm")</f>
        <v>21:30</v>
      </c>
      <c r="Y68" s="25" t="str">
        <f t="shared" si="1"/>
        <v/>
      </c>
      <c r="Z68" s="22">
        <v>0</v>
      </c>
    </row>
    <row r="69" spans="1:26">
      <c r="A69" s="13">
        <v>45850.916666666664</v>
      </c>
      <c r="B69" s="14">
        <v>-4.1500000000000004</v>
      </c>
      <c r="C69" s="15">
        <v>0</v>
      </c>
      <c r="D69" s="15">
        <v>0</v>
      </c>
      <c r="E69" s="15">
        <v>1340.24</v>
      </c>
      <c r="F69" s="15">
        <v>7279.91</v>
      </c>
      <c r="G69" s="15">
        <v>-1.21</v>
      </c>
      <c r="H69" s="15">
        <v>0</v>
      </c>
      <c r="I69" s="15">
        <v>43.78</v>
      </c>
      <c r="J69" s="15">
        <v>5.14</v>
      </c>
      <c r="K69" s="15">
        <v>231.98</v>
      </c>
      <c r="L69" s="15">
        <v>696.27</v>
      </c>
      <c r="M69" s="15">
        <v>0.05</v>
      </c>
      <c r="N69" s="15">
        <v>0</v>
      </c>
      <c r="O69" s="15">
        <v>10.83</v>
      </c>
      <c r="P69" s="15">
        <v>0</v>
      </c>
      <c r="Q69" s="15">
        <v>438.82</v>
      </c>
      <c r="R69" s="15">
        <v>3296.04</v>
      </c>
      <c r="S69" s="15">
        <v>0.44</v>
      </c>
      <c r="T69" s="15">
        <v>0</v>
      </c>
      <c r="U69" s="15">
        <v>13.18</v>
      </c>
      <c r="V69" s="15">
        <v>690.09</v>
      </c>
      <c r="W69" s="16">
        <v>79.02</v>
      </c>
      <c r="X69" s="19" t="str">
        <f>TEXT(Table4_1[[#This Row],[date]], "hh:mm")</f>
        <v>22:00</v>
      </c>
      <c r="Y69" s="25" t="str">
        <f t="shared" si="1"/>
        <v/>
      </c>
      <c r="Z69" s="22">
        <v>0</v>
      </c>
    </row>
    <row r="70" spans="1:26">
      <c r="A70" s="13">
        <v>45850.9375</v>
      </c>
      <c r="B70" s="14">
        <v>-11.87</v>
      </c>
      <c r="C70" s="15">
        <v>0</v>
      </c>
      <c r="D70" s="15">
        <v>0</v>
      </c>
      <c r="E70" s="15">
        <v>1252.42</v>
      </c>
      <c r="F70" s="15">
        <v>7283.77</v>
      </c>
      <c r="G70" s="15">
        <v>-1.43</v>
      </c>
      <c r="H70" s="15">
        <v>0</v>
      </c>
      <c r="I70" s="15">
        <v>43.82</v>
      </c>
      <c r="J70" s="15">
        <v>11.09</v>
      </c>
      <c r="K70" s="15">
        <v>277.70999999999998</v>
      </c>
      <c r="L70" s="15">
        <v>658.89</v>
      </c>
      <c r="M70" s="15">
        <v>0.05</v>
      </c>
      <c r="N70" s="15">
        <v>0</v>
      </c>
      <c r="O70" s="15">
        <v>10.52</v>
      </c>
      <c r="P70" s="15">
        <v>0</v>
      </c>
      <c r="Q70" s="15">
        <v>402.56</v>
      </c>
      <c r="R70" s="15">
        <v>3294.46</v>
      </c>
      <c r="S70" s="15">
        <v>0.44</v>
      </c>
      <c r="T70" s="15">
        <v>0</v>
      </c>
      <c r="U70" s="15">
        <v>13.19</v>
      </c>
      <c r="V70" s="15">
        <v>695.38</v>
      </c>
      <c r="W70" s="16">
        <v>100.02</v>
      </c>
      <c r="X70" s="19" t="str">
        <f>TEXT(Table4_1[[#This Row],[date]], "hh:mm")</f>
        <v>22:30</v>
      </c>
      <c r="Y70" s="25" t="str">
        <f t="shared" si="1"/>
        <v/>
      </c>
      <c r="Z70" s="22">
        <v>0</v>
      </c>
    </row>
    <row r="71" spans="1:26">
      <c r="A71" s="13">
        <v>45850.958333333336</v>
      </c>
      <c r="B71" s="14">
        <v>-11.65</v>
      </c>
      <c r="C71" s="15">
        <v>0</v>
      </c>
      <c r="D71" s="15">
        <v>0</v>
      </c>
      <c r="E71" s="15">
        <v>1223.02</v>
      </c>
      <c r="F71" s="15">
        <v>7263.7</v>
      </c>
      <c r="G71" s="15">
        <v>-1.1299999999999999</v>
      </c>
      <c r="H71" s="15">
        <v>0</v>
      </c>
      <c r="I71" s="15">
        <v>43.54</v>
      </c>
      <c r="J71" s="15">
        <v>2.0299999999999998</v>
      </c>
      <c r="K71" s="15">
        <v>264.23</v>
      </c>
      <c r="L71" s="15">
        <v>637.21</v>
      </c>
      <c r="M71" s="15">
        <v>0.05</v>
      </c>
      <c r="N71" s="15">
        <v>0</v>
      </c>
      <c r="O71" s="15">
        <v>10.050000000000001</v>
      </c>
      <c r="P71" s="15">
        <v>0</v>
      </c>
      <c r="Q71" s="15">
        <v>383.18</v>
      </c>
      <c r="R71" s="15">
        <v>3285.83</v>
      </c>
      <c r="S71" s="15">
        <v>0.44</v>
      </c>
      <c r="T71" s="15">
        <v>0</v>
      </c>
      <c r="U71" s="15">
        <v>13.11</v>
      </c>
      <c r="V71" s="15">
        <v>700.43</v>
      </c>
      <c r="W71" s="16">
        <v>102.76</v>
      </c>
      <c r="X71" s="19" t="str">
        <f>TEXT(Table4_1[[#This Row],[date]], "hh:mm")</f>
        <v>23:00</v>
      </c>
      <c r="Y71" s="25" t="str">
        <f t="shared" si="1"/>
        <v/>
      </c>
      <c r="Z71" s="22">
        <v>0</v>
      </c>
    </row>
    <row r="72" spans="1:26">
      <c r="A72" s="13">
        <v>45850.979166666664</v>
      </c>
      <c r="B72" s="14">
        <v>-7.38</v>
      </c>
      <c r="C72" s="15">
        <v>0</v>
      </c>
      <c r="D72" s="15">
        <v>0</v>
      </c>
      <c r="E72" s="15">
        <v>1237.74</v>
      </c>
      <c r="F72" s="15">
        <v>7253.23</v>
      </c>
      <c r="G72" s="15">
        <v>-1.45</v>
      </c>
      <c r="H72" s="15">
        <v>0</v>
      </c>
      <c r="I72" s="15">
        <v>43.46</v>
      </c>
      <c r="J72" s="15">
        <v>2.25</v>
      </c>
      <c r="K72" s="15">
        <v>127.67</v>
      </c>
      <c r="L72" s="15">
        <v>532.70000000000005</v>
      </c>
      <c r="M72" s="15">
        <v>0.05</v>
      </c>
      <c r="N72" s="15">
        <v>0</v>
      </c>
      <c r="O72" s="15">
        <v>9.6199999999999992</v>
      </c>
      <c r="P72" s="15">
        <v>0</v>
      </c>
      <c r="Q72" s="15">
        <v>376.35</v>
      </c>
      <c r="R72" s="15">
        <v>3283.82</v>
      </c>
      <c r="S72" s="15">
        <v>0.44</v>
      </c>
      <c r="T72" s="15">
        <v>0</v>
      </c>
      <c r="U72" s="15">
        <v>13.09</v>
      </c>
      <c r="V72" s="15">
        <v>717.73</v>
      </c>
      <c r="W72" s="16">
        <v>100.02</v>
      </c>
      <c r="X72" s="19" t="str">
        <f>TEXT(Table4_1[[#This Row],[date]], "hh:mm")</f>
        <v>23:30</v>
      </c>
      <c r="Y72" s="25" t="str">
        <f t="shared" si="1"/>
        <v/>
      </c>
      <c r="Z72" s="22">
        <v>0</v>
      </c>
    </row>
    <row r="73" spans="1:26">
      <c r="A73" s="13">
        <v>45851</v>
      </c>
      <c r="B73" s="14">
        <v>-13.82</v>
      </c>
      <c r="C73" s="15">
        <v>0</v>
      </c>
      <c r="D73" s="15">
        <v>-68.790000000000006</v>
      </c>
      <c r="E73" s="15">
        <v>1179.3499999999999</v>
      </c>
      <c r="F73" s="15">
        <v>7003.96</v>
      </c>
      <c r="G73" s="15">
        <v>-1.01</v>
      </c>
      <c r="H73" s="15">
        <v>0</v>
      </c>
      <c r="I73" s="15">
        <v>43.51</v>
      </c>
      <c r="J73" s="15">
        <v>0.25</v>
      </c>
      <c r="K73" s="15">
        <v>84.64</v>
      </c>
      <c r="L73" s="15">
        <v>502.98</v>
      </c>
      <c r="M73" s="15">
        <v>0.05</v>
      </c>
      <c r="N73" s="15">
        <v>0</v>
      </c>
      <c r="O73" s="15">
        <v>9.2100000000000009</v>
      </c>
      <c r="P73" s="15">
        <v>28.62</v>
      </c>
      <c r="Q73" s="15">
        <v>319.72000000000003</v>
      </c>
      <c r="R73" s="15">
        <v>3172.56</v>
      </c>
      <c r="S73" s="15">
        <v>0.44</v>
      </c>
      <c r="T73" s="15">
        <v>0</v>
      </c>
      <c r="U73" s="15">
        <v>13.1</v>
      </c>
      <c r="V73" s="15">
        <v>729.83</v>
      </c>
      <c r="W73" s="16">
        <v>81.67</v>
      </c>
      <c r="X73" s="19" t="str">
        <f>TEXT(Table4_1[[#This Row],[date]], "hh:mm")</f>
        <v>00:00</v>
      </c>
      <c r="Y73" s="25" t="str">
        <f t="shared" si="1"/>
        <v>13 Jul</v>
      </c>
      <c r="Z73" s="22">
        <v>0</v>
      </c>
    </row>
    <row r="74" spans="1:26">
      <c r="A74" s="13">
        <v>45851.020833333336</v>
      </c>
      <c r="B74" s="14">
        <v>-4.16</v>
      </c>
      <c r="C74" s="15">
        <v>0</v>
      </c>
      <c r="D74" s="15">
        <v>-47.18</v>
      </c>
      <c r="E74" s="15">
        <v>1151.67</v>
      </c>
      <c r="F74" s="15">
        <v>6735.58</v>
      </c>
      <c r="G74" s="15">
        <v>-1.24</v>
      </c>
      <c r="H74" s="15">
        <v>0</v>
      </c>
      <c r="I74" s="15">
        <v>43.54</v>
      </c>
      <c r="J74" s="15">
        <v>1.57</v>
      </c>
      <c r="K74" s="15">
        <v>69.61</v>
      </c>
      <c r="L74" s="15">
        <v>492.94</v>
      </c>
      <c r="M74" s="15">
        <v>0.05</v>
      </c>
      <c r="N74" s="15">
        <v>0</v>
      </c>
      <c r="O74" s="15">
        <v>9.34</v>
      </c>
      <c r="P74" s="15">
        <v>19.600000000000001</v>
      </c>
      <c r="Q74" s="15">
        <v>295.22000000000003</v>
      </c>
      <c r="R74" s="15">
        <v>3045.97</v>
      </c>
      <c r="S74" s="15">
        <v>0.43</v>
      </c>
      <c r="T74" s="15">
        <v>0</v>
      </c>
      <c r="U74" s="15">
        <v>13.11</v>
      </c>
      <c r="V74" s="15">
        <v>724.8</v>
      </c>
      <c r="W74" s="16">
        <v>88.84</v>
      </c>
      <c r="X74" s="19" t="str">
        <f>TEXT(Table4_1[[#This Row],[date]], "hh:mm")</f>
        <v>00:30</v>
      </c>
      <c r="Y74" s="25" t="str">
        <f t="shared" si="1"/>
        <v/>
      </c>
      <c r="Z74" s="22">
        <v>0</v>
      </c>
    </row>
    <row r="75" spans="1:26">
      <c r="A75" s="13">
        <v>45851.041666666664</v>
      </c>
      <c r="B75" s="14">
        <v>-5.79</v>
      </c>
      <c r="C75" s="15">
        <v>0</v>
      </c>
      <c r="D75" s="15">
        <v>-13.56</v>
      </c>
      <c r="E75" s="15">
        <v>1158.3399999999999</v>
      </c>
      <c r="F75" s="15">
        <v>6466.19</v>
      </c>
      <c r="G75" s="15">
        <v>-3.77</v>
      </c>
      <c r="H75" s="15">
        <v>0</v>
      </c>
      <c r="I75" s="15">
        <v>43.1</v>
      </c>
      <c r="J75" s="15">
        <v>1.5</v>
      </c>
      <c r="K75" s="15">
        <v>42.89</v>
      </c>
      <c r="L75" s="15">
        <v>516.82000000000005</v>
      </c>
      <c r="M75" s="15">
        <v>0.05</v>
      </c>
      <c r="N75" s="15">
        <v>0</v>
      </c>
      <c r="O75" s="15">
        <v>9.2899999999999991</v>
      </c>
      <c r="P75" s="15">
        <v>5.62</v>
      </c>
      <c r="Q75" s="15">
        <v>305.29000000000002</v>
      </c>
      <c r="R75" s="15">
        <v>2923.28</v>
      </c>
      <c r="S75" s="15">
        <v>0.39</v>
      </c>
      <c r="T75" s="15">
        <v>0</v>
      </c>
      <c r="U75" s="15">
        <v>12.98</v>
      </c>
      <c r="V75" s="15">
        <v>715.75</v>
      </c>
      <c r="W75" s="16">
        <v>86.23</v>
      </c>
      <c r="X75" s="19" t="str">
        <f>TEXT(Table4_1[[#This Row],[date]], "hh:mm")</f>
        <v>01:00</v>
      </c>
      <c r="Y75" s="25" t="str">
        <f t="shared" si="1"/>
        <v/>
      </c>
      <c r="Z75" s="22">
        <v>0</v>
      </c>
    </row>
    <row r="76" spans="1:26">
      <c r="A76" s="13">
        <v>45851.0625</v>
      </c>
      <c r="B76" s="14">
        <v>-6.37</v>
      </c>
      <c r="C76" s="15">
        <v>0</v>
      </c>
      <c r="D76" s="15">
        <v>-4.1399999999999997</v>
      </c>
      <c r="E76" s="15">
        <v>1161.68</v>
      </c>
      <c r="F76" s="15">
        <v>6103.18</v>
      </c>
      <c r="G76" s="15">
        <v>-1.63</v>
      </c>
      <c r="H76" s="15">
        <v>0</v>
      </c>
      <c r="I76" s="15">
        <v>43.18</v>
      </c>
      <c r="J76" s="15">
        <v>2.14</v>
      </c>
      <c r="K76" s="15">
        <v>30.59</v>
      </c>
      <c r="L76" s="15">
        <v>616.01</v>
      </c>
      <c r="M76" s="15">
        <v>0.05</v>
      </c>
      <c r="N76" s="15">
        <v>0</v>
      </c>
      <c r="O76" s="15">
        <v>9.0299999999999994</v>
      </c>
      <c r="P76" s="15">
        <v>1.69</v>
      </c>
      <c r="Q76" s="15">
        <v>294.89</v>
      </c>
      <c r="R76" s="15">
        <v>2757.87</v>
      </c>
      <c r="S76" s="15">
        <v>0.43</v>
      </c>
      <c r="T76" s="15">
        <v>0</v>
      </c>
      <c r="U76" s="15">
        <v>13</v>
      </c>
      <c r="V76" s="15">
        <v>697.65</v>
      </c>
      <c r="W76" s="16">
        <v>76.58</v>
      </c>
      <c r="X76" s="19" t="str">
        <f>TEXT(Table4_1[[#This Row],[date]], "hh:mm")</f>
        <v>01:30</v>
      </c>
      <c r="Y76" s="25" t="str">
        <f t="shared" si="1"/>
        <v/>
      </c>
      <c r="Z76" s="22">
        <v>0</v>
      </c>
    </row>
    <row r="77" spans="1:26">
      <c r="A77" s="13">
        <v>45851.083333333336</v>
      </c>
      <c r="B77" s="14">
        <v>-6.84</v>
      </c>
      <c r="C77" s="15">
        <v>0</v>
      </c>
      <c r="D77" s="15">
        <v>0</v>
      </c>
      <c r="E77" s="15">
        <v>1161.04</v>
      </c>
      <c r="F77" s="15">
        <v>5914.4</v>
      </c>
      <c r="G77" s="15">
        <v>-1.05</v>
      </c>
      <c r="H77" s="15">
        <v>0</v>
      </c>
      <c r="I77" s="15">
        <v>42.7</v>
      </c>
      <c r="J77" s="15">
        <v>2.73</v>
      </c>
      <c r="K77" s="15">
        <v>30.71</v>
      </c>
      <c r="L77" s="15">
        <v>587.45000000000005</v>
      </c>
      <c r="M77" s="15">
        <v>0.05</v>
      </c>
      <c r="N77" s="15">
        <v>0</v>
      </c>
      <c r="O77" s="15">
        <v>8.82</v>
      </c>
      <c r="P77" s="15">
        <v>0</v>
      </c>
      <c r="Q77" s="15">
        <v>287.43</v>
      </c>
      <c r="R77" s="15">
        <v>2670.32</v>
      </c>
      <c r="S77" s="15">
        <v>0.45</v>
      </c>
      <c r="T77" s="15">
        <v>0</v>
      </c>
      <c r="U77" s="15">
        <v>12.86</v>
      </c>
      <c r="V77" s="15">
        <v>694.23</v>
      </c>
      <c r="W77" s="16">
        <v>76.58</v>
      </c>
      <c r="X77" s="19" t="str">
        <f>TEXT(Table4_1[[#This Row],[date]], "hh:mm")</f>
        <v>02:00</v>
      </c>
      <c r="Y77" s="25" t="str">
        <f t="shared" si="1"/>
        <v/>
      </c>
      <c r="Z77" s="22">
        <v>0</v>
      </c>
    </row>
    <row r="78" spans="1:26">
      <c r="A78" s="13">
        <v>45851.104166666664</v>
      </c>
      <c r="B78" s="14">
        <v>-7.97</v>
      </c>
      <c r="C78" s="15">
        <v>0</v>
      </c>
      <c r="D78" s="15">
        <v>0</v>
      </c>
      <c r="E78" s="15">
        <v>1158.72</v>
      </c>
      <c r="F78" s="15">
        <v>5907.53</v>
      </c>
      <c r="G78" s="15">
        <v>-1.07</v>
      </c>
      <c r="H78" s="15">
        <v>0</v>
      </c>
      <c r="I78" s="15">
        <v>42.92</v>
      </c>
      <c r="J78" s="15">
        <v>1.41</v>
      </c>
      <c r="K78" s="15">
        <v>30.6</v>
      </c>
      <c r="L78" s="15">
        <v>458.51</v>
      </c>
      <c r="M78" s="15">
        <v>0.05</v>
      </c>
      <c r="N78" s="15">
        <v>0</v>
      </c>
      <c r="O78" s="15">
        <v>8.6199999999999992</v>
      </c>
      <c r="P78" s="15">
        <v>0</v>
      </c>
      <c r="Q78" s="15">
        <v>290.31</v>
      </c>
      <c r="R78" s="15">
        <v>2670.49</v>
      </c>
      <c r="S78" s="15">
        <v>0.44</v>
      </c>
      <c r="T78" s="15">
        <v>0</v>
      </c>
      <c r="U78" s="15">
        <v>12.92</v>
      </c>
      <c r="V78" s="15">
        <v>707.14</v>
      </c>
      <c r="W78" s="16">
        <v>76.8</v>
      </c>
      <c r="X78" s="19" t="str">
        <f>TEXT(Table4_1[[#This Row],[date]], "hh:mm")</f>
        <v>02:30</v>
      </c>
      <c r="Y78" s="25" t="str">
        <f t="shared" si="1"/>
        <v/>
      </c>
      <c r="Z78" s="22">
        <v>0</v>
      </c>
    </row>
    <row r="79" spans="1:26">
      <c r="A79" s="13">
        <v>45851.125</v>
      </c>
      <c r="B79" s="14">
        <v>-8.36</v>
      </c>
      <c r="C79" s="15">
        <v>0</v>
      </c>
      <c r="D79" s="15">
        <v>0</v>
      </c>
      <c r="E79" s="15">
        <v>1188.4000000000001</v>
      </c>
      <c r="F79" s="15">
        <v>5740.51</v>
      </c>
      <c r="G79" s="15">
        <v>-2.63</v>
      </c>
      <c r="H79" s="15">
        <v>0</v>
      </c>
      <c r="I79" s="15">
        <v>42.79</v>
      </c>
      <c r="J79" s="15">
        <v>2.25</v>
      </c>
      <c r="K79" s="15">
        <v>30.61</v>
      </c>
      <c r="L79" s="15">
        <v>495.65</v>
      </c>
      <c r="M79" s="15">
        <v>0.05</v>
      </c>
      <c r="N79" s="15">
        <v>0</v>
      </c>
      <c r="O79" s="15">
        <v>8.43</v>
      </c>
      <c r="P79" s="15">
        <v>0</v>
      </c>
      <c r="Q79" s="15">
        <v>317.52999999999997</v>
      </c>
      <c r="R79" s="15">
        <v>2593.94</v>
      </c>
      <c r="S79" s="15">
        <v>0.44</v>
      </c>
      <c r="T79" s="15">
        <v>0</v>
      </c>
      <c r="U79" s="15">
        <v>12.88</v>
      </c>
      <c r="V79" s="15">
        <v>696.27</v>
      </c>
      <c r="W79" s="16">
        <v>76.42</v>
      </c>
      <c r="X79" s="19" t="str">
        <f>TEXT(Table4_1[[#This Row],[date]], "hh:mm")</f>
        <v>03:00</v>
      </c>
      <c r="Y79" s="25" t="str">
        <f t="shared" si="1"/>
        <v/>
      </c>
      <c r="Z79" s="22">
        <v>0</v>
      </c>
    </row>
    <row r="80" spans="1:26">
      <c r="A80" s="13">
        <v>45851.145833333336</v>
      </c>
      <c r="B80" s="14">
        <v>-12.28</v>
      </c>
      <c r="C80" s="15">
        <v>0</v>
      </c>
      <c r="D80" s="15">
        <v>0</v>
      </c>
      <c r="E80" s="15">
        <v>1211.4000000000001</v>
      </c>
      <c r="F80" s="15">
        <v>5590.23</v>
      </c>
      <c r="G80" s="15">
        <v>-0.85</v>
      </c>
      <c r="H80" s="15">
        <v>0</v>
      </c>
      <c r="I80" s="15">
        <v>42.66</v>
      </c>
      <c r="J80" s="15">
        <v>0.73</v>
      </c>
      <c r="K80" s="15">
        <v>30.61</v>
      </c>
      <c r="L80" s="15">
        <v>560.57000000000005</v>
      </c>
      <c r="M80" s="15">
        <v>0.05</v>
      </c>
      <c r="N80" s="15">
        <v>0</v>
      </c>
      <c r="O80" s="15">
        <v>8.3699999999999992</v>
      </c>
      <c r="P80" s="15">
        <v>0</v>
      </c>
      <c r="Q80" s="15">
        <v>327</v>
      </c>
      <c r="R80" s="15">
        <v>2519.94</v>
      </c>
      <c r="S80" s="15">
        <v>0.44</v>
      </c>
      <c r="T80" s="15">
        <v>0</v>
      </c>
      <c r="U80" s="15">
        <v>12.84</v>
      </c>
      <c r="V80" s="15">
        <v>682.52</v>
      </c>
      <c r="W80" s="16">
        <v>76.58</v>
      </c>
      <c r="X80" s="19" t="str">
        <f>TEXT(Table4_1[[#This Row],[date]], "hh:mm")</f>
        <v>03:30</v>
      </c>
      <c r="Y80" s="25" t="str">
        <f t="shared" si="1"/>
        <v/>
      </c>
      <c r="Z80" s="22">
        <v>0</v>
      </c>
    </row>
    <row r="81" spans="1:26">
      <c r="A81" s="13">
        <v>45851.166666666664</v>
      </c>
      <c r="B81" s="14">
        <v>-16.11</v>
      </c>
      <c r="C81" s="15">
        <v>0</v>
      </c>
      <c r="D81" s="15">
        <v>-1.54</v>
      </c>
      <c r="E81" s="15">
        <v>1120.46</v>
      </c>
      <c r="F81" s="15">
        <v>5569.67</v>
      </c>
      <c r="G81" s="15">
        <v>-1.02</v>
      </c>
      <c r="H81" s="15">
        <v>0</v>
      </c>
      <c r="I81" s="15">
        <v>42.41</v>
      </c>
      <c r="J81" s="15">
        <v>1</v>
      </c>
      <c r="K81" s="15">
        <v>25.51</v>
      </c>
      <c r="L81" s="15">
        <v>565.66999999999996</v>
      </c>
      <c r="M81" s="15">
        <v>0.05</v>
      </c>
      <c r="N81" s="15">
        <v>0</v>
      </c>
      <c r="O81" s="15">
        <v>8.0299999999999994</v>
      </c>
      <c r="P81" s="15">
        <v>0.63</v>
      </c>
      <c r="Q81" s="15">
        <v>293.86</v>
      </c>
      <c r="R81" s="15">
        <v>2510.21</v>
      </c>
      <c r="S81" s="15">
        <v>0.45</v>
      </c>
      <c r="T81" s="15">
        <v>0</v>
      </c>
      <c r="U81" s="15">
        <v>12.77</v>
      </c>
      <c r="V81" s="15">
        <v>690.77</v>
      </c>
      <c r="W81" s="16">
        <v>75.84</v>
      </c>
      <c r="X81" s="19" t="str">
        <f>TEXT(Table4_1[[#This Row],[date]], "hh:mm")</f>
        <v>04:00</v>
      </c>
      <c r="Y81" s="25" t="str">
        <f t="shared" si="1"/>
        <v/>
      </c>
      <c r="Z81" s="22">
        <v>0</v>
      </c>
    </row>
    <row r="82" spans="1:26">
      <c r="A82" s="13">
        <v>45851.1875</v>
      </c>
      <c r="B82" s="14">
        <v>-21.6</v>
      </c>
      <c r="C82" s="15">
        <v>0</v>
      </c>
      <c r="D82" s="15">
        <v>-11.78</v>
      </c>
      <c r="E82" s="15">
        <v>1085.6400000000001</v>
      </c>
      <c r="F82" s="15">
        <v>5769.39</v>
      </c>
      <c r="G82" s="15">
        <v>-1.77</v>
      </c>
      <c r="H82" s="15">
        <v>0</v>
      </c>
      <c r="I82" s="15">
        <v>43.34</v>
      </c>
      <c r="J82" s="15">
        <v>1.95</v>
      </c>
      <c r="K82" s="15">
        <v>-0.32</v>
      </c>
      <c r="L82" s="15">
        <v>572.49</v>
      </c>
      <c r="M82" s="15">
        <v>0.05</v>
      </c>
      <c r="N82" s="15">
        <v>0</v>
      </c>
      <c r="O82" s="15">
        <v>7.68</v>
      </c>
      <c r="P82" s="15">
        <v>4.8600000000000003</v>
      </c>
      <c r="Q82" s="15">
        <v>278.2</v>
      </c>
      <c r="R82" s="15">
        <v>2609.27</v>
      </c>
      <c r="S82" s="15">
        <v>0.45</v>
      </c>
      <c r="T82" s="15">
        <v>0</v>
      </c>
      <c r="U82" s="15">
        <v>13.05</v>
      </c>
      <c r="V82" s="15">
        <v>705.29</v>
      </c>
      <c r="W82" s="16">
        <v>72.2</v>
      </c>
      <c r="X82" s="19" t="str">
        <f>TEXT(Table4_1[[#This Row],[date]], "hh:mm")</f>
        <v>04:30</v>
      </c>
      <c r="Y82" s="25" t="str">
        <f t="shared" si="1"/>
        <v/>
      </c>
      <c r="Z82" s="22">
        <v>0</v>
      </c>
    </row>
    <row r="83" spans="1:26">
      <c r="A83" s="13">
        <v>45851.208333333336</v>
      </c>
      <c r="B83" s="14">
        <v>-5.82</v>
      </c>
      <c r="C83" s="15">
        <v>0</v>
      </c>
      <c r="D83" s="15">
        <v>0</v>
      </c>
      <c r="E83" s="15">
        <v>1093.72</v>
      </c>
      <c r="F83" s="15">
        <v>5952.8</v>
      </c>
      <c r="G83" s="15">
        <v>-0.21</v>
      </c>
      <c r="H83" s="15">
        <v>0</v>
      </c>
      <c r="I83" s="15">
        <v>44.17</v>
      </c>
      <c r="J83" s="15">
        <v>1.82</v>
      </c>
      <c r="K83" s="15">
        <v>-0.28000000000000003</v>
      </c>
      <c r="L83" s="15">
        <v>561.38</v>
      </c>
      <c r="M83" s="15">
        <v>0.05</v>
      </c>
      <c r="N83" s="15">
        <v>0</v>
      </c>
      <c r="O83" s="15">
        <v>7.71</v>
      </c>
      <c r="P83" s="15">
        <v>0</v>
      </c>
      <c r="Q83" s="15">
        <v>284.94</v>
      </c>
      <c r="R83" s="15">
        <v>2696.67</v>
      </c>
      <c r="S83" s="15">
        <v>0.45</v>
      </c>
      <c r="T83" s="15">
        <v>0</v>
      </c>
      <c r="U83" s="15">
        <v>13.3</v>
      </c>
      <c r="V83" s="15">
        <v>708.82</v>
      </c>
      <c r="W83" s="16">
        <v>75.760000000000005</v>
      </c>
      <c r="X83" s="19" t="str">
        <f>TEXT(Table4_1[[#This Row],[date]], "hh:mm")</f>
        <v>05:00</v>
      </c>
      <c r="Y83" s="25" t="str">
        <f t="shared" si="1"/>
        <v/>
      </c>
      <c r="Z83" s="22">
        <v>0</v>
      </c>
    </row>
    <row r="84" spans="1:26">
      <c r="A84" s="13">
        <v>45851.229166666664</v>
      </c>
      <c r="B84" s="14">
        <v>-6.54</v>
      </c>
      <c r="C84" s="15">
        <v>0</v>
      </c>
      <c r="D84" s="15">
        <v>-71.02</v>
      </c>
      <c r="E84" s="15">
        <v>1089.6099999999999</v>
      </c>
      <c r="F84" s="15">
        <v>6074.21</v>
      </c>
      <c r="G84" s="15">
        <v>-0.14000000000000001</v>
      </c>
      <c r="H84" s="15">
        <v>0</v>
      </c>
      <c r="I84" s="15">
        <v>44.79</v>
      </c>
      <c r="J84" s="15">
        <v>3.8</v>
      </c>
      <c r="K84" s="15">
        <v>-0.34</v>
      </c>
      <c r="L84" s="15">
        <v>539.91999999999996</v>
      </c>
      <c r="M84" s="15">
        <v>0.05</v>
      </c>
      <c r="N84" s="15">
        <v>0</v>
      </c>
      <c r="O84" s="15">
        <v>7.95</v>
      </c>
      <c r="P84" s="15">
        <v>29.41</v>
      </c>
      <c r="Q84" s="15">
        <v>283.95999999999998</v>
      </c>
      <c r="R84" s="15">
        <v>2752.7</v>
      </c>
      <c r="S84" s="15">
        <v>0.45</v>
      </c>
      <c r="T84" s="15">
        <v>0</v>
      </c>
      <c r="U84" s="15">
        <v>13.49</v>
      </c>
      <c r="V84" s="15">
        <v>721.01</v>
      </c>
      <c r="W84" s="16">
        <v>76.58</v>
      </c>
      <c r="X84" s="19" t="str">
        <f>TEXT(Table4_1[[#This Row],[date]], "hh:mm")</f>
        <v>05:30</v>
      </c>
      <c r="Y84" s="25" t="str">
        <f t="shared" si="1"/>
        <v/>
      </c>
      <c r="Z84" s="22">
        <v>0</v>
      </c>
    </row>
    <row r="85" spans="1:26">
      <c r="A85" s="13">
        <v>45851.25</v>
      </c>
      <c r="B85" s="14">
        <v>-16.5</v>
      </c>
      <c r="C85" s="15">
        <v>-67.34</v>
      </c>
      <c r="D85" s="15">
        <v>-126.98</v>
      </c>
      <c r="E85" s="15">
        <v>1083.81</v>
      </c>
      <c r="F85" s="15">
        <v>6290</v>
      </c>
      <c r="G85" s="15">
        <v>-2.2200000000000002</v>
      </c>
      <c r="H85" s="15">
        <v>0</v>
      </c>
      <c r="I85" s="15">
        <v>44.89</v>
      </c>
      <c r="J85" s="15">
        <v>2.5099999999999998</v>
      </c>
      <c r="K85" s="15">
        <v>-0.32</v>
      </c>
      <c r="L85" s="15">
        <v>529.91</v>
      </c>
      <c r="M85" s="15">
        <v>0.05</v>
      </c>
      <c r="N85" s="15">
        <v>0</v>
      </c>
      <c r="O85" s="15">
        <v>7.99</v>
      </c>
      <c r="P85" s="15">
        <v>52.26</v>
      </c>
      <c r="Q85" s="15">
        <v>277.75</v>
      </c>
      <c r="R85" s="15">
        <v>2849.68</v>
      </c>
      <c r="S85" s="15">
        <v>0.44</v>
      </c>
      <c r="T85" s="15">
        <v>0</v>
      </c>
      <c r="U85" s="15">
        <v>13.52</v>
      </c>
      <c r="V85" s="15">
        <v>740.17</v>
      </c>
      <c r="W85" s="16">
        <v>76.89</v>
      </c>
      <c r="X85" s="19" t="str">
        <f>TEXT(Table4_1[[#This Row],[date]], "hh:mm")</f>
        <v>06:00</v>
      </c>
      <c r="Y85" s="25" t="str">
        <f t="shared" si="1"/>
        <v/>
      </c>
      <c r="Z85" s="22">
        <v>0</v>
      </c>
    </row>
    <row r="86" spans="1:26">
      <c r="A86" s="13">
        <v>45851.270833333336</v>
      </c>
      <c r="B86" s="14">
        <v>-11.07</v>
      </c>
      <c r="C86" s="15">
        <v>-80.83</v>
      </c>
      <c r="D86" s="15">
        <v>-106.09</v>
      </c>
      <c r="E86" s="15">
        <v>1075.53</v>
      </c>
      <c r="F86" s="15">
        <v>6564.67</v>
      </c>
      <c r="G86" s="15">
        <v>-0.64</v>
      </c>
      <c r="H86" s="15">
        <v>0</v>
      </c>
      <c r="I86" s="15">
        <v>44.66</v>
      </c>
      <c r="J86" s="15">
        <v>1.74</v>
      </c>
      <c r="K86" s="15">
        <v>6.56</v>
      </c>
      <c r="L86" s="15">
        <v>542.15</v>
      </c>
      <c r="M86" s="15">
        <v>0.05</v>
      </c>
      <c r="N86" s="15">
        <v>0.13</v>
      </c>
      <c r="O86" s="15">
        <v>7.91</v>
      </c>
      <c r="P86" s="15">
        <v>43.62</v>
      </c>
      <c r="Q86" s="15">
        <v>267.61</v>
      </c>
      <c r="R86" s="15">
        <v>2972.19</v>
      </c>
      <c r="S86" s="15">
        <v>0.45</v>
      </c>
      <c r="T86" s="15">
        <v>0</v>
      </c>
      <c r="U86" s="15">
        <v>13.45</v>
      </c>
      <c r="V86" s="15">
        <v>743.1</v>
      </c>
      <c r="W86" s="16">
        <v>81.209999999999994</v>
      </c>
      <c r="X86" s="19" t="str">
        <f>TEXT(Table4_1[[#This Row],[date]], "hh:mm")</f>
        <v>06:30</v>
      </c>
      <c r="Y86" s="25" t="str">
        <f t="shared" si="1"/>
        <v/>
      </c>
      <c r="Z86" s="22">
        <v>0</v>
      </c>
    </row>
    <row r="87" spans="1:26">
      <c r="A87" s="13">
        <v>45851.291666666664</v>
      </c>
      <c r="B87" s="14">
        <v>-9.7200000000000006</v>
      </c>
      <c r="C87" s="15">
        <v>-80.86</v>
      </c>
      <c r="D87" s="15">
        <v>-110.82</v>
      </c>
      <c r="E87" s="15">
        <v>1093.71</v>
      </c>
      <c r="F87" s="15">
        <v>6830.02</v>
      </c>
      <c r="G87" s="15">
        <v>-0.47</v>
      </c>
      <c r="H87" s="15">
        <v>0</v>
      </c>
      <c r="I87" s="15">
        <v>44.76</v>
      </c>
      <c r="J87" s="15">
        <v>0</v>
      </c>
      <c r="K87" s="15">
        <v>44.21</v>
      </c>
      <c r="L87" s="15">
        <v>548.48</v>
      </c>
      <c r="M87" s="15">
        <v>6.71</v>
      </c>
      <c r="N87" s="15">
        <v>7.75</v>
      </c>
      <c r="O87" s="15">
        <v>7.81</v>
      </c>
      <c r="P87" s="15">
        <v>45.39</v>
      </c>
      <c r="Q87" s="15">
        <v>258.3</v>
      </c>
      <c r="R87" s="15">
        <v>3090.51</v>
      </c>
      <c r="S87" s="15">
        <v>0.45</v>
      </c>
      <c r="T87" s="15">
        <v>0</v>
      </c>
      <c r="U87" s="15">
        <v>13.48</v>
      </c>
      <c r="V87" s="15">
        <v>741.47</v>
      </c>
      <c r="W87" s="16">
        <v>93.02</v>
      </c>
      <c r="X87" s="19" t="str">
        <f>TEXT(Table4_1[[#This Row],[date]], "hh:mm")</f>
        <v>07:00</v>
      </c>
      <c r="Y87" s="25" t="str">
        <f t="shared" si="1"/>
        <v/>
      </c>
      <c r="Z87" s="22">
        <v>0</v>
      </c>
    </row>
    <row r="88" spans="1:26">
      <c r="A88" s="13">
        <v>45851.3125</v>
      </c>
      <c r="B88" s="14">
        <v>-11.97</v>
      </c>
      <c r="C88" s="15">
        <v>-80.8</v>
      </c>
      <c r="D88" s="15">
        <v>-27.54</v>
      </c>
      <c r="E88" s="15">
        <v>1118.21</v>
      </c>
      <c r="F88" s="15">
        <v>6744.1</v>
      </c>
      <c r="G88" s="15">
        <v>-1.1599999999999999</v>
      </c>
      <c r="H88" s="15">
        <v>0</v>
      </c>
      <c r="I88" s="15">
        <v>44.81</v>
      </c>
      <c r="J88" s="15">
        <v>0.14000000000000001</v>
      </c>
      <c r="K88" s="15">
        <v>23.47</v>
      </c>
      <c r="L88" s="15">
        <v>650.45000000000005</v>
      </c>
      <c r="M88" s="15">
        <v>119.9</v>
      </c>
      <c r="N88" s="15">
        <v>88.96</v>
      </c>
      <c r="O88" s="15">
        <v>7.72</v>
      </c>
      <c r="P88" s="15">
        <v>11.13</v>
      </c>
      <c r="Q88" s="15">
        <v>261.77999999999997</v>
      </c>
      <c r="R88" s="15">
        <v>3051.59</v>
      </c>
      <c r="S88" s="15">
        <v>0.45</v>
      </c>
      <c r="T88" s="15">
        <v>0</v>
      </c>
      <c r="U88" s="15">
        <v>13.49</v>
      </c>
      <c r="V88" s="15">
        <v>707.27</v>
      </c>
      <c r="W88" s="16">
        <v>81.73</v>
      </c>
      <c r="X88" s="19" t="str">
        <f>TEXT(Table4_1[[#This Row],[date]], "hh:mm")</f>
        <v>07:30</v>
      </c>
      <c r="Y88" s="25" t="str">
        <f t="shared" si="1"/>
        <v/>
      </c>
      <c r="Z88" s="22">
        <v>0</v>
      </c>
    </row>
    <row r="89" spans="1:26">
      <c r="A89" s="13">
        <v>45851.333333333336</v>
      </c>
      <c r="B89" s="14">
        <v>-17.34</v>
      </c>
      <c r="C89" s="15">
        <v>-80.69</v>
      </c>
      <c r="D89" s="15">
        <v>0</v>
      </c>
      <c r="E89" s="15">
        <v>1266.75</v>
      </c>
      <c r="F89" s="15">
        <v>5955.03</v>
      </c>
      <c r="G89" s="15">
        <v>-0.05</v>
      </c>
      <c r="H89" s="15">
        <v>0</v>
      </c>
      <c r="I89" s="15">
        <v>42.18</v>
      </c>
      <c r="J89" s="15">
        <v>1.99</v>
      </c>
      <c r="K89" s="15">
        <v>-0.22</v>
      </c>
      <c r="L89" s="15">
        <v>815.1</v>
      </c>
      <c r="M89" s="15">
        <v>569.92999999999995</v>
      </c>
      <c r="N89" s="15">
        <v>350.51</v>
      </c>
      <c r="O89" s="15">
        <v>7.77</v>
      </c>
      <c r="P89" s="15">
        <v>0</v>
      </c>
      <c r="Q89" s="15">
        <v>308.13</v>
      </c>
      <c r="R89" s="15">
        <v>2694.07</v>
      </c>
      <c r="S89" s="15">
        <v>0.44</v>
      </c>
      <c r="T89" s="15">
        <v>0</v>
      </c>
      <c r="U89" s="15">
        <v>12.7</v>
      </c>
      <c r="V89" s="15">
        <v>608.14</v>
      </c>
      <c r="W89" s="16">
        <v>57.01</v>
      </c>
      <c r="X89" s="19" t="str">
        <f>TEXT(Table4_1[[#This Row],[date]], "hh:mm")</f>
        <v>08:00</v>
      </c>
      <c r="Y89" s="25" t="str">
        <f t="shared" si="1"/>
        <v/>
      </c>
      <c r="Z89" s="22">
        <v>0</v>
      </c>
    </row>
    <row r="90" spans="1:26">
      <c r="A90" s="13">
        <v>45851.354166666664</v>
      </c>
      <c r="B90" s="14">
        <v>-49.15</v>
      </c>
      <c r="C90" s="15">
        <v>-96.63</v>
      </c>
      <c r="D90" s="15">
        <v>0</v>
      </c>
      <c r="E90" s="15">
        <v>1445.28</v>
      </c>
      <c r="F90" s="15">
        <v>4894.42</v>
      </c>
      <c r="G90" s="15">
        <v>-0.27</v>
      </c>
      <c r="H90" s="15">
        <v>0</v>
      </c>
      <c r="I90" s="15">
        <v>37.869999999999997</v>
      </c>
      <c r="J90" s="15">
        <v>2.16</v>
      </c>
      <c r="K90" s="15">
        <v>0</v>
      </c>
      <c r="L90" s="15">
        <v>909.3</v>
      </c>
      <c r="M90" s="15">
        <v>1379.32</v>
      </c>
      <c r="N90" s="15">
        <v>837.43</v>
      </c>
      <c r="O90" s="15">
        <v>8.5299999999999994</v>
      </c>
      <c r="P90" s="15">
        <v>0</v>
      </c>
      <c r="Q90" s="15">
        <v>341.62</v>
      </c>
      <c r="R90" s="15">
        <v>2214.41</v>
      </c>
      <c r="S90" s="15">
        <v>0.45</v>
      </c>
      <c r="T90" s="15">
        <v>0</v>
      </c>
      <c r="U90" s="15">
        <v>11.4</v>
      </c>
      <c r="V90" s="15">
        <v>475.71</v>
      </c>
      <c r="W90" s="16">
        <v>-11.86</v>
      </c>
      <c r="X90" s="19" t="str">
        <f>TEXT(Table4_1[[#This Row],[date]], "hh:mm")</f>
        <v>08:30</v>
      </c>
      <c r="Y90" s="25" t="str">
        <f t="shared" si="1"/>
        <v/>
      </c>
      <c r="Z90" s="22">
        <v>0</v>
      </c>
    </row>
    <row r="91" spans="1:26">
      <c r="A91" s="13">
        <v>45851.375</v>
      </c>
      <c r="B91" s="14">
        <v>-25.06</v>
      </c>
      <c r="C91" s="15">
        <v>-270.41000000000003</v>
      </c>
      <c r="D91" s="15">
        <v>0</v>
      </c>
      <c r="E91" s="15">
        <v>1633.49</v>
      </c>
      <c r="F91" s="15">
        <v>4349.53</v>
      </c>
      <c r="G91" s="15">
        <v>0.14000000000000001</v>
      </c>
      <c r="H91" s="15">
        <v>0</v>
      </c>
      <c r="I91" s="15">
        <v>37.840000000000003</v>
      </c>
      <c r="J91" s="15">
        <v>6.16</v>
      </c>
      <c r="K91" s="15">
        <v>0</v>
      </c>
      <c r="L91" s="15">
        <v>852.04</v>
      </c>
      <c r="M91" s="15">
        <v>2080.34</v>
      </c>
      <c r="N91" s="15">
        <v>1337.7</v>
      </c>
      <c r="O91" s="15">
        <v>9.4600000000000009</v>
      </c>
      <c r="P91" s="15">
        <v>0</v>
      </c>
      <c r="Q91" s="15">
        <v>378.61</v>
      </c>
      <c r="R91" s="15">
        <v>1963.61</v>
      </c>
      <c r="S91" s="15">
        <v>0.44</v>
      </c>
      <c r="T91" s="15">
        <v>0</v>
      </c>
      <c r="U91" s="15">
        <v>11.39</v>
      </c>
      <c r="V91" s="15">
        <v>395.02</v>
      </c>
      <c r="W91" s="16">
        <v>0</v>
      </c>
      <c r="X91" s="19" t="str">
        <f>TEXT(Table4_1[[#This Row],[date]], "hh:mm")</f>
        <v>09:00</v>
      </c>
      <c r="Y91" s="25" t="str">
        <f t="shared" si="1"/>
        <v/>
      </c>
      <c r="Z91" s="22">
        <v>0</v>
      </c>
    </row>
    <row r="92" spans="1:26">
      <c r="A92" s="13">
        <v>45851.395833333336</v>
      </c>
      <c r="B92" s="14">
        <v>-18.59</v>
      </c>
      <c r="C92" s="15">
        <v>-271.38</v>
      </c>
      <c r="D92" s="15">
        <v>0</v>
      </c>
      <c r="E92" s="15">
        <v>1518.67</v>
      </c>
      <c r="F92" s="15">
        <v>4108.16</v>
      </c>
      <c r="G92" s="15">
        <v>9.33</v>
      </c>
      <c r="H92" s="15">
        <v>0</v>
      </c>
      <c r="I92" s="15">
        <v>37.83</v>
      </c>
      <c r="J92" s="15">
        <v>2.61</v>
      </c>
      <c r="K92" s="15">
        <v>0</v>
      </c>
      <c r="L92" s="15">
        <v>822.65</v>
      </c>
      <c r="M92" s="15">
        <v>2160.31</v>
      </c>
      <c r="N92" s="15">
        <v>1856.04</v>
      </c>
      <c r="O92" s="15">
        <v>10.59</v>
      </c>
      <c r="P92" s="15">
        <v>0</v>
      </c>
      <c r="Q92" s="15">
        <v>355.95</v>
      </c>
      <c r="R92" s="15">
        <v>1852.64</v>
      </c>
      <c r="S92" s="15">
        <v>0.4</v>
      </c>
      <c r="T92" s="15">
        <v>0</v>
      </c>
      <c r="U92" s="15">
        <v>11.39</v>
      </c>
      <c r="V92" s="15">
        <v>364.66</v>
      </c>
      <c r="W92" s="16">
        <v>76.58</v>
      </c>
      <c r="X92" s="19" t="str">
        <f>TEXT(Table4_1[[#This Row],[date]], "hh:mm")</f>
        <v>09:30</v>
      </c>
      <c r="Y92" s="25" t="str">
        <f t="shared" si="1"/>
        <v/>
      </c>
      <c r="Z92" s="22">
        <v>0</v>
      </c>
    </row>
    <row r="93" spans="1:26">
      <c r="A93" s="13">
        <v>45851.416666666664</v>
      </c>
      <c r="B93" s="14">
        <v>-35.54</v>
      </c>
      <c r="C93" s="15">
        <v>-284.11</v>
      </c>
      <c r="D93" s="15">
        <v>0</v>
      </c>
      <c r="E93" s="15">
        <v>1468.46</v>
      </c>
      <c r="F93" s="15">
        <v>3656.04</v>
      </c>
      <c r="G93" s="15">
        <v>9.5399999999999991</v>
      </c>
      <c r="H93" s="15">
        <v>0</v>
      </c>
      <c r="I93" s="15">
        <v>37.89</v>
      </c>
      <c r="J93" s="15">
        <v>7.44</v>
      </c>
      <c r="K93" s="15">
        <v>0</v>
      </c>
      <c r="L93" s="15">
        <v>862.94</v>
      </c>
      <c r="M93" s="15">
        <v>2277.1799999999998</v>
      </c>
      <c r="N93" s="15">
        <v>2278.65</v>
      </c>
      <c r="O93" s="15">
        <v>10.98</v>
      </c>
      <c r="P93" s="15">
        <v>0</v>
      </c>
      <c r="Q93" s="15">
        <v>358.93</v>
      </c>
      <c r="R93" s="15">
        <v>1653.52</v>
      </c>
      <c r="S93" s="15">
        <v>0.38</v>
      </c>
      <c r="T93" s="15">
        <v>0</v>
      </c>
      <c r="U93" s="15">
        <v>11.41</v>
      </c>
      <c r="V93" s="15">
        <v>324.04000000000002</v>
      </c>
      <c r="W93" s="16">
        <v>24</v>
      </c>
      <c r="X93" s="19" t="str">
        <f>TEXT(Table4_1[[#This Row],[date]], "hh:mm")</f>
        <v>10:00</v>
      </c>
      <c r="Y93" s="25" t="str">
        <f t="shared" si="1"/>
        <v/>
      </c>
      <c r="Z93" s="22">
        <v>0</v>
      </c>
    </row>
    <row r="94" spans="1:26">
      <c r="A94" s="13">
        <v>45851.4375</v>
      </c>
      <c r="B94" s="14">
        <v>-60.99</v>
      </c>
      <c r="C94" s="15">
        <v>-466.75</v>
      </c>
      <c r="D94" s="15">
        <v>0</v>
      </c>
      <c r="E94" s="15">
        <v>1763.72</v>
      </c>
      <c r="F94" s="15">
        <v>2964.61</v>
      </c>
      <c r="G94" s="15">
        <v>9.11</v>
      </c>
      <c r="H94" s="15">
        <v>0</v>
      </c>
      <c r="I94" s="15">
        <v>37.880000000000003</v>
      </c>
      <c r="J94" s="15">
        <v>3.18</v>
      </c>
      <c r="K94" s="15">
        <v>0</v>
      </c>
      <c r="L94" s="15">
        <v>914.75</v>
      </c>
      <c r="M94" s="15">
        <v>2061.91</v>
      </c>
      <c r="N94" s="15">
        <v>2658.7</v>
      </c>
      <c r="O94" s="15">
        <v>11.97</v>
      </c>
      <c r="P94" s="15">
        <v>0</v>
      </c>
      <c r="Q94" s="15">
        <v>419.83</v>
      </c>
      <c r="R94" s="15">
        <v>1346.49</v>
      </c>
      <c r="S94" s="15">
        <v>0.37</v>
      </c>
      <c r="T94" s="15">
        <v>0</v>
      </c>
      <c r="U94" s="15">
        <v>11.4</v>
      </c>
      <c r="V94" s="15">
        <v>274.77999999999997</v>
      </c>
      <c r="W94" s="16">
        <v>-16.54</v>
      </c>
      <c r="X94" s="19" t="str">
        <f>TEXT(Table4_1[[#This Row],[date]], "hh:mm")</f>
        <v>10:30</v>
      </c>
      <c r="Y94" s="25" t="str">
        <f t="shared" si="1"/>
        <v/>
      </c>
      <c r="Z94" s="22">
        <v>0</v>
      </c>
    </row>
    <row r="95" spans="1:26">
      <c r="A95" s="13">
        <v>45851.458333333336</v>
      </c>
      <c r="B95" s="14">
        <v>-72.02</v>
      </c>
      <c r="C95" s="15">
        <v>-470.18</v>
      </c>
      <c r="D95" s="15">
        <v>0</v>
      </c>
      <c r="E95" s="15">
        <v>1753.49</v>
      </c>
      <c r="F95" s="15">
        <v>2519.48</v>
      </c>
      <c r="G95" s="15">
        <v>7.68</v>
      </c>
      <c r="H95" s="15">
        <v>0</v>
      </c>
      <c r="I95" s="15">
        <v>37.83</v>
      </c>
      <c r="J95" s="15">
        <v>3.99</v>
      </c>
      <c r="K95" s="15">
        <v>0</v>
      </c>
      <c r="L95" s="15">
        <v>981.91</v>
      </c>
      <c r="M95" s="15">
        <v>2155.25</v>
      </c>
      <c r="N95" s="15">
        <v>2927</v>
      </c>
      <c r="O95" s="15">
        <v>12.91</v>
      </c>
      <c r="P95" s="15">
        <v>0</v>
      </c>
      <c r="Q95" s="15">
        <v>426.21</v>
      </c>
      <c r="R95" s="15">
        <v>1147.97</v>
      </c>
      <c r="S95" s="15">
        <v>0.35</v>
      </c>
      <c r="T95" s="15">
        <v>0</v>
      </c>
      <c r="U95" s="15">
        <v>11.39</v>
      </c>
      <c r="V95" s="15">
        <v>235.61</v>
      </c>
      <c r="W95" s="16">
        <v>-16.54</v>
      </c>
      <c r="X95" s="19" t="str">
        <f>TEXT(Table4_1[[#This Row],[date]], "hh:mm")</f>
        <v>11:00</v>
      </c>
      <c r="Y95" s="25" t="str">
        <f t="shared" si="1"/>
        <v/>
      </c>
      <c r="Z95" s="22">
        <v>0</v>
      </c>
    </row>
    <row r="96" spans="1:26">
      <c r="A96" s="13">
        <v>45851.479166666664</v>
      </c>
      <c r="B96" s="14">
        <v>-174.42</v>
      </c>
      <c r="C96" s="15">
        <v>-582.36</v>
      </c>
      <c r="D96" s="15">
        <v>0</v>
      </c>
      <c r="E96" s="15">
        <v>1601.4</v>
      </c>
      <c r="F96" s="15">
        <v>2448.65</v>
      </c>
      <c r="G96" s="15">
        <v>4.12</v>
      </c>
      <c r="H96" s="15">
        <v>0</v>
      </c>
      <c r="I96" s="15">
        <v>37.840000000000003</v>
      </c>
      <c r="J96" s="15">
        <v>0.74</v>
      </c>
      <c r="K96" s="15">
        <v>0</v>
      </c>
      <c r="L96" s="15">
        <v>968.43</v>
      </c>
      <c r="M96" s="15">
        <v>2332.9499999999998</v>
      </c>
      <c r="N96" s="15">
        <v>3166.39</v>
      </c>
      <c r="O96" s="15">
        <v>13.65</v>
      </c>
      <c r="P96" s="15">
        <v>0</v>
      </c>
      <c r="Q96" s="15">
        <v>398.34</v>
      </c>
      <c r="R96" s="15">
        <v>1114.6300000000001</v>
      </c>
      <c r="S96" s="15">
        <v>0.28000000000000003</v>
      </c>
      <c r="T96" s="15">
        <v>0</v>
      </c>
      <c r="U96" s="15">
        <v>11.39</v>
      </c>
      <c r="V96" s="15">
        <v>229.77</v>
      </c>
      <c r="W96" s="16">
        <v>-16.18</v>
      </c>
      <c r="X96" s="19" t="str">
        <f>TEXT(Table4_1[[#This Row],[date]], "hh:mm")</f>
        <v>11:30</v>
      </c>
      <c r="Y96" s="25" t="str">
        <f t="shared" si="1"/>
        <v/>
      </c>
      <c r="Z96" s="22">
        <v>0</v>
      </c>
    </row>
    <row r="97" spans="1:26">
      <c r="A97" s="13">
        <v>45851.5</v>
      </c>
      <c r="B97" s="14">
        <v>-88.23</v>
      </c>
      <c r="C97" s="15">
        <v>-660.52</v>
      </c>
      <c r="D97" s="15">
        <v>0</v>
      </c>
      <c r="E97" s="15">
        <v>1342.77</v>
      </c>
      <c r="F97" s="15">
        <v>2458.89</v>
      </c>
      <c r="G97" s="15">
        <v>1.95</v>
      </c>
      <c r="H97" s="15">
        <v>0</v>
      </c>
      <c r="I97" s="15">
        <v>37.89</v>
      </c>
      <c r="J97" s="15">
        <v>1.59</v>
      </c>
      <c r="K97" s="15">
        <v>0</v>
      </c>
      <c r="L97" s="15">
        <v>1108.4000000000001</v>
      </c>
      <c r="M97" s="15">
        <v>2353.9499999999998</v>
      </c>
      <c r="N97" s="15">
        <v>3250.92</v>
      </c>
      <c r="O97" s="15">
        <v>14.42</v>
      </c>
      <c r="P97" s="15">
        <v>0</v>
      </c>
      <c r="Q97" s="15">
        <v>349.16</v>
      </c>
      <c r="R97" s="15">
        <v>1118.68</v>
      </c>
      <c r="S97" s="15">
        <v>0.24</v>
      </c>
      <c r="T97" s="15">
        <v>0</v>
      </c>
      <c r="U97" s="15">
        <v>11.41</v>
      </c>
      <c r="V97" s="15">
        <v>230.5</v>
      </c>
      <c r="W97" s="16">
        <v>-14.71</v>
      </c>
      <c r="X97" s="19" t="str">
        <f>TEXT(Table4_1[[#This Row],[date]], "hh:mm")</f>
        <v>12:00</v>
      </c>
      <c r="Y97" s="25" t="str">
        <f t="shared" si="1"/>
        <v/>
      </c>
      <c r="Z97" s="22">
        <v>0</v>
      </c>
    </row>
    <row r="98" spans="1:26">
      <c r="A98" s="13">
        <v>45851.520833333336</v>
      </c>
      <c r="B98" s="14">
        <v>-179.28</v>
      </c>
      <c r="C98" s="15">
        <v>-660.59</v>
      </c>
      <c r="D98" s="15">
        <v>0</v>
      </c>
      <c r="E98" s="15">
        <v>1342.74</v>
      </c>
      <c r="F98" s="15">
        <v>2389.2800000000002</v>
      </c>
      <c r="G98" s="15">
        <v>0.11</v>
      </c>
      <c r="H98" s="15">
        <v>0</v>
      </c>
      <c r="I98" s="15">
        <v>37.840000000000003</v>
      </c>
      <c r="J98" s="15">
        <v>0.3</v>
      </c>
      <c r="K98" s="15">
        <v>0</v>
      </c>
      <c r="L98" s="15">
        <v>1244.3499999999999</v>
      </c>
      <c r="M98" s="15">
        <v>2246.4699999999998</v>
      </c>
      <c r="N98" s="15">
        <v>3236.69</v>
      </c>
      <c r="O98" s="15">
        <v>15.17</v>
      </c>
      <c r="P98" s="15">
        <v>0</v>
      </c>
      <c r="Q98" s="15">
        <v>357.06</v>
      </c>
      <c r="R98" s="15">
        <v>1087.6199999999999</v>
      </c>
      <c r="S98" s="15">
        <v>0.21</v>
      </c>
      <c r="T98" s="15">
        <v>0</v>
      </c>
      <c r="U98" s="15">
        <v>11.39</v>
      </c>
      <c r="V98" s="15">
        <v>227.63</v>
      </c>
      <c r="W98" s="16">
        <v>-14.01</v>
      </c>
      <c r="X98" s="19" t="str">
        <f>TEXT(Table4_1[[#This Row],[date]], "hh:mm")</f>
        <v>12:30</v>
      </c>
      <c r="Y98" s="25" t="str">
        <f t="shared" si="1"/>
        <v/>
      </c>
      <c r="Z98" s="22">
        <v>0</v>
      </c>
    </row>
    <row r="99" spans="1:26">
      <c r="A99" s="13">
        <v>45851.541666666664</v>
      </c>
      <c r="B99" s="14">
        <v>-193.5</v>
      </c>
      <c r="C99" s="15">
        <v>-659.32</v>
      </c>
      <c r="D99" s="15">
        <v>0</v>
      </c>
      <c r="E99" s="15">
        <v>1313.14</v>
      </c>
      <c r="F99" s="15">
        <v>2388.5500000000002</v>
      </c>
      <c r="G99" s="15">
        <v>-0.12</v>
      </c>
      <c r="H99" s="15">
        <v>0</v>
      </c>
      <c r="I99" s="15">
        <v>37.81</v>
      </c>
      <c r="J99" s="15">
        <v>0.96</v>
      </c>
      <c r="K99" s="15">
        <v>0</v>
      </c>
      <c r="L99" s="15">
        <v>1347.9</v>
      </c>
      <c r="M99" s="15">
        <v>2265.35</v>
      </c>
      <c r="N99" s="15">
        <v>3104.69</v>
      </c>
      <c r="O99" s="15">
        <v>16.100000000000001</v>
      </c>
      <c r="P99" s="15">
        <v>0</v>
      </c>
      <c r="Q99" s="15">
        <v>350.99</v>
      </c>
      <c r="R99" s="15">
        <v>1087.4000000000001</v>
      </c>
      <c r="S99" s="15">
        <v>0.21</v>
      </c>
      <c r="T99" s="15">
        <v>0</v>
      </c>
      <c r="U99" s="15">
        <v>11.38</v>
      </c>
      <c r="V99" s="15">
        <v>228.83</v>
      </c>
      <c r="W99" s="16">
        <v>-14.01</v>
      </c>
      <c r="X99" s="19" t="str">
        <f>TEXT(Table4_1[[#This Row],[date]], "hh:mm")</f>
        <v>13:00</v>
      </c>
      <c r="Y99" s="25" t="str">
        <f t="shared" si="1"/>
        <v/>
      </c>
      <c r="Z99" s="22">
        <v>0</v>
      </c>
    </row>
    <row r="100" spans="1:26">
      <c r="A100" s="13">
        <v>45851.5625</v>
      </c>
      <c r="B100" s="14">
        <v>-238</v>
      </c>
      <c r="C100" s="15">
        <v>-660.04</v>
      </c>
      <c r="D100" s="15">
        <v>0</v>
      </c>
      <c r="E100" s="15">
        <v>1389.56</v>
      </c>
      <c r="F100" s="15">
        <v>2374.46</v>
      </c>
      <c r="G100" s="15">
        <v>-0.39</v>
      </c>
      <c r="H100" s="15">
        <v>0</v>
      </c>
      <c r="I100" s="15">
        <v>37.82</v>
      </c>
      <c r="J100" s="15">
        <v>0.4</v>
      </c>
      <c r="K100" s="15">
        <v>0</v>
      </c>
      <c r="L100" s="15">
        <v>1414.94</v>
      </c>
      <c r="M100" s="15">
        <v>2192.02</v>
      </c>
      <c r="N100" s="15">
        <v>2834.4</v>
      </c>
      <c r="O100" s="15">
        <v>16.899999999999999</v>
      </c>
      <c r="P100" s="15">
        <v>0</v>
      </c>
      <c r="Q100" s="15">
        <v>361.32</v>
      </c>
      <c r="R100" s="15">
        <v>1080.98</v>
      </c>
      <c r="S100" s="15">
        <v>0.2</v>
      </c>
      <c r="T100" s="15">
        <v>0</v>
      </c>
      <c r="U100" s="15">
        <v>11.39</v>
      </c>
      <c r="V100" s="15">
        <v>233.83</v>
      </c>
      <c r="W100" s="16">
        <v>-15.17</v>
      </c>
      <c r="X100" s="19" t="str">
        <f>TEXT(Table4_1[[#This Row],[date]], "hh:mm")</f>
        <v>13:30</v>
      </c>
      <c r="Y100" s="25" t="str">
        <f t="shared" si="1"/>
        <v/>
      </c>
      <c r="Z100" s="22">
        <v>0</v>
      </c>
    </row>
    <row r="101" spans="1:26">
      <c r="A101" s="13">
        <v>45851.583333333336</v>
      </c>
      <c r="B101" s="14">
        <v>-299.37</v>
      </c>
      <c r="C101" s="15">
        <v>-658.02</v>
      </c>
      <c r="D101" s="15">
        <v>0</v>
      </c>
      <c r="E101" s="15">
        <v>1556.16</v>
      </c>
      <c r="F101" s="15">
        <v>2492.27</v>
      </c>
      <c r="G101" s="15">
        <v>-0.02</v>
      </c>
      <c r="H101" s="15">
        <v>0</v>
      </c>
      <c r="I101" s="15">
        <v>37.880000000000003</v>
      </c>
      <c r="J101" s="15">
        <v>0.48</v>
      </c>
      <c r="K101" s="15">
        <v>0</v>
      </c>
      <c r="L101" s="15">
        <v>1447.94</v>
      </c>
      <c r="M101" s="15">
        <v>2011.07</v>
      </c>
      <c r="N101" s="15">
        <v>2495.69</v>
      </c>
      <c r="O101" s="15">
        <v>17.350000000000001</v>
      </c>
      <c r="P101" s="15">
        <v>0</v>
      </c>
      <c r="Q101" s="15">
        <v>400.13</v>
      </c>
      <c r="R101" s="15">
        <v>1132.96</v>
      </c>
      <c r="S101" s="15">
        <v>0.21</v>
      </c>
      <c r="T101" s="15">
        <v>0</v>
      </c>
      <c r="U101" s="15">
        <v>11.41</v>
      </c>
      <c r="V101" s="15">
        <v>252</v>
      </c>
      <c r="W101" s="16">
        <v>-17.28</v>
      </c>
      <c r="X101" s="19" t="str">
        <f>TEXT(Table4_1[[#This Row],[date]], "hh:mm")</f>
        <v>14:00</v>
      </c>
      <c r="Y101" s="25" t="str">
        <f t="shared" si="1"/>
        <v/>
      </c>
      <c r="Z101" s="22">
        <v>0</v>
      </c>
    </row>
    <row r="102" spans="1:26">
      <c r="A102" s="13">
        <v>45851.604166666664</v>
      </c>
      <c r="B102" s="14">
        <v>-254.92</v>
      </c>
      <c r="C102" s="15">
        <v>-657.84</v>
      </c>
      <c r="D102" s="15">
        <v>0</v>
      </c>
      <c r="E102" s="15">
        <v>1566.3</v>
      </c>
      <c r="F102" s="15">
        <v>2708.77</v>
      </c>
      <c r="G102" s="15">
        <v>-0.12</v>
      </c>
      <c r="H102" s="15">
        <v>0</v>
      </c>
      <c r="I102" s="15">
        <v>37.82</v>
      </c>
      <c r="J102" s="15">
        <v>1.42</v>
      </c>
      <c r="K102" s="15">
        <v>0</v>
      </c>
      <c r="L102" s="15">
        <v>1471.44</v>
      </c>
      <c r="M102" s="15">
        <v>2257.34</v>
      </c>
      <c r="N102" s="15">
        <v>1969.91</v>
      </c>
      <c r="O102" s="15">
        <v>17.48</v>
      </c>
      <c r="P102" s="15">
        <v>0</v>
      </c>
      <c r="Q102" s="15">
        <v>390.11</v>
      </c>
      <c r="R102" s="15">
        <v>1228.1400000000001</v>
      </c>
      <c r="S102" s="15">
        <v>0.2</v>
      </c>
      <c r="T102" s="15">
        <v>0</v>
      </c>
      <c r="U102" s="15">
        <v>11.39</v>
      </c>
      <c r="V102" s="15">
        <v>272.45999999999998</v>
      </c>
      <c r="W102" s="16">
        <v>24</v>
      </c>
      <c r="X102" s="19" t="str">
        <f>TEXT(Table4_1[[#This Row],[date]], "hh:mm")</f>
        <v>14:30</v>
      </c>
      <c r="Y102" s="25" t="str">
        <f t="shared" si="1"/>
        <v/>
      </c>
      <c r="Z102" s="22">
        <v>0</v>
      </c>
    </row>
    <row r="103" spans="1:26">
      <c r="A103" s="13">
        <v>45851.625</v>
      </c>
      <c r="B103" s="14">
        <v>-269.14</v>
      </c>
      <c r="C103" s="15">
        <v>-658.88</v>
      </c>
      <c r="D103" s="15">
        <v>0</v>
      </c>
      <c r="E103" s="15">
        <v>1534.91</v>
      </c>
      <c r="F103" s="15">
        <v>3432.06</v>
      </c>
      <c r="G103" s="15">
        <v>-0.49</v>
      </c>
      <c r="H103" s="15">
        <v>0</v>
      </c>
      <c r="I103" s="15">
        <v>37.83</v>
      </c>
      <c r="J103" s="15">
        <v>0.95</v>
      </c>
      <c r="K103" s="15">
        <v>0</v>
      </c>
      <c r="L103" s="15">
        <v>1450.15</v>
      </c>
      <c r="M103" s="15">
        <v>2138.2399999999998</v>
      </c>
      <c r="N103" s="15">
        <v>1472.47</v>
      </c>
      <c r="O103" s="15">
        <v>16.72</v>
      </c>
      <c r="P103" s="15">
        <v>0</v>
      </c>
      <c r="Q103" s="15">
        <v>364.23</v>
      </c>
      <c r="R103" s="15">
        <v>1549.69</v>
      </c>
      <c r="S103" s="15">
        <v>0.2</v>
      </c>
      <c r="T103" s="15">
        <v>0</v>
      </c>
      <c r="U103" s="15">
        <v>11.39</v>
      </c>
      <c r="V103" s="15">
        <v>341.71</v>
      </c>
      <c r="W103" s="16">
        <v>4.71</v>
      </c>
      <c r="X103" s="19" t="str">
        <f>TEXT(Table4_1[[#This Row],[date]], "hh:mm")</f>
        <v>15:00</v>
      </c>
      <c r="Y103" s="25" t="str">
        <f t="shared" si="1"/>
        <v/>
      </c>
      <c r="Z103" s="22">
        <v>0</v>
      </c>
    </row>
    <row r="104" spans="1:26">
      <c r="A104" s="13">
        <v>45851.645833333336</v>
      </c>
      <c r="B104" s="14">
        <v>-215.94</v>
      </c>
      <c r="C104" s="15">
        <v>-657.04</v>
      </c>
      <c r="D104" s="15">
        <v>0</v>
      </c>
      <c r="E104" s="15">
        <v>1500.02</v>
      </c>
      <c r="F104" s="15">
        <v>4114.53</v>
      </c>
      <c r="G104" s="15">
        <v>0.55000000000000004</v>
      </c>
      <c r="H104" s="15">
        <v>0</v>
      </c>
      <c r="I104" s="15">
        <v>37.869999999999997</v>
      </c>
      <c r="J104" s="15">
        <v>1.91</v>
      </c>
      <c r="K104" s="15">
        <v>0</v>
      </c>
      <c r="L104" s="15">
        <v>1513.1</v>
      </c>
      <c r="M104" s="15">
        <v>1908.83</v>
      </c>
      <c r="N104" s="15">
        <v>1077.3599999999999</v>
      </c>
      <c r="O104" s="15">
        <v>16.16</v>
      </c>
      <c r="P104" s="15">
        <v>0</v>
      </c>
      <c r="Q104" s="15">
        <v>361.06</v>
      </c>
      <c r="R104" s="15">
        <v>1852.86</v>
      </c>
      <c r="S104" s="15">
        <v>0.22</v>
      </c>
      <c r="T104" s="15">
        <v>0</v>
      </c>
      <c r="U104" s="15">
        <v>11.4</v>
      </c>
      <c r="V104" s="15">
        <v>401.78</v>
      </c>
      <c r="W104" s="16">
        <v>-0.02</v>
      </c>
      <c r="X104" s="19" t="str">
        <f>TEXT(Table4_1[[#This Row],[date]], "hh:mm")</f>
        <v>15:30</v>
      </c>
      <c r="Y104" s="25" t="str">
        <f t="shared" si="1"/>
        <v/>
      </c>
      <c r="Z104" s="22">
        <v>0</v>
      </c>
    </row>
    <row r="105" spans="1:26">
      <c r="A105" s="13">
        <v>45851.666666666664</v>
      </c>
      <c r="B105" s="14">
        <v>-126.78</v>
      </c>
      <c r="C105" s="15">
        <v>-656.15</v>
      </c>
      <c r="D105" s="15">
        <v>0</v>
      </c>
      <c r="E105" s="15">
        <v>1607.4</v>
      </c>
      <c r="F105" s="15">
        <v>4724.3100000000004</v>
      </c>
      <c r="G105" s="15">
        <v>7.25</v>
      </c>
      <c r="H105" s="15">
        <v>0</v>
      </c>
      <c r="I105" s="15">
        <v>39.4</v>
      </c>
      <c r="J105" s="15">
        <v>1.72</v>
      </c>
      <c r="K105" s="15">
        <v>-0.06</v>
      </c>
      <c r="L105" s="15">
        <v>1592.88</v>
      </c>
      <c r="M105" s="15">
        <v>1459.36</v>
      </c>
      <c r="N105" s="15">
        <v>694.37</v>
      </c>
      <c r="O105" s="15">
        <v>15.83</v>
      </c>
      <c r="P105" s="15">
        <v>0</v>
      </c>
      <c r="Q105" s="15">
        <v>426.05</v>
      </c>
      <c r="R105" s="15">
        <v>2127.4</v>
      </c>
      <c r="S105" s="15">
        <v>0.34</v>
      </c>
      <c r="T105" s="15">
        <v>0</v>
      </c>
      <c r="U105" s="15">
        <v>11.86</v>
      </c>
      <c r="V105" s="15">
        <v>457.98</v>
      </c>
      <c r="W105" s="16">
        <v>21.26</v>
      </c>
      <c r="X105" s="19" t="str">
        <f>TEXT(Table4_1[[#This Row],[date]], "hh:mm")</f>
        <v>16:00</v>
      </c>
      <c r="Y105" s="25" t="str">
        <f t="shared" si="1"/>
        <v/>
      </c>
      <c r="Z105" s="22">
        <v>0</v>
      </c>
    </row>
    <row r="106" spans="1:26">
      <c r="A106" s="13">
        <v>45851.6875</v>
      </c>
      <c r="B106" s="14">
        <v>-3.51</v>
      </c>
      <c r="C106" s="15">
        <v>-354.68</v>
      </c>
      <c r="D106" s="15">
        <v>0</v>
      </c>
      <c r="E106" s="15">
        <v>1632.29</v>
      </c>
      <c r="F106" s="15">
        <v>5543.33</v>
      </c>
      <c r="G106" s="15">
        <v>3.33</v>
      </c>
      <c r="H106" s="15">
        <v>0</v>
      </c>
      <c r="I106" s="15">
        <v>42.78</v>
      </c>
      <c r="J106" s="15">
        <v>4.62</v>
      </c>
      <c r="K106" s="15">
        <v>48.43</v>
      </c>
      <c r="L106" s="15">
        <v>1627.76</v>
      </c>
      <c r="M106" s="15">
        <v>790.13</v>
      </c>
      <c r="N106" s="15">
        <v>354.66</v>
      </c>
      <c r="O106" s="15">
        <v>15.61</v>
      </c>
      <c r="P106" s="15">
        <v>0</v>
      </c>
      <c r="Q106" s="15">
        <v>482.97</v>
      </c>
      <c r="R106" s="15">
        <v>2502.31</v>
      </c>
      <c r="S106" s="15">
        <v>0.37</v>
      </c>
      <c r="T106" s="15">
        <v>0</v>
      </c>
      <c r="U106" s="15">
        <v>12.88</v>
      </c>
      <c r="V106" s="15">
        <v>519.25</v>
      </c>
      <c r="W106" s="16">
        <v>57.01</v>
      </c>
      <c r="X106" s="19" t="str">
        <f>TEXT(Table4_1[[#This Row],[date]], "hh:mm")</f>
        <v>16:30</v>
      </c>
      <c r="Y106" s="25" t="str">
        <f t="shared" si="1"/>
        <v/>
      </c>
      <c r="Z106" s="22">
        <v>0</v>
      </c>
    </row>
    <row r="107" spans="1:26">
      <c r="A107" s="13">
        <v>45851.708333333336</v>
      </c>
      <c r="B107" s="14">
        <v>-2.37</v>
      </c>
      <c r="C107" s="15">
        <v>0</v>
      </c>
      <c r="D107" s="15">
        <v>0</v>
      </c>
      <c r="E107" s="15">
        <v>1409.38</v>
      </c>
      <c r="F107" s="15">
        <v>6377.1</v>
      </c>
      <c r="G107" s="15">
        <v>-1.0900000000000001</v>
      </c>
      <c r="H107" s="15">
        <v>0</v>
      </c>
      <c r="I107" s="15">
        <v>42.55</v>
      </c>
      <c r="J107" s="15">
        <v>207.02</v>
      </c>
      <c r="K107" s="15">
        <v>248.33</v>
      </c>
      <c r="L107" s="15">
        <v>1637.74</v>
      </c>
      <c r="M107" s="15">
        <v>175.55</v>
      </c>
      <c r="N107" s="15">
        <v>107.74</v>
      </c>
      <c r="O107" s="15">
        <v>15.37</v>
      </c>
      <c r="P107" s="15">
        <v>0</v>
      </c>
      <c r="Q107" s="15">
        <v>446.37</v>
      </c>
      <c r="R107" s="15">
        <v>2884.87</v>
      </c>
      <c r="S107" s="15">
        <v>0.42</v>
      </c>
      <c r="T107" s="15">
        <v>0</v>
      </c>
      <c r="U107" s="15">
        <v>12.81</v>
      </c>
      <c r="V107" s="15">
        <v>568.15</v>
      </c>
      <c r="W107" s="16">
        <v>125.69</v>
      </c>
      <c r="X107" s="19" t="str">
        <f>TEXT(Table4_1[[#This Row],[date]], "hh:mm")</f>
        <v>17:00</v>
      </c>
      <c r="Y107" s="25" t="str">
        <f t="shared" si="1"/>
        <v/>
      </c>
      <c r="Z107" s="22">
        <v>0</v>
      </c>
    </row>
    <row r="108" spans="1:26">
      <c r="A108" s="13">
        <v>45851.729166666664</v>
      </c>
      <c r="B108" s="14">
        <v>-2.3199999999999998</v>
      </c>
      <c r="C108" s="15">
        <v>0</v>
      </c>
      <c r="D108" s="15">
        <v>0</v>
      </c>
      <c r="E108" s="15">
        <v>1305.17</v>
      </c>
      <c r="F108" s="15">
        <v>6798.69</v>
      </c>
      <c r="G108" s="15">
        <v>-2.9</v>
      </c>
      <c r="H108" s="15">
        <v>0</v>
      </c>
      <c r="I108" s="15">
        <v>71.83</v>
      </c>
      <c r="J108" s="15">
        <v>309.89999999999998</v>
      </c>
      <c r="K108" s="15">
        <v>604.82000000000005</v>
      </c>
      <c r="L108" s="15">
        <v>1641.12</v>
      </c>
      <c r="M108" s="15">
        <v>5.61</v>
      </c>
      <c r="N108" s="15">
        <v>12.89</v>
      </c>
      <c r="O108" s="15">
        <v>15.45</v>
      </c>
      <c r="P108" s="15">
        <v>0</v>
      </c>
      <c r="Q108" s="15">
        <v>427.1</v>
      </c>
      <c r="R108" s="15">
        <v>3078.16</v>
      </c>
      <c r="S108" s="15">
        <v>0.41</v>
      </c>
      <c r="T108" s="15">
        <v>0</v>
      </c>
      <c r="U108" s="15">
        <v>24.61</v>
      </c>
      <c r="V108" s="15">
        <v>577.61</v>
      </c>
      <c r="W108" s="16">
        <v>138.72999999999999</v>
      </c>
      <c r="X108" s="19" t="str">
        <f>TEXT(Table4_1[[#This Row],[date]], "hh:mm")</f>
        <v>17:30</v>
      </c>
      <c r="Y108" s="25" t="str">
        <f t="shared" si="1"/>
        <v/>
      </c>
      <c r="Z108" s="22">
        <v>0</v>
      </c>
    </row>
    <row r="109" spans="1:26">
      <c r="A109" s="13">
        <v>45851.75</v>
      </c>
      <c r="B109" s="14">
        <v>-1.58</v>
      </c>
      <c r="C109" s="15">
        <v>0</v>
      </c>
      <c r="D109" s="15">
        <v>-92.12</v>
      </c>
      <c r="E109" s="15">
        <v>970.41</v>
      </c>
      <c r="F109" s="15">
        <v>6926.95</v>
      </c>
      <c r="G109" s="15">
        <v>-3.66</v>
      </c>
      <c r="H109" s="15">
        <v>0</v>
      </c>
      <c r="I109" s="15">
        <v>341.22</v>
      </c>
      <c r="J109" s="15">
        <v>420.47</v>
      </c>
      <c r="K109" s="15">
        <v>654.4</v>
      </c>
      <c r="L109" s="15">
        <v>1690.78</v>
      </c>
      <c r="M109" s="15">
        <v>0.05</v>
      </c>
      <c r="N109" s="15">
        <v>0.17</v>
      </c>
      <c r="O109" s="15">
        <v>15.35</v>
      </c>
      <c r="P109" s="15">
        <v>29.85</v>
      </c>
      <c r="Q109" s="15">
        <v>303.81</v>
      </c>
      <c r="R109" s="15">
        <v>3138.37</v>
      </c>
      <c r="S109" s="15">
        <v>0.4</v>
      </c>
      <c r="T109" s="15">
        <v>0</v>
      </c>
      <c r="U109" s="15">
        <v>129.77000000000001</v>
      </c>
      <c r="V109" s="15">
        <v>599.34</v>
      </c>
      <c r="W109" s="16">
        <v>140.03</v>
      </c>
      <c r="X109" s="19" t="str">
        <f>TEXT(Table4_1[[#This Row],[date]], "hh:mm")</f>
        <v>18:00</v>
      </c>
      <c r="Y109" s="25" t="str">
        <f t="shared" si="1"/>
        <v/>
      </c>
      <c r="Z109" s="22">
        <v>0</v>
      </c>
    </row>
    <row r="110" spans="1:26">
      <c r="A110" s="13">
        <v>45851.770833333336</v>
      </c>
      <c r="B110" s="14">
        <v>-1.45</v>
      </c>
      <c r="C110" s="15">
        <v>0</v>
      </c>
      <c r="D110" s="15">
        <v>-78.16</v>
      </c>
      <c r="E110" s="15">
        <v>877.65</v>
      </c>
      <c r="F110" s="15">
        <v>6945.25</v>
      </c>
      <c r="G110" s="15">
        <v>-2.25</v>
      </c>
      <c r="H110" s="15">
        <v>0</v>
      </c>
      <c r="I110" s="15">
        <v>354.04</v>
      </c>
      <c r="J110" s="15">
        <v>352.46</v>
      </c>
      <c r="K110" s="15">
        <v>667.13</v>
      </c>
      <c r="L110" s="15">
        <v>1801.5</v>
      </c>
      <c r="M110" s="15">
        <v>0.05</v>
      </c>
      <c r="N110" s="15">
        <v>0</v>
      </c>
      <c r="O110" s="15">
        <v>15.42</v>
      </c>
      <c r="P110" s="15">
        <v>25.2</v>
      </c>
      <c r="Q110" s="15">
        <v>277.14</v>
      </c>
      <c r="R110" s="15">
        <v>3146.71</v>
      </c>
      <c r="S110" s="15">
        <v>0.43</v>
      </c>
      <c r="T110" s="15">
        <v>0</v>
      </c>
      <c r="U110" s="15">
        <v>134.76</v>
      </c>
      <c r="V110" s="15">
        <v>601.29</v>
      </c>
      <c r="W110" s="16">
        <v>185.01</v>
      </c>
      <c r="X110" s="19" t="str">
        <f>TEXT(Table4_1[[#This Row],[date]], "hh:mm")</f>
        <v>18:30</v>
      </c>
      <c r="Y110" s="25" t="str">
        <f t="shared" si="1"/>
        <v/>
      </c>
      <c r="Z110" s="22">
        <v>0</v>
      </c>
    </row>
    <row r="111" spans="1:26">
      <c r="A111" s="13">
        <v>45851.791666666664</v>
      </c>
      <c r="B111" s="14">
        <v>-1.53</v>
      </c>
      <c r="C111" s="15">
        <v>0</v>
      </c>
      <c r="D111" s="15">
        <v>-115.62</v>
      </c>
      <c r="E111" s="15">
        <v>918.65</v>
      </c>
      <c r="F111" s="15">
        <v>6942.21</v>
      </c>
      <c r="G111" s="15">
        <v>-2.2599999999999998</v>
      </c>
      <c r="H111" s="15">
        <v>0</v>
      </c>
      <c r="I111" s="15">
        <v>353.65</v>
      </c>
      <c r="J111" s="15">
        <v>293.27</v>
      </c>
      <c r="K111" s="15">
        <v>512.80999999999995</v>
      </c>
      <c r="L111" s="15">
        <v>1949.97</v>
      </c>
      <c r="M111" s="15">
        <v>0.05</v>
      </c>
      <c r="N111" s="15">
        <v>0</v>
      </c>
      <c r="O111" s="15">
        <v>14.98</v>
      </c>
      <c r="P111" s="15">
        <v>37.64</v>
      </c>
      <c r="Q111" s="15">
        <v>279.98</v>
      </c>
      <c r="R111" s="15">
        <v>3145.32</v>
      </c>
      <c r="S111" s="15">
        <v>0.43</v>
      </c>
      <c r="T111" s="15">
        <v>0</v>
      </c>
      <c r="U111" s="15">
        <v>134.58000000000001</v>
      </c>
      <c r="V111" s="15">
        <v>604.6</v>
      </c>
      <c r="W111" s="16">
        <v>138.06</v>
      </c>
      <c r="X111" s="19" t="str">
        <f>TEXT(Table4_1[[#This Row],[date]], "hh:mm")</f>
        <v>19:00</v>
      </c>
      <c r="Y111" s="25" t="str">
        <f t="shared" si="1"/>
        <v/>
      </c>
      <c r="Z111" s="22">
        <v>0</v>
      </c>
    </row>
    <row r="112" spans="1:26">
      <c r="A112" s="13">
        <v>45851.8125</v>
      </c>
      <c r="B112" s="14">
        <v>-2.15</v>
      </c>
      <c r="C112" s="15">
        <v>0</v>
      </c>
      <c r="D112" s="15">
        <v>-186.1</v>
      </c>
      <c r="E112" s="15">
        <v>937.92</v>
      </c>
      <c r="F112" s="15">
        <v>6938.83</v>
      </c>
      <c r="G112" s="15">
        <v>-2.15</v>
      </c>
      <c r="H112" s="15">
        <v>0</v>
      </c>
      <c r="I112" s="15">
        <v>330.67</v>
      </c>
      <c r="J112" s="15">
        <v>168.55</v>
      </c>
      <c r="K112" s="15">
        <v>516.33000000000004</v>
      </c>
      <c r="L112" s="15">
        <v>2046.18</v>
      </c>
      <c r="M112" s="15">
        <v>0.05</v>
      </c>
      <c r="N112" s="15">
        <v>0</v>
      </c>
      <c r="O112" s="15">
        <v>14.75</v>
      </c>
      <c r="P112" s="15">
        <v>60.69</v>
      </c>
      <c r="Q112" s="15">
        <v>285.86</v>
      </c>
      <c r="R112" s="15">
        <v>3143.85</v>
      </c>
      <c r="S112" s="15">
        <v>0.43</v>
      </c>
      <c r="T112" s="15">
        <v>0</v>
      </c>
      <c r="U112" s="15">
        <v>125.6</v>
      </c>
      <c r="V112" s="15">
        <v>608.45000000000005</v>
      </c>
      <c r="W112" s="16">
        <v>136.86000000000001</v>
      </c>
      <c r="X112" s="19" t="str">
        <f>TEXT(Table4_1[[#This Row],[date]], "hh:mm")</f>
        <v>19:30</v>
      </c>
      <c r="Y112" s="25" t="str">
        <f t="shared" si="1"/>
        <v/>
      </c>
      <c r="Z112" s="22">
        <v>0</v>
      </c>
    </row>
    <row r="113" spans="1:26">
      <c r="A113" s="13">
        <v>45851.833333333336</v>
      </c>
      <c r="B113" s="14">
        <v>-3.45</v>
      </c>
      <c r="C113" s="15">
        <v>0</v>
      </c>
      <c r="D113" s="15">
        <v>-194.37</v>
      </c>
      <c r="E113" s="15">
        <v>913.67</v>
      </c>
      <c r="F113" s="15">
        <v>6935.89</v>
      </c>
      <c r="G113" s="15">
        <v>-0.85</v>
      </c>
      <c r="H113" s="15">
        <v>0</v>
      </c>
      <c r="I113" s="15">
        <v>305.45</v>
      </c>
      <c r="J113" s="15">
        <v>43.64</v>
      </c>
      <c r="K113" s="15">
        <v>485.39</v>
      </c>
      <c r="L113" s="15">
        <v>2096.2800000000002</v>
      </c>
      <c r="M113" s="15">
        <v>0.05</v>
      </c>
      <c r="N113" s="15">
        <v>0</v>
      </c>
      <c r="O113" s="15">
        <v>14.82</v>
      </c>
      <c r="P113" s="15">
        <v>64.03</v>
      </c>
      <c r="Q113" s="15">
        <v>280.06</v>
      </c>
      <c r="R113" s="15">
        <v>3142.51</v>
      </c>
      <c r="S113" s="15">
        <v>0.44</v>
      </c>
      <c r="T113" s="15">
        <v>0</v>
      </c>
      <c r="U113" s="15">
        <v>115.75</v>
      </c>
      <c r="V113" s="15">
        <v>615.91</v>
      </c>
      <c r="W113" s="16">
        <v>110.96</v>
      </c>
      <c r="X113" s="19" t="str">
        <f>TEXT(Table4_1[[#This Row],[date]], "hh:mm")</f>
        <v>20:00</v>
      </c>
      <c r="Y113" s="25" t="str">
        <f t="shared" si="1"/>
        <v/>
      </c>
      <c r="Z113" s="22">
        <v>0</v>
      </c>
    </row>
    <row r="114" spans="1:26">
      <c r="A114" s="13">
        <v>45851.854166666664</v>
      </c>
      <c r="B114" s="14">
        <v>-2.67</v>
      </c>
      <c r="C114" s="15">
        <v>0</v>
      </c>
      <c r="D114" s="15">
        <v>-197.29</v>
      </c>
      <c r="E114" s="15">
        <v>908.85</v>
      </c>
      <c r="F114" s="15">
        <v>6948.12</v>
      </c>
      <c r="G114" s="15">
        <v>-0.95</v>
      </c>
      <c r="H114" s="15">
        <v>0</v>
      </c>
      <c r="I114" s="15">
        <v>187.96</v>
      </c>
      <c r="J114" s="15">
        <v>21.47</v>
      </c>
      <c r="K114" s="15">
        <v>418.43</v>
      </c>
      <c r="L114" s="15">
        <v>2138.23</v>
      </c>
      <c r="M114" s="15">
        <v>0.05</v>
      </c>
      <c r="N114" s="15">
        <v>0</v>
      </c>
      <c r="O114" s="15">
        <v>14.45</v>
      </c>
      <c r="P114" s="15">
        <v>65.16</v>
      </c>
      <c r="Q114" s="15">
        <v>277.61</v>
      </c>
      <c r="R114" s="15">
        <v>3147.98</v>
      </c>
      <c r="S114" s="15">
        <v>0.44</v>
      </c>
      <c r="T114" s="15">
        <v>0</v>
      </c>
      <c r="U114" s="15">
        <v>69.72</v>
      </c>
      <c r="V114" s="15">
        <v>617.55999999999995</v>
      </c>
      <c r="W114" s="16">
        <v>140.03</v>
      </c>
      <c r="X114" s="19" t="str">
        <f>TEXT(Table4_1[[#This Row],[date]], "hh:mm")</f>
        <v>20:30</v>
      </c>
      <c r="Y114" s="25" t="str">
        <f t="shared" si="1"/>
        <v/>
      </c>
      <c r="Z114" s="22">
        <v>0</v>
      </c>
    </row>
    <row r="115" spans="1:26">
      <c r="A115" s="13">
        <v>45851.875</v>
      </c>
      <c r="B115" s="14">
        <v>-11.84</v>
      </c>
      <c r="C115" s="15">
        <v>0</v>
      </c>
      <c r="D115" s="15">
        <v>-241.96</v>
      </c>
      <c r="E115" s="15">
        <v>972.69</v>
      </c>
      <c r="F115" s="15">
        <v>6973.47</v>
      </c>
      <c r="G115" s="15">
        <v>-1.49</v>
      </c>
      <c r="H115" s="15">
        <v>0</v>
      </c>
      <c r="I115" s="15">
        <v>42.95</v>
      </c>
      <c r="J115" s="15">
        <v>10.91</v>
      </c>
      <c r="K115" s="15">
        <v>210.94</v>
      </c>
      <c r="L115" s="15">
        <v>2158.5300000000002</v>
      </c>
      <c r="M115" s="15">
        <v>0.05</v>
      </c>
      <c r="N115" s="15">
        <v>0</v>
      </c>
      <c r="O115" s="15">
        <v>14.76</v>
      </c>
      <c r="P115" s="15">
        <v>81.650000000000006</v>
      </c>
      <c r="Q115" s="15">
        <v>296.8</v>
      </c>
      <c r="R115" s="15">
        <v>3159.32</v>
      </c>
      <c r="S115" s="15">
        <v>0.43</v>
      </c>
      <c r="T115" s="15">
        <v>0</v>
      </c>
      <c r="U115" s="15">
        <v>12.93</v>
      </c>
      <c r="V115" s="15">
        <v>627.37</v>
      </c>
      <c r="W115" s="16">
        <v>100.01</v>
      </c>
      <c r="X115" s="19" t="str">
        <f>TEXT(Table4_1[[#This Row],[date]], "hh:mm")</f>
        <v>21:00</v>
      </c>
      <c r="Y115" s="25" t="str">
        <f t="shared" si="1"/>
        <v/>
      </c>
      <c r="Z115" s="22">
        <v>0</v>
      </c>
    </row>
    <row r="116" spans="1:26">
      <c r="A116" s="13">
        <v>45851.895833333336</v>
      </c>
      <c r="B116" s="14">
        <v>-7.38</v>
      </c>
      <c r="C116" s="15">
        <v>0</v>
      </c>
      <c r="D116" s="15">
        <v>-327.3</v>
      </c>
      <c r="E116" s="15">
        <v>946.89</v>
      </c>
      <c r="F116" s="15">
        <v>6949.76</v>
      </c>
      <c r="G116" s="15">
        <v>-0.97</v>
      </c>
      <c r="H116" s="15">
        <v>0</v>
      </c>
      <c r="I116" s="15">
        <v>43.15</v>
      </c>
      <c r="J116" s="15">
        <v>2.4300000000000002</v>
      </c>
      <c r="K116" s="15">
        <v>48.35</v>
      </c>
      <c r="L116" s="15">
        <v>2151.7600000000002</v>
      </c>
      <c r="M116" s="15">
        <v>0.05</v>
      </c>
      <c r="N116" s="15">
        <v>0</v>
      </c>
      <c r="O116" s="15">
        <v>14.5</v>
      </c>
      <c r="P116" s="15">
        <v>112.17</v>
      </c>
      <c r="Q116" s="15">
        <v>277.38</v>
      </c>
      <c r="R116" s="15">
        <v>3146.23</v>
      </c>
      <c r="S116" s="15">
        <v>0.44</v>
      </c>
      <c r="T116" s="15">
        <v>0</v>
      </c>
      <c r="U116" s="15">
        <v>12.99</v>
      </c>
      <c r="V116" s="15">
        <v>644.39</v>
      </c>
      <c r="W116" s="16">
        <v>76.8</v>
      </c>
      <c r="X116" s="19" t="str">
        <f>TEXT(Table4_1[[#This Row],[date]], "hh:mm")</f>
        <v>21:30</v>
      </c>
      <c r="Y116" s="25" t="str">
        <f t="shared" si="1"/>
        <v/>
      </c>
      <c r="Z116" s="22">
        <v>0</v>
      </c>
    </row>
    <row r="117" spans="1:26">
      <c r="A117" s="13">
        <v>45851.916666666664</v>
      </c>
      <c r="B117" s="14">
        <v>-83.85</v>
      </c>
      <c r="C117" s="15">
        <v>0</v>
      </c>
      <c r="D117" s="15">
        <v>-360.81</v>
      </c>
      <c r="E117" s="15">
        <v>1010.1</v>
      </c>
      <c r="F117" s="15">
        <v>6692.86</v>
      </c>
      <c r="G117" s="15">
        <v>-0.57999999999999996</v>
      </c>
      <c r="H117" s="15">
        <v>0</v>
      </c>
      <c r="I117" s="15">
        <v>43.14</v>
      </c>
      <c r="J117" s="15">
        <v>1.77</v>
      </c>
      <c r="K117" s="15">
        <v>30.8</v>
      </c>
      <c r="L117" s="15">
        <v>2106.94</v>
      </c>
      <c r="M117" s="15">
        <v>0.05</v>
      </c>
      <c r="N117" s="15">
        <v>0</v>
      </c>
      <c r="O117" s="15">
        <v>14.54</v>
      </c>
      <c r="P117" s="15">
        <v>123.16</v>
      </c>
      <c r="Q117" s="15">
        <v>281.61</v>
      </c>
      <c r="R117" s="15">
        <v>3024.4</v>
      </c>
      <c r="S117" s="15">
        <v>0.44</v>
      </c>
      <c r="T117" s="15">
        <v>0</v>
      </c>
      <c r="U117" s="15">
        <v>12.99</v>
      </c>
      <c r="V117" s="15">
        <v>643.58000000000004</v>
      </c>
      <c r="W117" s="16">
        <v>49.78</v>
      </c>
      <c r="X117" s="19" t="str">
        <f>TEXT(Table4_1[[#This Row],[date]], "hh:mm")</f>
        <v>22:00</v>
      </c>
      <c r="Y117" s="25" t="str">
        <f t="shared" si="1"/>
        <v/>
      </c>
      <c r="Z117" s="22">
        <v>0</v>
      </c>
    </row>
    <row r="118" spans="1:26">
      <c r="A118" s="13">
        <v>45851.9375</v>
      </c>
      <c r="B118" s="14">
        <v>-155.27000000000001</v>
      </c>
      <c r="C118" s="15">
        <v>0</v>
      </c>
      <c r="D118" s="15">
        <v>-374.4</v>
      </c>
      <c r="E118" s="15">
        <v>978.88</v>
      </c>
      <c r="F118" s="15">
        <v>6625.97</v>
      </c>
      <c r="G118" s="15">
        <v>-0.85</v>
      </c>
      <c r="H118" s="15">
        <v>0</v>
      </c>
      <c r="I118" s="15">
        <v>42.51</v>
      </c>
      <c r="J118" s="15">
        <v>3.37</v>
      </c>
      <c r="K118" s="15">
        <v>31.03</v>
      </c>
      <c r="L118" s="15">
        <v>2065.66</v>
      </c>
      <c r="M118" s="15">
        <v>0.05</v>
      </c>
      <c r="N118" s="15">
        <v>0</v>
      </c>
      <c r="O118" s="15">
        <v>14.35</v>
      </c>
      <c r="P118" s="15">
        <v>127.82</v>
      </c>
      <c r="Q118" s="15">
        <v>271.63</v>
      </c>
      <c r="R118" s="15">
        <v>2988.84</v>
      </c>
      <c r="S118" s="15">
        <v>0.44</v>
      </c>
      <c r="T118" s="15">
        <v>0</v>
      </c>
      <c r="U118" s="15">
        <v>12.8</v>
      </c>
      <c r="V118" s="15">
        <v>651.41999999999996</v>
      </c>
      <c r="W118" s="16">
        <v>65.23</v>
      </c>
      <c r="X118" s="19" t="str">
        <f>TEXT(Table4_1[[#This Row],[date]], "hh:mm")</f>
        <v>22:30</v>
      </c>
      <c r="Y118" s="25" t="str">
        <f t="shared" si="1"/>
        <v/>
      </c>
      <c r="Z118" s="22">
        <v>0</v>
      </c>
    </row>
    <row r="119" spans="1:26">
      <c r="A119" s="13">
        <v>45851.958333333336</v>
      </c>
      <c r="B119" s="14">
        <v>-62.67</v>
      </c>
      <c r="C119" s="15">
        <v>0</v>
      </c>
      <c r="D119" s="15">
        <v>-394.42</v>
      </c>
      <c r="E119" s="15">
        <v>942.93</v>
      </c>
      <c r="F119" s="15">
        <v>6276.39</v>
      </c>
      <c r="G119" s="15">
        <v>1.53</v>
      </c>
      <c r="H119" s="15">
        <v>0</v>
      </c>
      <c r="I119" s="15">
        <v>42.52</v>
      </c>
      <c r="J119" s="15">
        <v>1.39</v>
      </c>
      <c r="K119" s="15">
        <v>30.94</v>
      </c>
      <c r="L119" s="15">
        <v>2095.64</v>
      </c>
      <c r="M119" s="15">
        <v>0.05</v>
      </c>
      <c r="N119" s="15">
        <v>0</v>
      </c>
      <c r="O119" s="15">
        <v>14.28</v>
      </c>
      <c r="P119" s="15">
        <v>132.37</v>
      </c>
      <c r="Q119" s="15">
        <v>283.27999999999997</v>
      </c>
      <c r="R119" s="15">
        <v>2829.85</v>
      </c>
      <c r="S119" s="15">
        <v>0.44</v>
      </c>
      <c r="T119" s="15">
        <v>0</v>
      </c>
      <c r="U119" s="15">
        <v>12.8</v>
      </c>
      <c r="V119" s="15">
        <v>636.44000000000005</v>
      </c>
      <c r="W119" s="16">
        <v>58.83</v>
      </c>
      <c r="X119" s="19" t="str">
        <f>TEXT(Table4_1[[#This Row],[date]], "hh:mm")</f>
        <v>23:00</v>
      </c>
      <c r="Y119" s="25" t="str">
        <f t="shared" si="1"/>
        <v/>
      </c>
      <c r="Z119" s="22">
        <v>0</v>
      </c>
    </row>
    <row r="120" spans="1:26">
      <c r="A120" s="13">
        <v>45851.979166666664</v>
      </c>
      <c r="B120" s="14">
        <v>-101.41</v>
      </c>
      <c r="C120" s="15">
        <v>0</v>
      </c>
      <c r="D120" s="15">
        <v>-396.14</v>
      </c>
      <c r="E120" s="15">
        <v>946.21</v>
      </c>
      <c r="F120" s="15">
        <v>5983.07</v>
      </c>
      <c r="G120" s="15">
        <v>2.4</v>
      </c>
      <c r="H120" s="15">
        <v>0</v>
      </c>
      <c r="I120" s="15">
        <v>43.16</v>
      </c>
      <c r="J120" s="15">
        <v>1.05</v>
      </c>
      <c r="K120" s="15">
        <v>30.87</v>
      </c>
      <c r="L120" s="15">
        <v>2144.85</v>
      </c>
      <c r="M120" s="15">
        <v>0.05</v>
      </c>
      <c r="N120" s="15">
        <v>0</v>
      </c>
      <c r="O120" s="15">
        <v>14.03</v>
      </c>
      <c r="P120" s="15">
        <v>130.6</v>
      </c>
      <c r="Q120" s="15">
        <v>297.70999999999998</v>
      </c>
      <c r="R120" s="15">
        <v>2699.06</v>
      </c>
      <c r="S120" s="15">
        <v>0.45</v>
      </c>
      <c r="T120" s="15">
        <v>0</v>
      </c>
      <c r="U120" s="15">
        <v>13</v>
      </c>
      <c r="V120" s="15">
        <v>626.87</v>
      </c>
      <c r="W120" s="16">
        <v>53.54</v>
      </c>
      <c r="X120" s="19" t="str">
        <f>TEXT(Table4_1[[#This Row],[date]], "hh:mm")</f>
        <v>23:30</v>
      </c>
      <c r="Y120" s="25" t="str">
        <f t="shared" si="1"/>
        <v/>
      </c>
      <c r="Z120" s="22">
        <v>0</v>
      </c>
    </row>
    <row r="121" spans="1:26">
      <c r="A121" s="13">
        <v>45852</v>
      </c>
      <c r="B121" s="14">
        <v>-87.13</v>
      </c>
      <c r="C121" s="15">
        <v>0</v>
      </c>
      <c r="D121" s="15">
        <v>-487.28</v>
      </c>
      <c r="E121" s="15">
        <v>856.24</v>
      </c>
      <c r="F121" s="15">
        <v>5820.55</v>
      </c>
      <c r="G121" s="15">
        <v>1.32</v>
      </c>
      <c r="H121" s="15">
        <v>0</v>
      </c>
      <c r="I121" s="15">
        <v>43.36</v>
      </c>
      <c r="J121" s="15">
        <v>0.6</v>
      </c>
      <c r="K121" s="15">
        <v>30.93</v>
      </c>
      <c r="L121" s="15">
        <v>2190.79</v>
      </c>
      <c r="M121" s="15">
        <v>0.05</v>
      </c>
      <c r="N121" s="15">
        <v>0</v>
      </c>
      <c r="O121" s="15">
        <v>13.92</v>
      </c>
      <c r="P121" s="15">
        <v>158.55000000000001</v>
      </c>
      <c r="Q121" s="15">
        <v>279.98</v>
      </c>
      <c r="R121" s="15">
        <v>2626.43</v>
      </c>
      <c r="S121" s="15">
        <v>0.44</v>
      </c>
      <c r="T121" s="15">
        <v>0</v>
      </c>
      <c r="U121" s="15">
        <v>13.05</v>
      </c>
      <c r="V121" s="15">
        <v>630.85</v>
      </c>
      <c r="W121" s="16">
        <v>65.36</v>
      </c>
      <c r="X121" s="19" t="str">
        <f>TEXT(Table4_1[[#This Row],[date]], "hh:mm")</f>
        <v>00:00</v>
      </c>
      <c r="Y121" s="25" t="str">
        <f t="shared" si="1"/>
        <v>14 Jul</v>
      </c>
      <c r="Z121" s="22">
        <v>0</v>
      </c>
    </row>
    <row r="122" spans="1:26">
      <c r="A122" s="13">
        <v>45852.020833333336</v>
      </c>
      <c r="B122" s="14">
        <v>-50.52</v>
      </c>
      <c r="C122" s="15">
        <v>0</v>
      </c>
      <c r="D122" s="15">
        <v>-536.12</v>
      </c>
      <c r="E122" s="15">
        <v>809.98</v>
      </c>
      <c r="F122" s="15">
        <v>5517.03</v>
      </c>
      <c r="G122" s="15">
        <v>-0.23</v>
      </c>
      <c r="H122" s="15">
        <v>0</v>
      </c>
      <c r="I122" s="15">
        <v>43.19</v>
      </c>
      <c r="J122" s="15">
        <v>0.18</v>
      </c>
      <c r="K122" s="15">
        <v>25.74</v>
      </c>
      <c r="L122" s="15">
        <v>2233.4299999999998</v>
      </c>
      <c r="M122" s="15">
        <v>0.05</v>
      </c>
      <c r="N122" s="15">
        <v>0</v>
      </c>
      <c r="O122" s="15">
        <v>14.68</v>
      </c>
      <c r="P122" s="15">
        <v>171.28</v>
      </c>
      <c r="Q122" s="15">
        <v>274.22000000000003</v>
      </c>
      <c r="R122" s="15">
        <v>2492.0700000000002</v>
      </c>
      <c r="S122" s="15">
        <v>0.43</v>
      </c>
      <c r="T122" s="15">
        <v>0</v>
      </c>
      <c r="U122" s="15">
        <v>13</v>
      </c>
      <c r="V122" s="15">
        <v>623.04999999999995</v>
      </c>
      <c r="W122" s="16">
        <v>57.01</v>
      </c>
      <c r="X122" s="19" t="str">
        <f>TEXT(Table4_1[[#This Row],[date]], "hh:mm")</f>
        <v>00:30</v>
      </c>
      <c r="Y122" s="25" t="str">
        <f t="shared" si="1"/>
        <v/>
      </c>
      <c r="Z122" s="22">
        <v>0</v>
      </c>
    </row>
    <row r="123" spans="1:26">
      <c r="A123" s="13">
        <v>45852.041666666664</v>
      </c>
      <c r="B123" s="14">
        <v>-4.3099999999999996</v>
      </c>
      <c r="C123" s="15">
        <v>0</v>
      </c>
      <c r="D123" s="15">
        <v>-538.34</v>
      </c>
      <c r="E123" s="15">
        <v>797.4</v>
      </c>
      <c r="F123" s="15">
        <v>5349.02</v>
      </c>
      <c r="G123" s="15">
        <v>0.21</v>
      </c>
      <c r="H123" s="15">
        <v>0</v>
      </c>
      <c r="I123" s="15">
        <v>42.53</v>
      </c>
      <c r="J123" s="15">
        <v>1.05</v>
      </c>
      <c r="K123" s="15">
        <v>0</v>
      </c>
      <c r="L123" s="15">
        <v>2282.92</v>
      </c>
      <c r="M123" s="15">
        <v>0.05</v>
      </c>
      <c r="N123" s="15">
        <v>0</v>
      </c>
      <c r="O123" s="15">
        <v>14.54</v>
      </c>
      <c r="P123" s="15">
        <v>169.91</v>
      </c>
      <c r="Q123" s="15">
        <v>281.60000000000002</v>
      </c>
      <c r="R123" s="15">
        <v>2417.1999999999998</v>
      </c>
      <c r="S123" s="15">
        <v>0.43</v>
      </c>
      <c r="T123" s="15">
        <v>0</v>
      </c>
      <c r="U123" s="15">
        <v>12.8</v>
      </c>
      <c r="V123" s="15">
        <v>612.92999999999995</v>
      </c>
      <c r="W123" s="16">
        <v>64.89</v>
      </c>
      <c r="X123" s="19" t="str">
        <f>TEXT(Table4_1[[#This Row],[date]], "hh:mm")</f>
        <v>01:00</v>
      </c>
      <c r="Y123" s="25" t="str">
        <f t="shared" si="1"/>
        <v/>
      </c>
      <c r="Z123" s="22">
        <v>0</v>
      </c>
    </row>
    <row r="124" spans="1:26">
      <c r="A124" s="13">
        <v>45852.0625</v>
      </c>
      <c r="B124" s="14">
        <v>-51.03</v>
      </c>
      <c r="C124" s="15">
        <v>0</v>
      </c>
      <c r="D124" s="15">
        <v>-513.83000000000004</v>
      </c>
      <c r="E124" s="15">
        <v>792.88</v>
      </c>
      <c r="F124" s="15">
        <v>5143.7</v>
      </c>
      <c r="G124" s="15">
        <v>0.69</v>
      </c>
      <c r="H124" s="15">
        <v>0</v>
      </c>
      <c r="I124" s="15">
        <v>42.41</v>
      </c>
      <c r="J124" s="15">
        <v>0.28999999999999998</v>
      </c>
      <c r="K124" s="15">
        <v>0</v>
      </c>
      <c r="L124" s="15">
        <v>2301.21</v>
      </c>
      <c r="M124" s="15">
        <v>0.05</v>
      </c>
      <c r="N124" s="15">
        <v>0</v>
      </c>
      <c r="O124" s="15">
        <v>14.27</v>
      </c>
      <c r="P124" s="15">
        <v>160.04</v>
      </c>
      <c r="Q124" s="15">
        <v>284.89</v>
      </c>
      <c r="R124" s="15">
        <v>2325.7600000000002</v>
      </c>
      <c r="S124" s="15">
        <v>0.44</v>
      </c>
      <c r="T124" s="15">
        <v>0</v>
      </c>
      <c r="U124" s="15">
        <v>12.77</v>
      </c>
      <c r="V124" s="15">
        <v>606.24</v>
      </c>
      <c r="W124" s="16">
        <v>68.540000000000006</v>
      </c>
      <c r="X124" s="19" t="str">
        <f>TEXT(Table4_1[[#This Row],[date]], "hh:mm")</f>
        <v>01:30</v>
      </c>
      <c r="Y124" s="25" t="str">
        <f t="shared" si="1"/>
        <v/>
      </c>
      <c r="Z124" s="22">
        <v>0</v>
      </c>
    </row>
    <row r="125" spans="1:26">
      <c r="A125" s="13">
        <v>45852.083333333336</v>
      </c>
      <c r="B125" s="14">
        <v>-52.8</v>
      </c>
      <c r="C125" s="15">
        <v>0</v>
      </c>
      <c r="D125" s="15">
        <v>-459.97</v>
      </c>
      <c r="E125" s="15">
        <v>761.6</v>
      </c>
      <c r="F125" s="15">
        <v>4920.88</v>
      </c>
      <c r="G125" s="15">
        <v>0.38</v>
      </c>
      <c r="H125" s="15">
        <v>0</v>
      </c>
      <c r="I125" s="15">
        <v>42.87</v>
      </c>
      <c r="J125" s="15">
        <v>0.35</v>
      </c>
      <c r="K125" s="15">
        <v>0</v>
      </c>
      <c r="L125" s="15">
        <v>2267.08</v>
      </c>
      <c r="M125" s="15">
        <v>0.05</v>
      </c>
      <c r="N125" s="15">
        <v>0</v>
      </c>
      <c r="O125" s="15">
        <v>14.4</v>
      </c>
      <c r="P125" s="15">
        <v>142.07</v>
      </c>
      <c r="Q125" s="15">
        <v>277.07</v>
      </c>
      <c r="R125" s="15">
        <v>2227.5100000000002</v>
      </c>
      <c r="S125" s="15">
        <v>0.44</v>
      </c>
      <c r="T125" s="15">
        <v>0</v>
      </c>
      <c r="U125" s="15">
        <v>12.91</v>
      </c>
      <c r="V125" s="15">
        <v>599.12</v>
      </c>
      <c r="W125" s="16">
        <v>69.52</v>
      </c>
      <c r="X125" s="19" t="str">
        <f>TEXT(Table4_1[[#This Row],[date]], "hh:mm")</f>
        <v>02:00</v>
      </c>
      <c r="Y125" s="25" t="str">
        <f t="shared" si="1"/>
        <v/>
      </c>
      <c r="Z125" s="22">
        <v>0</v>
      </c>
    </row>
    <row r="126" spans="1:26">
      <c r="A126" s="13">
        <v>45852.104166666664</v>
      </c>
      <c r="B126" s="14">
        <v>-67.489999999999995</v>
      </c>
      <c r="C126" s="15">
        <v>0</v>
      </c>
      <c r="D126" s="15">
        <v>-495.82</v>
      </c>
      <c r="E126" s="15">
        <v>791.54</v>
      </c>
      <c r="F126" s="15">
        <v>4781.75</v>
      </c>
      <c r="G126" s="15">
        <v>0.89</v>
      </c>
      <c r="H126" s="15">
        <v>0</v>
      </c>
      <c r="I126" s="15">
        <v>43.16</v>
      </c>
      <c r="J126" s="15">
        <v>1.51</v>
      </c>
      <c r="K126" s="15">
        <v>0</v>
      </c>
      <c r="L126" s="15">
        <v>2249.91</v>
      </c>
      <c r="M126" s="15">
        <v>0.05</v>
      </c>
      <c r="N126" s="15">
        <v>0</v>
      </c>
      <c r="O126" s="15">
        <v>14.03</v>
      </c>
      <c r="P126" s="15">
        <v>152.12</v>
      </c>
      <c r="Q126" s="15">
        <v>287.83999999999997</v>
      </c>
      <c r="R126" s="15">
        <v>2165.6</v>
      </c>
      <c r="S126" s="15">
        <v>0.45</v>
      </c>
      <c r="T126" s="15">
        <v>0</v>
      </c>
      <c r="U126" s="15">
        <v>13</v>
      </c>
      <c r="V126" s="15">
        <v>596.54999999999995</v>
      </c>
      <c r="W126" s="16">
        <v>51.17</v>
      </c>
      <c r="X126" s="19" t="str">
        <f>TEXT(Table4_1[[#This Row],[date]], "hh:mm")</f>
        <v>02:30</v>
      </c>
      <c r="Y126" s="25" t="str">
        <f t="shared" si="1"/>
        <v/>
      </c>
      <c r="Z126" s="22">
        <v>0</v>
      </c>
    </row>
    <row r="127" spans="1:26">
      <c r="A127" s="13">
        <v>45852.125</v>
      </c>
      <c r="B127" s="14">
        <v>-63.85</v>
      </c>
      <c r="C127" s="15">
        <v>0</v>
      </c>
      <c r="D127" s="15">
        <v>-498.8</v>
      </c>
      <c r="E127" s="15">
        <v>780.83</v>
      </c>
      <c r="F127" s="15">
        <v>4703</v>
      </c>
      <c r="G127" s="15">
        <v>-0.04</v>
      </c>
      <c r="H127" s="15">
        <v>0</v>
      </c>
      <c r="I127" s="15">
        <v>43.29</v>
      </c>
      <c r="J127" s="15">
        <v>1.01</v>
      </c>
      <c r="K127" s="15">
        <v>0</v>
      </c>
      <c r="L127" s="15">
        <v>2264.0500000000002</v>
      </c>
      <c r="M127" s="15">
        <v>0.05</v>
      </c>
      <c r="N127" s="15">
        <v>0</v>
      </c>
      <c r="O127" s="15">
        <v>14.21</v>
      </c>
      <c r="P127" s="15">
        <v>152.94999999999999</v>
      </c>
      <c r="Q127" s="15">
        <v>284.14999999999998</v>
      </c>
      <c r="R127" s="15">
        <v>2130.5300000000002</v>
      </c>
      <c r="S127" s="15">
        <v>0.44</v>
      </c>
      <c r="T127" s="15">
        <v>0</v>
      </c>
      <c r="U127" s="15">
        <v>13.04</v>
      </c>
      <c r="V127" s="15">
        <v>593.12</v>
      </c>
      <c r="W127" s="16">
        <v>56.71</v>
      </c>
      <c r="X127" s="19" t="str">
        <f>TEXT(Table4_1[[#This Row],[date]], "hh:mm")</f>
        <v>03:00</v>
      </c>
      <c r="Y127" s="25" t="str">
        <f t="shared" si="1"/>
        <v/>
      </c>
      <c r="Z127" s="22">
        <v>0</v>
      </c>
    </row>
    <row r="128" spans="1:26">
      <c r="A128" s="13">
        <v>45852.145833333336</v>
      </c>
      <c r="B128" s="14">
        <v>-43.63</v>
      </c>
      <c r="C128" s="15">
        <v>0</v>
      </c>
      <c r="D128" s="15">
        <v>-380.66</v>
      </c>
      <c r="E128" s="15">
        <v>713.11</v>
      </c>
      <c r="F128" s="15">
        <v>4627.54</v>
      </c>
      <c r="G128" s="15">
        <v>-0.24</v>
      </c>
      <c r="H128" s="15">
        <v>0</v>
      </c>
      <c r="I128" s="15">
        <v>43.32</v>
      </c>
      <c r="J128" s="15">
        <v>1.59</v>
      </c>
      <c r="K128" s="15">
        <v>0</v>
      </c>
      <c r="L128" s="15">
        <v>2116.71</v>
      </c>
      <c r="M128" s="15">
        <v>0.05</v>
      </c>
      <c r="N128" s="15">
        <v>0</v>
      </c>
      <c r="O128" s="15">
        <v>13.98</v>
      </c>
      <c r="P128" s="15">
        <v>117.83</v>
      </c>
      <c r="Q128" s="15">
        <v>269.75</v>
      </c>
      <c r="R128" s="15">
        <v>2096.8000000000002</v>
      </c>
      <c r="S128" s="15">
        <v>0.45</v>
      </c>
      <c r="T128" s="15">
        <v>0</v>
      </c>
      <c r="U128" s="15">
        <v>13.04</v>
      </c>
      <c r="V128" s="15">
        <v>596.32000000000005</v>
      </c>
      <c r="W128" s="16">
        <v>56.98</v>
      </c>
      <c r="X128" s="19" t="str">
        <f>TEXT(Table4_1[[#This Row],[date]], "hh:mm")</f>
        <v>03:30</v>
      </c>
      <c r="Y128" s="25" t="str">
        <f t="shared" si="1"/>
        <v/>
      </c>
      <c r="Z128" s="22">
        <v>0</v>
      </c>
    </row>
    <row r="129" spans="1:26">
      <c r="A129" s="13">
        <v>45852.166666666664</v>
      </c>
      <c r="B129" s="14">
        <v>-55.86</v>
      </c>
      <c r="C129" s="15">
        <v>0</v>
      </c>
      <c r="D129" s="15">
        <v>-325.73</v>
      </c>
      <c r="E129" s="15">
        <v>661.26</v>
      </c>
      <c r="F129" s="15">
        <v>4765.43</v>
      </c>
      <c r="G129" s="15">
        <v>-1.26</v>
      </c>
      <c r="H129" s="15">
        <v>0</v>
      </c>
      <c r="I129" s="15">
        <v>43.3</v>
      </c>
      <c r="J129" s="15">
        <v>11.02</v>
      </c>
      <c r="K129" s="15">
        <v>-0.05</v>
      </c>
      <c r="L129" s="15">
        <v>2004.46</v>
      </c>
      <c r="M129" s="15">
        <v>0.05</v>
      </c>
      <c r="N129" s="15">
        <v>0</v>
      </c>
      <c r="O129" s="15">
        <v>13.29</v>
      </c>
      <c r="P129" s="15">
        <v>102.66</v>
      </c>
      <c r="Q129" s="15">
        <v>256.02</v>
      </c>
      <c r="R129" s="15">
        <v>2158.77</v>
      </c>
      <c r="S129" s="15">
        <v>0.44</v>
      </c>
      <c r="T129" s="15">
        <v>0</v>
      </c>
      <c r="U129" s="15">
        <v>13.04</v>
      </c>
      <c r="V129" s="15">
        <v>611.67999999999995</v>
      </c>
      <c r="W129" s="16">
        <v>57.01</v>
      </c>
      <c r="X129" s="19" t="str">
        <f>TEXT(Table4_1[[#This Row],[date]], "hh:mm")</f>
        <v>04:00</v>
      </c>
      <c r="Y129" s="25" t="str">
        <f t="shared" si="1"/>
        <v/>
      </c>
      <c r="Z129" s="22">
        <v>0</v>
      </c>
    </row>
    <row r="130" spans="1:26">
      <c r="A130" s="13">
        <v>45852.1875</v>
      </c>
      <c r="B130" s="14">
        <v>-95.96</v>
      </c>
      <c r="C130" s="15">
        <v>0</v>
      </c>
      <c r="D130" s="15">
        <v>-381.76</v>
      </c>
      <c r="E130" s="15">
        <v>578.07000000000005</v>
      </c>
      <c r="F130" s="15">
        <v>5265.24</v>
      </c>
      <c r="G130" s="15">
        <v>-0.54</v>
      </c>
      <c r="H130" s="15">
        <v>0</v>
      </c>
      <c r="I130" s="15">
        <v>43.4</v>
      </c>
      <c r="J130" s="15">
        <v>0.69</v>
      </c>
      <c r="K130" s="15">
        <v>0</v>
      </c>
      <c r="L130" s="15">
        <v>1914.67</v>
      </c>
      <c r="M130" s="15">
        <v>0.05</v>
      </c>
      <c r="N130" s="15">
        <v>0</v>
      </c>
      <c r="O130" s="15">
        <v>12.77</v>
      </c>
      <c r="P130" s="15">
        <v>121.8</v>
      </c>
      <c r="Q130" s="15">
        <v>223.28</v>
      </c>
      <c r="R130" s="15">
        <v>2389.5100000000002</v>
      </c>
      <c r="S130" s="15">
        <v>0.44</v>
      </c>
      <c r="T130" s="15">
        <v>0</v>
      </c>
      <c r="U130" s="15">
        <v>13.07</v>
      </c>
      <c r="V130" s="15">
        <v>656.22</v>
      </c>
      <c r="W130" s="16">
        <v>72.489999999999995</v>
      </c>
      <c r="X130" s="19" t="str">
        <f>TEXT(Table4_1[[#This Row],[date]], "hh:mm")</f>
        <v>04:30</v>
      </c>
      <c r="Y130" s="25" t="str">
        <f t="shared" ref="Y130:Y193" si="2">IF(AND(HOUR(A130)=0,MINUTE(A130)=0),TEXT(A130,"d mmm"),"")</f>
        <v/>
      </c>
      <c r="Z130" s="22">
        <v>0</v>
      </c>
    </row>
    <row r="131" spans="1:26">
      <c r="A131" s="13">
        <v>45852.208333333336</v>
      </c>
      <c r="B131" s="14">
        <v>-37.93</v>
      </c>
      <c r="C131" s="15">
        <v>0</v>
      </c>
      <c r="D131" s="15">
        <v>-461.29</v>
      </c>
      <c r="E131" s="15">
        <v>475.77</v>
      </c>
      <c r="F131" s="15">
        <v>5618.82</v>
      </c>
      <c r="G131" s="15">
        <v>0.56999999999999995</v>
      </c>
      <c r="H131" s="15">
        <v>0</v>
      </c>
      <c r="I131" s="15">
        <v>42.88</v>
      </c>
      <c r="J131" s="15">
        <v>5.82</v>
      </c>
      <c r="K131" s="15">
        <v>0</v>
      </c>
      <c r="L131" s="15">
        <v>1963.07</v>
      </c>
      <c r="M131" s="15">
        <v>0.05</v>
      </c>
      <c r="N131" s="15">
        <v>0</v>
      </c>
      <c r="O131" s="15">
        <v>12.53</v>
      </c>
      <c r="P131" s="15">
        <v>147.88999999999999</v>
      </c>
      <c r="Q131" s="15">
        <v>186.06</v>
      </c>
      <c r="R131" s="15">
        <v>2547.91</v>
      </c>
      <c r="S131" s="15">
        <v>0.45</v>
      </c>
      <c r="T131" s="15">
        <v>0</v>
      </c>
      <c r="U131" s="15">
        <v>12.91</v>
      </c>
      <c r="V131" s="15">
        <v>673.33</v>
      </c>
      <c r="W131" s="16">
        <v>69.599999999999994</v>
      </c>
      <c r="X131" s="19" t="str">
        <f>TEXT(Table4_1[[#This Row],[date]], "hh:mm")</f>
        <v>05:00</v>
      </c>
      <c r="Y131" s="25" t="str">
        <f t="shared" si="2"/>
        <v/>
      </c>
      <c r="Z131" s="22">
        <v>0</v>
      </c>
    </row>
    <row r="132" spans="1:26">
      <c r="A132" s="13">
        <v>45852.229166666664</v>
      </c>
      <c r="B132" s="14">
        <v>-10.93</v>
      </c>
      <c r="C132" s="15">
        <v>0</v>
      </c>
      <c r="D132" s="15">
        <v>-472.02</v>
      </c>
      <c r="E132" s="15">
        <v>210.95</v>
      </c>
      <c r="F132" s="15">
        <v>6309.23</v>
      </c>
      <c r="G132" s="15">
        <v>-0.28999999999999998</v>
      </c>
      <c r="H132" s="15">
        <v>0</v>
      </c>
      <c r="I132" s="15">
        <v>42.53</v>
      </c>
      <c r="J132" s="15">
        <v>4.59</v>
      </c>
      <c r="K132" s="15">
        <v>57.01</v>
      </c>
      <c r="L132" s="15">
        <v>1767.6</v>
      </c>
      <c r="M132" s="15">
        <v>0.05</v>
      </c>
      <c r="N132" s="15">
        <v>0</v>
      </c>
      <c r="O132" s="15">
        <v>12.42</v>
      </c>
      <c r="P132" s="15">
        <v>160.69999999999999</v>
      </c>
      <c r="Q132" s="15">
        <v>83.17</v>
      </c>
      <c r="R132" s="15">
        <v>2858.13</v>
      </c>
      <c r="S132" s="15">
        <v>0.45</v>
      </c>
      <c r="T132" s="15">
        <v>0</v>
      </c>
      <c r="U132" s="15">
        <v>12.81</v>
      </c>
      <c r="V132" s="15">
        <v>726.13</v>
      </c>
      <c r="W132" s="16">
        <v>77.510000000000005</v>
      </c>
      <c r="X132" s="19" t="str">
        <f>TEXT(Table4_1[[#This Row],[date]], "hh:mm")</f>
        <v>05:30</v>
      </c>
      <c r="Y132" s="25" t="str">
        <f t="shared" si="2"/>
        <v/>
      </c>
      <c r="Z132" s="22">
        <v>0</v>
      </c>
    </row>
    <row r="133" spans="1:26">
      <c r="A133" s="13">
        <v>45852.25</v>
      </c>
      <c r="B133" s="14">
        <v>-10.5</v>
      </c>
      <c r="C133" s="15">
        <v>0</v>
      </c>
      <c r="D133" s="15">
        <v>-573.94000000000005</v>
      </c>
      <c r="E133" s="15">
        <v>0</v>
      </c>
      <c r="F133" s="15">
        <v>6751.5</v>
      </c>
      <c r="G133" s="15">
        <v>-1.1299999999999999</v>
      </c>
      <c r="H133" s="15">
        <v>0</v>
      </c>
      <c r="I133" s="15">
        <v>43</v>
      </c>
      <c r="J133" s="15">
        <v>83.72</v>
      </c>
      <c r="K133" s="15">
        <v>233.36</v>
      </c>
      <c r="L133" s="15">
        <v>1750.97</v>
      </c>
      <c r="M133" s="15">
        <v>0.05</v>
      </c>
      <c r="N133" s="15">
        <v>0</v>
      </c>
      <c r="O133" s="15">
        <v>11.77</v>
      </c>
      <c r="P133" s="15">
        <v>197.92</v>
      </c>
      <c r="Q133" s="15">
        <v>0</v>
      </c>
      <c r="R133" s="15">
        <v>3055.82</v>
      </c>
      <c r="S133" s="15">
        <v>0.44</v>
      </c>
      <c r="T133" s="15">
        <v>0</v>
      </c>
      <c r="U133" s="15">
        <v>12.95</v>
      </c>
      <c r="V133" s="15">
        <v>741.62</v>
      </c>
      <c r="W133" s="16">
        <v>93.14</v>
      </c>
      <c r="X133" s="19" t="str">
        <f>TEXT(Table4_1[[#This Row],[date]], "hh:mm")</f>
        <v>06:00</v>
      </c>
      <c r="Y133" s="25" t="str">
        <f t="shared" si="2"/>
        <v/>
      </c>
      <c r="Z133" s="22">
        <v>0</v>
      </c>
    </row>
    <row r="134" spans="1:26">
      <c r="A134" s="13">
        <v>45852.270833333336</v>
      </c>
      <c r="B134" s="14">
        <v>-15.9</v>
      </c>
      <c r="C134" s="15">
        <v>0</v>
      </c>
      <c r="D134" s="15">
        <v>-418.29</v>
      </c>
      <c r="E134" s="15">
        <v>0</v>
      </c>
      <c r="F134" s="15">
        <v>7123.99</v>
      </c>
      <c r="G134" s="15">
        <v>-3.58</v>
      </c>
      <c r="H134" s="15">
        <v>0</v>
      </c>
      <c r="I134" s="15">
        <v>43.75</v>
      </c>
      <c r="J134" s="15">
        <v>146.22999999999999</v>
      </c>
      <c r="K134" s="15">
        <v>190.83</v>
      </c>
      <c r="L134" s="15">
        <v>1760.49</v>
      </c>
      <c r="M134" s="15">
        <v>0.05</v>
      </c>
      <c r="N134" s="15">
        <v>0.12</v>
      </c>
      <c r="O134" s="15">
        <v>11.87</v>
      </c>
      <c r="P134" s="15">
        <v>145.72999999999999</v>
      </c>
      <c r="Q134" s="15">
        <v>0</v>
      </c>
      <c r="R134" s="15">
        <v>3224.4</v>
      </c>
      <c r="S134" s="15">
        <v>0.44</v>
      </c>
      <c r="T134" s="15">
        <v>0</v>
      </c>
      <c r="U134" s="15">
        <v>13.17</v>
      </c>
      <c r="V134" s="15">
        <v>733.6</v>
      </c>
      <c r="W134" s="16">
        <v>153.1</v>
      </c>
      <c r="X134" s="19" t="str">
        <f>TEXT(Table4_1[[#This Row],[date]], "hh:mm")</f>
        <v>06:30</v>
      </c>
      <c r="Y134" s="25" t="str">
        <f t="shared" si="2"/>
        <v/>
      </c>
      <c r="Z134" s="22">
        <v>0</v>
      </c>
    </row>
    <row r="135" spans="1:26">
      <c r="A135" s="13">
        <v>45852.291666666664</v>
      </c>
      <c r="B135" s="14">
        <v>-2.09</v>
      </c>
      <c r="C135" s="15">
        <v>0</v>
      </c>
      <c r="D135" s="15">
        <v>-376.64</v>
      </c>
      <c r="E135" s="15">
        <v>15.8</v>
      </c>
      <c r="F135" s="15">
        <v>7297.42</v>
      </c>
      <c r="G135" s="15">
        <v>-1.92</v>
      </c>
      <c r="H135" s="15">
        <v>0</v>
      </c>
      <c r="I135" s="15">
        <v>43.23</v>
      </c>
      <c r="J135" s="15">
        <v>240.67</v>
      </c>
      <c r="K135" s="15">
        <v>358.43</v>
      </c>
      <c r="L135" s="15">
        <v>1750.08</v>
      </c>
      <c r="M135" s="15">
        <v>5.23</v>
      </c>
      <c r="N135" s="15">
        <v>7.84</v>
      </c>
      <c r="O135" s="15">
        <v>12.89</v>
      </c>
      <c r="P135" s="15">
        <v>128.53</v>
      </c>
      <c r="Q135" s="15">
        <v>5.47</v>
      </c>
      <c r="R135" s="15">
        <v>3304.27</v>
      </c>
      <c r="S135" s="15">
        <v>0.45</v>
      </c>
      <c r="T135" s="15">
        <v>0</v>
      </c>
      <c r="U135" s="15">
        <v>13.02</v>
      </c>
      <c r="V135" s="15">
        <v>710.58</v>
      </c>
      <c r="W135" s="16">
        <v>147.21</v>
      </c>
      <c r="X135" s="19" t="str">
        <f>TEXT(Table4_1[[#This Row],[date]], "hh:mm")</f>
        <v>07:00</v>
      </c>
      <c r="Y135" s="25" t="str">
        <f t="shared" si="2"/>
        <v/>
      </c>
      <c r="Z135" s="22">
        <v>0</v>
      </c>
    </row>
    <row r="136" spans="1:26">
      <c r="A136" s="13">
        <v>45852.3125</v>
      </c>
      <c r="B136" s="14">
        <v>-4.78</v>
      </c>
      <c r="C136" s="15">
        <v>0</v>
      </c>
      <c r="D136" s="15">
        <v>-305.26</v>
      </c>
      <c r="E136" s="15">
        <v>0</v>
      </c>
      <c r="F136" s="15">
        <v>7328.85</v>
      </c>
      <c r="G136" s="15">
        <v>-3.31</v>
      </c>
      <c r="H136" s="15">
        <v>0</v>
      </c>
      <c r="I136" s="15">
        <v>43.32</v>
      </c>
      <c r="J136" s="15">
        <v>89.95</v>
      </c>
      <c r="K136" s="15">
        <v>577.28</v>
      </c>
      <c r="L136" s="15">
        <v>1818.48</v>
      </c>
      <c r="M136" s="15">
        <v>136.53</v>
      </c>
      <c r="N136" s="15">
        <v>94.14</v>
      </c>
      <c r="O136" s="15">
        <v>13.92</v>
      </c>
      <c r="P136" s="15">
        <v>101.53</v>
      </c>
      <c r="Q136" s="15">
        <v>0</v>
      </c>
      <c r="R136" s="15">
        <v>3319.64</v>
      </c>
      <c r="S136" s="15">
        <v>0.45</v>
      </c>
      <c r="T136" s="15">
        <v>0</v>
      </c>
      <c r="U136" s="15">
        <v>13.04</v>
      </c>
      <c r="V136" s="15">
        <v>681.96</v>
      </c>
      <c r="W136" s="16">
        <v>154.78</v>
      </c>
      <c r="X136" s="19" t="str">
        <f>TEXT(Table4_1[[#This Row],[date]], "hh:mm")</f>
        <v>07:30</v>
      </c>
      <c r="Y136" s="25" t="str">
        <f t="shared" si="2"/>
        <v/>
      </c>
      <c r="Z136" s="22">
        <v>0</v>
      </c>
    </row>
    <row r="137" spans="1:26">
      <c r="A137" s="13">
        <v>45852.333333333336</v>
      </c>
      <c r="B137" s="14">
        <v>-5.0999999999999996</v>
      </c>
      <c r="C137" s="15">
        <v>0</v>
      </c>
      <c r="D137" s="15">
        <v>-223.76</v>
      </c>
      <c r="E137" s="15">
        <v>8.4600000000000009</v>
      </c>
      <c r="F137" s="15">
        <v>6969.81</v>
      </c>
      <c r="G137" s="15">
        <v>-3.44</v>
      </c>
      <c r="H137" s="15">
        <v>0</v>
      </c>
      <c r="I137" s="15">
        <v>43.3</v>
      </c>
      <c r="J137" s="15">
        <v>80.38</v>
      </c>
      <c r="K137" s="15">
        <v>298.17</v>
      </c>
      <c r="L137" s="15">
        <v>1670.48</v>
      </c>
      <c r="M137" s="15">
        <v>735.66</v>
      </c>
      <c r="N137" s="15">
        <v>389.47</v>
      </c>
      <c r="O137" s="15">
        <v>14.14</v>
      </c>
      <c r="P137" s="15">
        <v>72.239999999999995</v>
      </c>
      <c r="Q137" s="15">
        <v>2.44</v>
      </c>
      <c r="R137" s="15">
        <v>3155.92</v>
      </c>
      <c r="S137" s="15">
        <v>0.44</v>
      </c>
      <c r="T137" s="15">
        <v>0</v>
      </c>
      <c r="U137" s="15">
        <v>13.04</v>
      </c>
      <c r="V137" s="15">
        <v>636.20000000000005</v>
      </c>
      <c r="W137" s="16">
        <v>81.06</v>
      </c>
      <c r="X137" s="19" t="str">
        <f>TEXT(Table4_1[[#This Row],[date]], "hh:mm")</f>
        <v>08:00</v>
      </c>
      <c r="Y137" s="25" t="str">
        <f t="shared" si="2"/>
        <v/>
      </c>
      <c r="Z137" s="22">
        <v>0</v>
      </c>
    </row>
    <row r="138" spans="1:26">
      <c r="A138" s="13">
        <v>45852.354166666664</v>
      </c>
      <c r="B138" s="14">
        <v>-35.28</v>
      </c>
      <c r="C138" s="15">
        <v>0</v>
      </c>
      <c r="D138" s="15">
        <v>-158.31</v>
      </c>
      <c r="E138" s="15">
        <v>242.69</v>
      </c>
      <c r="F138" s="15">
        <v>5979.68</v>
      </c>
      <c r="G138" s="15">
        <v>-3.45</v>
      </c>
      <c r="H138" s="15">
        <v>0</v>
      </c>
      <c r="I138" s="15">
        <v>43.44</v>
      </c>
      <c r="J138" s="15">
        <v>1.1599999999999999</v>
      </c>
      <c r="K138" s="15">
        <v>0</v>
      </c>
      <c r="L138" s="15">
        <v>1447.65</v>
      </c>
      <c r="M138" s="15">
        <v>1700.98</v>
      </c>
      <c r="N138" s="15">
        <v>873.76</v>
      </c>
      <c r="O138" s="15">
        <v>14.6</v>
      </c>
      <c r="P138" s="15">
        <v>46.23</v>
      </c>
      <c r="Q138" s="15">
        <v>63.07</v>
      </c>
      <c r="R138" s="15">
        <v>2703.21</v>
      </c>
      <c r="S138" s="15">
        <v>0.44</v>
      </c>
      <c r="T138" s="15">
        <v>0</v>
      </c>
      <c r="U138" s="15">
        <v>13.08</v>
      </c>
      <c r="V138" s="15">
        <v>538.37</v>
      </c>
      <c r="W138" s="16">
        <v>-14.01</v>
      </c>
      <c r="X138" s="19" t="str">
        <f>TEXT(Table4_1[[#This Row],[date]], "hh:mm")</f>
        <v>08:30</v>
      </c>
      <c r="Y138" s="25" t="str">
        <f t="shared" si="2"/>
        <v/>
      </c>
      <c r="Z138" s="22">
        <v>0</v>
      </c>
    </row>
    <row r="139" spans="1:26">
      <c r="A139" s="13">
        <v>45852.375</v>
      </c>
      <c r="B139" s="14">
        <v>-38.520000000000003</v>
      </c>
      <c r="C139" s="15">
        <v>-26.8</v>
      </c>
      <c r="D139" s="15">
        <v>-324.17</v>
      </c>
      <c r="E139" s="15">
        <v>599.24</v>
      </c>
      <c r="F139" s="15">
        <v>5028.6499999999996</v>
      </c>
      <c r="G139" s="15">
        <v>0.96</v>
      </c>
      <c r="H139" s="15">
        <v>0</v>
      </c>
      <c r="I139" s="15">
        <v>42.44</v>
      </c>
      <c r="J139" s="15">
        <v>0.81</v>
      </c>
      <c r="K139" s="15">
        <v>0</v>
      </c>
      <c r="L139" s="15">
        <v>1171.56</v>
      </c>
      <c r="M139" s="15">
        <v>2574.77</v>
      </c>
      <c r="N139" s="15">
        <v>1457.97</v>
      </c>
      <c r="O139" s="15">
        <v>15.48</v>
      </c>
      <c r="P139" s="15">
        <v>83.25</v>
      </c>
      <c r="Q139" s="15">
        <v>144.63</v>
      </c>
      <c r="R139" s="15">
        <v>2268.7199999999998</v>
      </c>
      <c r="S139" s="15">
        <v>0.43</v>
      </c>
      <c r="T139" s="15">
        <v>0</v>
      </c>
      <c r="U139" s="15">
        <v>12.78</v>
      </c>
      <c r="V139" s="15">
        <v>435.2</v>
      </c>
      <c r="W139" s="16">
        <v>16.04</v>
      </c>
      <c r="X139" s="19" t="str">
        <f>TEXT(Table4_1[[#This Row],[date]], "hh:mm")</f>
        <v>09:00</v>
      </c>
      <c r="Y139" s="25" t="str">
        <f t="shared" si="2"/>
        <v/>
      </c>
      <c r="Z139" s="22">
        <v>0</v>
      </c>
    </row>
    <row r="140" spans="1:26">
      <c r="A140" s="13">
        <v>45852.395833333336</v>
      </c>
      <c r="B140" s="14">
        <v>-8.85</v>
      </c>
      <c r="C140" s="15">
        <v>-97.44</v>
      </c>
      <c r="D140" s="15">
        <v>-393.87</v>
      </c>
      <c r="E140" s="15">
        <v>701.08</v>
      </c>
      <c r="F140" s="15">
        <v>4242.24</v>
      </c>
      <c r="G140" s="15">
        <v>11.53</v>
      </c>
      <c r="H140" s="15">
        <v>0</v>
      </c>
      <c r="I140" s="15">
        <v>40.770000000000003</v>
      </c>
      <c r="J140" s="15">
        <v>1.08</v>
      </c>
      <c r="K140" s="15">
        <v>0</v>
      </c>
      <c r="L140" s="15">
        <v>1027.68</v>
      </c>
      <c r="M140" s="15">
        <v>2910.9</v>
      </c>
      <c r="N140" s="15">
        <v>2056.14</v>
      </c>
      <c r="O140" s="15">
        <v>16.13</v>
      </c>
      <c r="P140" s="15">
        <v>90.59</v>
      </c>
      <c r="Q140" s="15">
        <v>160.27000000000001</v>
      </c>
      <c r="R140" s="15">
        <v>1910.6</v>
      </c>
      <c r="S140" s="15">
        <v>0.44</v>
      </c>
      <c r="T140" s="15">
        <v>0</v>
      </c>
      <c r="U140" s="15">
        <v>12.27</v>
      </c>
      <c r="V140" s="15">
        <v>366.65</v>
      </c>
      <c r="W140" s="16">
        <v>50.35</v>
      </c>
      <c r="X140" s="19" t="str">
        <f>TEXT(Table4_1[[#This Row],[date]], "hh:mm")</f>
        <v>09:30</v>
      </c>
      <c r="Y140" s="25" t="str">
        <f t="shared" si="2"/>
        <v/>
      </c>
      <c r="Z140" s="22">
        <v>0</v>
      </c>
    </row>
    <row r="141" spans="1:26">
      <c r="A141" s="13">
        <v>45852.416666666664</v>
      </c>
      <c r="B141" s="14">
        <v>-81.27</v>
      </c>
      <c r="C141" s="15">
        <v>-283.64</v>
      </c>
      <c r="D141" s="15">
        <v>-359.41</v>
      </c>
      <c r="E141" s="15">
        <v>752.54</v>
      </c>
      <c r="F141" s="15">
        <v>3632.09</v>
      </c>
      <c r="G141" s="15">
        <v>13.54</v>
      </c>
      <c r="H141" s="15">
        <v>0</v>
      </c>
      <c r="I141" s="15">
        <v>38.119999999999997</v>
      </c>
      <c r="J141" s="15">
        <v>2.21</v>
      </c>
      <c r="K141" s="15">
        <v>0</v>
      </c>
      <c r="L141" s="15">
        <v>960.08</v>
      </c>
      <c r="M141" s="15">
        <v>3022.31</v>
      </c>
      <c r="N141" s="15">
        <v>2593.56</v>
      </c>
      <c r="O141" s="15">
        <v>16.489999999999998</v>
      </c>
      <c r="P141" s="15">
        <v>74.67</v>
      </c>
      <c r="Q141" s="15">
        <v>176.01</v>
      </c>
      <c r="R141" s="15">
        <v>1639.68</v>
      </c>
      <c r="S141" s="15">
        <v>0.45</v>
      </c>
      <c r="T141" s="15">
        <v>0</v>
      </c>
      <c r="U141" s="15">
        <v>11.48</v>
      </c>
      <c r="V141" s="15">
        <v>321.01</v>
      </c>
      <c r="W141" s="16">
        <v>24</v>
      </c>
      <c r="X141" s="19" t="str">
        <f>TEXT(Table4_1[[#This Row],[date]], "hh:mm")</f>
        <v>10:00</v>
      </c>
      <c r="Y141" s="25" t="str">
        <f t="shared" si="2"/>
        <v/>
      </c>
      <c r="Z141" s="22">
        <v>0</v>
      </c>
    </row>
    <row r="142" spans="1:26">
      <c r="A142" s="13">
        <v>45852.4375</v>
      </c>
      <c r="B142" s="14">
        <v>-106.43</v>
      </c>
      <c r="C142" s="15">
        <v>-480.14</v>
      </c>
      <c r="D142" s="15">
        <v>-342.47</v>
      </c>
      <c r="E142" s="15">
        <v>720</v>
      </c>
      <c r="F142" s="15">
        <v>3455.68</v>
      </c>
      <c r="G142" s="15">
        <v>13.92</v>
      </c>
      <c r="H142" s="15">
        <v>0</v>
      </c>
      <c r="I142" s="15">
        <v>40.619999999999997</v>
      </c>
      <c r="J142" s="15">
        <v>1.74</v>
      </c>
      <c r="K142" s="15">
        <v>0</v>
      </c>
      <c r="L142" s="15">
        <v>905.81</v>
      </c>
      <c r="M142" s="15">
        <v>3084.05</v>
      </c>
      <c r="N142" s="15">
        <v>3022.73</v>
      </c>
      <c r="O142" s="15">
        <v>16.97</v>
      </c>
      <c r="P142" s="15">
        <v>67.48</v>
      </c>
      <c r="Q142" s="15">
        <v>172.94</v>
      </c>
      <c r="R142" s="15">
        <v>1562.77</v>
      </c>
      <c r="S142" s="15">
        <v>0.45</v>
      </c>
      <c r="T142" s="15">
        <v>0</v>
      </c>
      <c r="U142" s="15">
        <v>12.23</v>
      </c>
      <c r="V142" s="15">
        <v>305.45</v>
      </c>
      <c r="W142" s="16">
        <v>45</v>
      </c>
      <c r="X142" s="19" t="str">
        <f>TEXT(Table4_1[[#This Row],[date]], "hh:mm")</f>
        <v>10:30</v>
      </c>
      <c r="Y142" s="25" t="str">
        <f t="shared" si="2"/>
        <v/>
      </c>
      <c r="Z142" s="22">
        <v>0</v>
      </c>
    </row>
    <row r="143" spans="1:26">
      <c r="A143" s="13">
        <v>45852.458333333336</v>
      </c>
      <c r="B143" s="14">
        <v>-244.89</v>
      </c>
      <c r="C143" s="15">
        <v>-657.9</v>
      </c>
      <c r="D143" s="15">
        <v>-315.85000000000002</v>
      </c>
      <c r="E143" s="15">
        <v>718.44</v>
      </c>
      <c r="F143" s="15">
        <v>3370.09</v>
      </c>
      <c r="G143" s="15">
        <v>13.54</v>
      </c>
      <c r="H143" s="15">
        <v>0</v>
      </c>
      <c r="I143" s="15">
        <v>38.700000000000003</v>
      </c>
      <c r="J143" s="15">
        <v>0.02</v>
      </c>
      <c r="K143" s="15">
        <v>0</v>
      </c>
      <c r="L143" s="15">
        <v>892.28</v>
      </c>
      <c r="M143" s="15">
        <v>2987.13</v>
      </c>
      <c r="N143" s="15">
        <v>3352.07</v>
      </c>
      <c r="O143" s="15">
        <v>17.53</v>
      </c>
      <c r="P143" s="15">
        <v>60.85</v>
      </c>
      <c r="Q143" s="15">
        <v>180.02</v>
      </c>
      <c r="R143" s="15">
        <v>1525.04</v>
      </c>
      <c r="S143" s="15">
        <v>0.44</v>
      </c>
      <c r="T143" s="15">
        <v>0</v>
      </c>
      <c r="U143" s="15">
        <v>11.65</v>
      </c>
      <c r="V143" s="15">
        <v>302.77</v>
      </c>
      <c r="W143" s="16">
        <v>-9.5</v>
      </c>
      <c r="X143" s="19" t="str">
        <f>TEXT(Table4_1[[#This Row],[date]], "hh:mm")</f>
        <v>11:00</v>
      </c>
      <c r="Y143" s="25" t="str">
        <f t="shared" si="2"/>
        <v/>
      </c>
      <c r="Z143" s="22">
        <v>0</v>
      </c>
    </row>
    <row r="144" spans="1:26">
      <c r="A144" s="13">
        <v>45852.479166666664</v>
      </c>
      <c r="B144" s="14">
        <v>-458.77</v>
      </c>
      <c r="C144" s="15">
        <v>-657.57</v>
      </c>
      <c r="D144" s="15">
        <v>-389.6</v>
      </c>
      <c r="E144" s="15">
        <v>722.83</v>
      </c>
      <c r="F144" s="15">
        <v>3416</v>
      </c>
      <c r="G144" s="15">
        <v>13.34</v>
      </c>
      <c r="H144" s="15">
        <v>0</v>
      </c>
      <c r="I144" s="15">
        <v>38.369999999999997</v>
      </c>
      <c r="J144" s="15">
        <v>0.31</v>
      </c>
      <c r="K144" s="15">
        <v>0</v>
      </c>
      <c r="L144" s="15">
        <v>952.99</v>
      </c>
      <c r="M144" s="15">
        <v>2926.51</v>
      </c>
      <c r="N144" s="15">
        <v>3570.13</v>
      </c>
      <c r="O144" s="15">
        <v>17.86</v>
      </c>
      <c r="P144" s="15">
        <v>75.72</v>
      </c>
      <c r="Q144" s="15">
        <v>182.28</v>
      </c>
      <c r="R144" s="15">
        <v>1545.61</v>
      </c>
      <c r="S144" s="15">
        <v>0.44</v>
      </c>
      <c r="T144" s="15">
        <v>0</v>
      </c>
      <c r="U144" s="15">
        <v>11.55</v>
      </c>
      <c r="V144" s="15">
        <v>307.39</v>
      </c>
      <c r="W144" s="16">
        <v>22.93</v>
      </c>
      <c r="X144" s="19" t="str">
        <f>TEXT(Table4_1[[#This Row],[date]], "hh:mm")</f>
        <v>11:30</v>
      </c>
      <c r="Y144" s="25" t="str">
        <f t="shared" si="2"/>
        <v/>
      </c>
      <c r="Z144" s="22">
        <v>0</v>
      </c>
    </row>
    <row r="145" spans="1:26">
      <c r="A145" s="13">
        <v>45852.5</v>
      </c>
      <c r="B145" s="14">
        <v>-292.61</v>
      </c>
      <c r="C145" s="15">
        <v>-657.06</v>
      </c>
      <c r="D145" s="15">
        <v>-520.09</v>
      </c>
      <c r="E145" s="15">
        <v>644.71</v>
      </c>
      <c r="F145" s="15">
        <v>3325.91</v>
      </c>
      <c r="G145" s="15">
        <v>9.8000000000000007</v>
      </c>
      <c r="H145" s="15">
        <v>0</v>
      </c>
      <c r="I145" s="15">
        <v>38.18</v>
      </c>
      <c r="J145" s="15">
        <v>275.94</v>
      </c>
      <c r="K145" s="15">
        <v>0</v>
      </c>
      <c r="L145" s="15">
        <v>940.11</v>
      </c>
      <c r="M145" s="15">
        <v>2611.9499999999998</v>
      </c>
      <c r="N145" s="15">
        <v>3687.66</v>
      </c>
      <c r="O145" s="15">
        <v>18.03</v>
      </c>
      <c r="P145" s="15">
        <v>100.25</v>
      </c>
      <c r="Q145" s="15">
        <v>168.33</v>
      </c>
      <c r="R145" s="15">
        <v>1505.37</v>
      </c>
      <c r="S145" s="15">
        <v>0.39</v>
      </c>
      <c r="T145" s="15">
        <v>0</v>
      </c>
      <c r="U145" s="15">
        <v>11.49</v>
      </c>
      <c r="V145" s="15">
        <v>301.51</v>
      </c>
      <c r="W145" s="16">
        <v>-18</v>
      </c>
      <c r="X145" s="19" t="str">
        <f>TEXT(Table4_1[[#This Row],[date]], "hh:mm")</f>
        <v>12:00</v>
      </c>
      <c r="Y145" s="25" t="str">
        <f t="shared" si="2"/>
        <v/>
      </c>
      <c r="Z145" s="22">
        <v>0</v>
      </c>
    </row>
    <row r="146" spans="1:26">
      <c r="A146" s="13">
        <v>45852.520833333336</v>
      </c>
      <c r="B146" s="14">
        <v>-403.44</v>
      </c>
      <c r="C146" s="15">
        <v>-655.29999999999995</v>
      </c>
      <c r="D146" s="15">
        <v>-447.76</v>
      </c>
      <c r="E146" s="15">
        <v>764.03</v>
      </c>
      <c r="F146" s="15">
        <v>3347.89</v>
      </c>
      <c r="G146" s="15">
        <v>7.17</v>
      </c>
      <c r="H146" s="15">
        <v>0</v>
      </c>
      <c r="I146" s="15">
        <v>37.9</v>
      </c>
      <c r="J146" s="15">
        <v>47.4</v>
      </c>
      <c r="K146" s="15">
        <v>0</v>
      </c>
      <c r="L146" s="15">
        <v>1044</v>
      </c>
      <c r="M146" s="15">
        <v>2359.9499999999998</v>
      </c>
      <c r="N146" s="15">
        <v>3701.36</v>
      </c>
      <c r="O146" s="15">
        <v>18.55</v>
      </c>
      <c r="P146" s="15">
        <v>90.97</v>
      </c>
      <c r="Q146" s="15">
        <v>204.01</v>
      </c>
      <c r="R146" s="15">
        <v>1515.19</v>
      </c>
      <c r="S146" s="15">
        <v>0.35</v>
      </c>
      <c r="T146" s="15">
        <v>0</v>
      </c>
      <c r="U146" s="15">
        <v>11.41</v>
      </c>
      <c r="V146" s="15">
        <v>311.52</v>
      </c>
      <c r="W146" s="16">
        <v>-19.690000000000001</v>
      </c>
      <c r="X146" s="19" t="str">
        <f>TEXT(Table4_1[[#This Row],[date]], "hh:mm")</f>
        <v>12:30</v>
      </c>
      <c r="Y146" s="25" t="str">
        <f t="shared" si="2"/>
        <v/>
      </c>
      <c r="Z146" s="22">
        <v>0</v>
      </c>
    </row>
    <row r="147" spans="1:26">
      <c r="A147" s="13">
        <v>45852.541666666664</v>
      </c>
      <c r="B147" s="14">
        <v>-473.85</v>
      </c>
      <c r="C147" s="15">
        <v>-654.79999999999995</v>
      </c>
      <c r="D147" s="15">
        <v>-440.61</v>
      </c>
      <c r="E147" s="15">
        <v>757.75</v>
      </c>
      <c r="F147" s="15">
        <v>3353.05</v>
      </c>
      <c r="G147" s="15">
        <v>6.59</v>
      </c>
      <c r="H147" s="15">
        <v>0</v>
      </c>
      <c r="I147" s="15">
        <v>37.869999999999997</v>
      </c>
      <c r="J147" s="15">
        <v>1.51</v>
      </c>
      <c r="K147" s="15">
        <v>0</v>
      </c>
      <c r="L147" s="15">
        <v>1128.8499999999999</v>
      </c>
      <c r="M147" s="15">
        <v>2382.64</v>
      </c>
      <c r="N147" s="15">
        <v>3594.25</v>
      </c>
      <c r="O147" s="15">
        <v>19.079999999999998</v>
      </c>
      <c r="P147" s="15">
        <v>88.9</v>
      </c>
      <c r="Q147" s="15">
        <v>204.82</v>
      </c>
      <c r="R147" s="15">
        <v>1517.51</v>
      </c>
      <c r="S147" s="15">
        <v>0.34</v>
      </c>
      <c r="T147" s="15">
        <v>0</v>
      </c>
      <c r="U147" s="15">
        <v>11.4</v>
      </c>
      <c r="V147" s="15">
        <v>315.52999999999997</v>
      </c>
      <c r="W147" s="16">
        <v>-14.01</v>
      </c>
      <c r="X147" s="19" t="str">
        <f>TEXT(Table4_1[[#This Row],[date]], "hh:mm")</f>
        <v>13:00</v>
      </c>
      <c r="Y147" s="25" t="str">
        <f t="shared" si="2"/>
        <v/>
      </c>
      <c r="Z147" s="22">
        <v>0</v>
      </c>
    </row>
    <row r="148" spans="1:26">
      <c r="A148" s="13">
        <v>45852.5625</v>
      </c>
      <c r="B148" s="14">
        <v>-248.12</v>
      </c>
      <c r="C148" s="15">
        <v>-655.72</v>
      </c>
      <c r="D148" s="15">
        <v>-470.68</v>
      </c>
      <c r="E148" s="15">
        <v>747.46</v>
      </c>
      <c r="F148" s="15">
        <v>3321.31</v>
      </c>
      <c r="G148" s="15">
        <v>6.74</v>
      </c>
      <c r="H148" s="15">
        <v>0</v>
      </c>
      <c r="I148" s="15">
        <v>37.799999999999997</v>
      </c>
      <c r="J148" s="15">
        <v>0.09</v>
      </c>
      <c r="K148" s="15">
        <v>0</v>
      </c>
      <c r="L148" s="15">
        <v>1011.38</v>
      </c>
      <c r="M148" s="15">
        <v>2442.44</v>
      </c>
      <c r="N148" s="15">
        <v>3387.69</v>
      </c>
      <c r="O148" s="15">
        <v>18.989999999999998</v>
      </c>
      <c r="P148" s="15">
        <v>95.3</v>
      </c>
      <c r="Q148" s="15">
        <v>197.07</v>
      </c>
      <c r="R148" s="15">
        <v>1503.36</v>
      </c>
      <c r="S148" s="15">
        <v>0.34</v>
      </c>
      <c r="T148" s="15">
        <v>0</v>
      </c>
      <c r="U148" s="15">
        <v>11.38</v>
      </c>
      <c r="V148" s="15">
        <v>316.29000000000002</v>
      </c>
      <c r="W148" s="16">
        <v>-14.01</v>
      </c>
      <c r="X148" s="19" t="str">
        <f>TEXT(Table4_1[[#This Row],[date]], "hh:mm")</f>
        <v>13:30</v>
      </c>
      <c r="Y148" s="25" t="str">
        <f t="shared" si="2"/>
        <v/>
      </c>
      <c r="Z148" s="22">
        <v>0</v>
      </c>
    </row>
    <row r="149" spans="1:26">
      <c r="A149" s="13">
        <v>45852.583333333336</v>
      </c>
      <c r="B149" s="14">
        <v>-35.68</v>
      </c>
      <c r="C149" s="15">
        <v>-653.5</v>
      </c>
      <c r="D149" s="15">
        <v>-477.19</v>
      </c>
      <c r="E149" s="15">
        <v>785.57</v>
      </c>
      <c r="F149" s="15">
        <v>3353.2</v>
      </c>
      <c r="G149" s="15">
        <v>6.09</v>
      </c>
      <c r="H149" s="15">
        <v>1.33</v>
      </c>
      <c r="I149" s="15">
        <v>37.9</v>
      </c>
      <c r="J149" s="15">
        <v>0.33</v>
      </c>
      <c r="K149" s="15">
        <v>0</v>
      </c>
      <c r="L149" s="15">
        <v>910.82</v>
      </c>
      <c r="M149" s="15">
        <v>2422.38</v>
      </c>
      <c r="N149" s="15">
        <v>3085.14</v>
      </c>
      <c r="O149" s="15">
        <v>19.32</v>
      </c>
      <c r="P149" s="15">
        <v>98.6</v>
      </c>
      <c r="Q149" s="15">
        <v>206.98</v>
      </c>
      <c r="R149" s="15">
        <v>1517.61</v>
      </c>
      <c r="S149" s="15">
        <v>0.33</v>
      </c>
      <c r="T149" s="15">
        <v>0.25</v>
      </c>
      <c r="U149" s="15">
        <v>11.41</v>
      </c>
      <c r="V149" s="15">
        <v>324.19</v>
      </c>
      <c r="W149" s="16">
        <v>-18</v>
      </c>
      <c r="X149" s="19" t="str">
        <f>TEXT(Table4_1[[#This Row],[date]], "hh:mm")</f>
        <v>14:00</v>
      </c>
      <c r="Y149" s="25" t="str">
        <f t="shared" si="2"/>
        <v/>
      </c>
      <c r="Z149" s="22">
        <v>0</v>
      </c>
    </row>
    <row r="150" spans="1:26">
      <c r="A150" s="13">
        <v>45852.604166666664</v>
      </c>
      <c r="B150" s="14">
        <v>-3.48</v>
      </c>
      <c r="C150" s="15">
        <v>-653.39</v>
      </c>
      <c r="D150" s="15">
        <v>-450.68</v>
      </c>
      <c r="E150" s="15">
        <v>758.32</v>
      </c>
      <c r="F150" s="15">
        <v>3396.13</v>
      </c>
      <c r="G150" s="15">
        <v>6.7</v>
      </c>
      <c r="H150" s="15">
        <v>14.5</v>
      </c>
      <c r="I150" s="15">
        <v>37.86</v>
      </c>
      <c r="J150" s="15">
        <v>143.33000000000001</v>
      </c>
      <c r="K150" s="15">
        <v>0</v>
      </c>
      <c r="L150" s="15">
        <v>911.78</v>
      </c>
      <c r="M150" s="15">
        <v>2449.9299999999998</v>
      </c>
      <c r="N150" s="15">
        <v>2714.41</v>
      </c>
      <c r="O150" s="15">
        <v>19.489999999999998</v>
      </c>
      <c r="P150" s="15">
        <v>91.73</v>
      </c>
      <c r="Q150" s="15">
        <v>196.22</v>
      </c>
      <c r="R150" s="15">
        <v>1536.68</v>
      </c>
      <c r="S150" s="15">
        <v>0.34</v>
      </c>
      <c r="T150" s="15">
        <v>2.7</v>
      </c>
      <c r="U150" s="15">
        <v>11.4</v>
      </c>
      <c r="V150" s="15">
        <v>332.66</v>
      </c>
      <c r="W150" s="16">
        <v>-17.5</v>
      </c>
      <c r="X150" s="19" t="str">
        <f>TEXT(Table4_1[[#This Row],[date]], "hh:mm")</f>
        <v>14:30</v>
      </c>
      <c r="Y150" s="25" t="str">
        <f t="shared" si="2"/>
        <v/>
      </c>
      <c r="Z150" s="22">
        <v>0</v>
      </c>
    </row>
    <row r="151" spans="1:26">
      <c r="A151" s="13">
        <v>45852.625</v>
      </c>
      <c r="B151" s="14">
        <v>-53.08</v>
      </c>
      <c r="C151" s="15">
        <v>-639.83000000000004</v>
      </c>
      <c r="D151" s="15">
        <v>-394</v>
      </c>
      <c r="E151" s="15">
        <v>894.25</v>
      </c>
      <c r="F151" s="15">
        <v>3611.65</v>
      </c>
      <c r="G151" s="15">
        <v>6.89</v>
      </c>
      <c r="H151" s="15">
        <v>17.329999999999998</v>
      </c>
      <c r="I151" s="15">
        <v>37.880000000000003</v>
      </c>
      <c r="J151" s="15">
        <v>281.5</v>
      </c>
      <c r="K151" s="15">
        <v>0</v>
      </c>
      <c r="L151" s="15">
        <v>948.64</v>
      </c>
      <c r="M151" s="15">
        <v>2426.56</v>
      </c>
      <c r="N151" s="15">
        <v>2221.29</v>
      </c>
      <c r="O151" s="15">
        <v>19.46</v>
      </c>
      <c r="P151" s="15">
        <v>81.3</v>
      </c>
      <c r="Q151" s="15">
        <v>223.55</v>
      </c>
      <c r="R151" s="15">
        <v>1632.81</v>
      </c>
      <c r="S151" s="15">
        <v>0.35</v>
      </c>
      <c r="T151" s="15">
        <v>3.22</v>
      </c>
      <c r="U151" s="15">
        <v>11.41</v>
      </c>
      <c r="V151" s="15">
        <v>352.13</v>
      </c>
      <c r="W151" s="16">
        <v>-14.99</v>
      </c>
      <c r="X151" s="19" t="str">
        <f>TEXT(Table4_1[[#This Row],[date]], "hh:mm")</f>
        <v>15:00</v>
      </c>
      <c r="Y151" s="25" t="str">
        <f t="shared" si="2"/>
        <v/>
      </c>
      <c r="Z151" s="22">
        <v>0</v>
      </c>
    </row>
    <row r="152" spans="1:26">
      <c r="A152" s="13">
        <v>45852.645833333336</v>
      </c>
      <c r="B152" s="14">
        <v>-118.18</v>
      </c>
      <c r="C152" s="15">
        <v>-572.38</v>
      </c>
      <c r="D152" s="15">
        <v>-300.33</v>
      </c>
      <c r="E152" s="15">
        <v>743.74</v>
      </c>
      <c r="F152" s="15">
        <v>4298.8100000000004</v>
      </c>
      <c r="G152" s="15">
        <v>8.69</v>
      </c>
      <c r="H152" s="15">
        <v>37</v>
      </c>
      <c r="I152" s="15">
        <v>37.799999999999997</v>
      </c>
      <c r="J152" s="15">
        <v>245.71</v>
      </c>
      <c r="K152" s="15">
        <v>0</v>
      </c>
      <c r="L152" s="15">
        <v>981.61</v>
      </c>
      <c r="M152" s="15">
        <v>2378.91</v>
      </c>
      <c r="N152" s="15">
        <v>1656.36</v>
      </c>
      <c r="O152" s="15">
        <v>18.18</v>
      </c>
      <c r="P152" s="15">
        <v>68.11</v>
      </c>
      <c r="Q152" s="15">
        <v>183.84</v>
      </c>
      <c r="R152" s="15">
        <v>1938.09</v>
      </c>
      <c r="S152" s="15">
        <v>0.4</v>
      </c>
      <c r="T152" s="15">
        <v>6.88</v>
      </c>
      <c r="U152" s="15">
        <v>11.38</v>
      </c>
      <c r="V152" s="15">
        <v>416.43</v>
      </c>
      <c r="W152" s="16">
        <v>-14.05</v>
      </c>
      <c r="X152" s="19" t="str">
        <f>TEXT(Table4_1[[#This Row],[date]], "hh:mm")</f>
        <v>15:30</v>
      </c>
      <c r="Y152" s="25" t="str">
        <f t="shared" si="2"/>
        <v/>
      </c>
      <c r="Z152" s="22">
        <v>0</v>
      </c>
    </row>
    <row r="153" spans="1:26">
      <c r="A153" s="13">
        <v>45852.666666666664</v>
      </c>
      <c r="B153" s="14">
        <v>-371.88</v>
      </c>
      <c r="C153" s="15">
        <v>-254.63</v>
      </c>
      <c r="D153" s="15">
        <v>-314.72000000000003</v>
      </c>
      <c r="E153" s="15">
        <v>828.73</v>
      </c>
      <c r="F153" s="15">
        <v>5171.8599999999997</v>
      </c>
      <c r="G153" s="15">
        <v>0.46</v>
      </c>
      <c r="H153" s="15">
        <v>181.67</v>
      </c>
      <c r="I153" s="15">
        <v>39.65</v>
      </c>
      <c r="J153" s="15">
        <v>15.72</v>
      </c>
      <c r="K153" s="15">
        <v>0</v>
      </c>
      <c r="L153" s="15">
        <v>954.63</v>
      </c>
      <c r="M153" s="15">
        <v>2025.63</v>
      </c>
      <c r="N153" s="15">
        <v>1067.83</v>
      </c>
      <c r="O153" s="15">
        <v>16.37</v>
      </c>
      <c r="P153" s="15">
        <v>86.44</v>
      </c>
      <c r="Q153" s="15">
        <v>217.63</v>
      </c>
      <c r="R153" s="15">
        <v>2330.5700000000002</v>
      </c>
      <c r="S153" s="15">
        <v>0.43</v>
      </c>
      <c r="T153" s="15">
        <v>33.770000000000003</v>
      </c>
      <c r="U153" s="15">
        <v>11.94</v>
      </c>
      <c r="V153" s="15">
        <v>508.66</v>
      </c>
      <c r="W153" s="16">
        <v>38.6</v>
      </c>
      <c r="X153" s="19" t="str">
        <f>TEXT(Table4_1[[#This Row],[date]], "hh:mm")</f>
        <v>16:00</v>
      </c>
      <c r="Y153" s="25" t="str">
        <f t="shared" si="2"/>
        <v/>
      </c>
      <c r="Z153" s="22">
        <v>0</v>
      </c>
    </row>
    <row r="154" spans="1:26">
      <c r="A154" s="13">
        <v>45852.6875</v>
      </c>
      <c r="B154" s="14">
        <v>-303.89999999999998</v>
      </c>
      <c r="C154" s="15">
        <v>0</v>
      </c>
      <c r="D154" s="15">
        <v>-198.04</v>
      </c>
      <c r="E154" s="15">
        <v>890.41</v>
      </c>
      <c r="F154" s="15">
        <v>6325.23</v>
      </c>
      <c r="G154" s="15">
        <v>-1.73</v>
      </c>
      <c r="H154" s="15">
        <v>199.5</v>
      </c>
      <c r="I154" s="15">
        <v>47.35</v>
      </c>
      <c r="J154" s="15">
        <v>8.73</v>
      </c>
      <c r="K154" s="15">
        <v>0</v>
      </c>
      <c r="L154" s="15">
        <v>873.6</v>
      </c>
      <c r="M154" s="15">
        <v>1067.3399999999999</v>
      </c>
      <c r="N154" s="15">
        <v>535.07000000000005</v>
      </c>
      <c r="O154" s="15">
        <v>15.4</v>
      </c>
      <c r="P154" s="15">
        <v>65.62</v>
      </c>
      <c r="Q154" s="15">
        <v>273.24</v>
      </c>
      <c r="R154" s="15">
        <v>2854.43</v>
      </c>
      <c r="S154" s="15">
        <v>0.44</v>
      </c>
      <c r="T154" s="15">
        <v>37.090000000000003</v>
      </c>
      <c r="U154" s="15">
        <v>14.51</v>
      </c>
      <c r="V154" s="15">
        <v>615.54999999999995</v>
      </c>
      <c r="W154" s="16">
        <v>61.64</v>
      </c>
      <c r="X154" s="19" t="str">
        <f>TEXT(Table4_1[[#This Row],[date]], "hh:mm")</f>
        <v>16:30</v>
      </c>
      <c r="Y154" s="25" t="str">
        <f t="shared" si="2"/>
        <v/>
      </c>
      <c r="Z154" s="22">
        <v>0</v>
      </c>
    </row>
    <row r="155" spans="1:26">
      <c r="A155" s="13">
        <v>45852.708333333336</v>
      </c>
      <c r="B155" s="14">
        <v>-53.59</v>
      </c>
      <c r="C155" s="15">
        <v>0</v>
      </c>
      <c r="D155" s="15">
        <v>-265.77999999999997</v>
      </c>
      <c r="E155" s="15">
        <v>742.64</v>
      </c>
      <c r="F155" s="15">
        <v>7169.81</v>
      </c>
      <c r="G155" s="15">
        <v>-1.71</v>
      </c>
      <c r="H155" s="15">
        <v>400</v>
      </c>
      <c r="I155" s="15">
        <v>475.02</v>
      </c>
      <c r="J155" s="15">
        <v>19.29</v>
      </c>
      <c r="K155" s="15">
        <v>340.54</v>
      </c>
      <c r="L155" s="15">
        <v>806.58</v>
      </c>
      <c r="M155" s="15">
        <v>212.16</v>
      </c>
      <c r="N155" s="15">
        <v>156.63</v>
      </c>
      <c r="O155" s="15">
        <v>14.94</v>
      </c>
      <c r="P155" s="15">
        <v>97.66</v>
      </c>
      <c r="Q155" s="15">
        <v>249.93</v>
      </c>
      <c r="R155" s="15">
        <v>3240.67</v>
      </c>
      <c r="S155" s="15">
        <v>0.44</v>
      </c>
      <c r="T155" s="15">
        <v>74.36</v>
      </c>
      <c r="U155" s="15">
        <v>154.25</v>
      </c>
      <c r="V155" s="15">
        <v>693.83</v>
      </c>
      <c r="W155" s="16">
        <v>174.6</v>
      </c>
      <c r="X155" s="19" t="str">
        <f>TEXT(Table4_1[[#This Row],[date]], "hh:mm")</f>
        <v>17:00</v>
      </c>
      <c r="Y155" s="25" t="str">
        <f t="shared" si="2"/>
        <v/>
      </c>
      <c r="Z155" s="22">
        <v>0</v>
      </c>
    </row>
    <row r="156" spans="1:26">
      <c r="A156" s="13">
        <v>45852.729166666664</v>
      </c>
      <c r="B156" s="14">
        <v>-8.41</v>
      </c>
      <c r="C156" s="15">
        <v>0</v>
      </c>
      <c r="D156" s="15">
        <v>-239.5</v>
      </c>
      <c r="E156" s="15">
        <v>743.34</v>
      </c>
      <c r="F156" s="15">
        <v>7371.24</v>
      </c>
      <c r="G156" s="15">
        <v>-1.51</v>
      </c>
      <c r="H156" s="15">
        <v>443.83</v>
      </c>
      <c r="I156" s="15">
        <v>980.74</v>
      </c>
      <c r="J156" s="15">
        <v>80.709999999999994</v>
      </c>
      <c r="K156" s="15">
        <v>532.32000000000005</v>
      </c>
      <c r="L156" s="15">
        <v>735.13</v>
      </c>
      <c r="M156" s="15">
        <v>5.21</v>
      </c>
      <c r="N156" s="15">
        <v>18.329999999999998</v>
      </c>
      <c r="O156" s="15">
        <v>14.64</v>
      </c>
      <c r="P156" s="15">
        <v>87.87</v>
      </c>
      <c r="Q156" s="15">
        <v>258.17</v>
      </c>
      <c r="R156" s="15">
        <v>3336.18</v>
      </c>
      <c r="S156" s="15">
        <v>0.44</v>
      </c>
      <c r="T156" s="15">
        <v>82.51</v>
      </c>
      <c r="U156" s="15">
        <v>312.17</v>
      </c>
      <c r="V156" s="15">
        <v>699.96</v>
      </c>
      <c r="W156" s="16">
        <v>173.02</v>
      </c>
      <c r="X156" s="19" t="str">
        <f>TEXT(Table4_1[[#This Row],[date]], "hh:mm")</f>
        <v>17:30</v>
      </c>
      <c r="Y156" s="25" t="str">
        <f t="shared" si="2"/>
        <v/>
      </c>
      <c r="Z156" s="22">
        <v>0</v>
      </c>
    </row>
    <row r="157" spans="1:26">
      <c r="A157" s="13">
        <v>45852.75</v>
      </c>
      <c r="B157" s="14">
        <v>-10.9</v>
      </c>
      <c r="C157" s="15">
        <v>0</v>
      </c>
      <c r="D157" s="15">
        <v>-19.45</v>
      </c>
      <c r="E157" s="15">
        <v>888.89</v>
      </c>
      <c r="F157" s="15">
        <v>7437.64</v>
      </c>
      <c r="G157" s="15">
        <v>-1.55</v>
      </c>
      <c r="H157" s="15">
        <v>442.83</v>
      </c>
      <c r="I157" s="15">
        <v>1022.08</v>
      </c>
      <c r="J157" s="15">
        <v>147.34</v>
      </c>
      <c r="K157" s="15">
        <v>581.86</v>
      </c>
      <c r="L157" s="15">
        <v>698.01</v>
      </c>
      <c r="M157" s="15">
        <v>0.04</v>
      </c>
      <c r="N157" s="15">
        <v>0.27</v>
      </c>
      <c r="O157" s="15">
        <v>14.46</v>
      </c>
      <c r="P157" s="15">
        <v>7.19</v>
      </c>
      <c r="Q157" s="15">
        <v>312.63</v>
      </c>
      <c r="R157" s="15">
        <v>3368.71</v>
      </c>
      <c r="S157" s="15">
        <v>0.44</v>
      </c>
      <c r="T157" s="15">
        <v>82.32</v>
      </c>
      <c r="U157" s="15">
        <v>323.49</v>
      </c>
      <c r="V157" s="15">
        <v>674.88</v>
      </c>
      <c r="W157" s="16">
        <v>210.1</v>
      </c>
      <c r="X157" s="19" t="str">
        <f>TEXT(Table4_1[[#This Row],[date]], "hh:mm")</f>
        <v>18:00</v>
      </c>
      <c r="Y157" s="25" t="str">
        <f t="shared" si="2"/>
        <v/>
      </c>
      <c r="Z157" s="22">
        <v>0</v>
      </c>
    </row>
    <row r="158" spans="1:26">
      <c r="A158" s="13">
        <v>45852.770833333336</v>
      </c>
      <c r="B158" s="14">
        <v>-5.97</v>
      </c>
      <c r="C158" s="15">
        <v>0</v>
      </c>
      <c r="D158" s="15">
        <v>0</v>
      </c>
      <c r="E158" s="15">
        <v>901.02</v>
      </c>
      <c r="F158" s="15">
        <v>7437.2</v>
      </c>
      <c r="G158" s="15">
        <v>-1.6</v>
      </c>
      <c r="H158" s="15">
        <v>441.83</v>
      </c>
      <c r="I158" s="15">
        <v>1039.98</v>
      </c>
      <c r="J158" s="15">
        <v>232.35</v>
      </c>
      <c r="K158" s="15">
        <v>607.35</v>
      </c>
      <c r="L158" s="15">
        <v>757.01</v>
      </c>
      <c r="M158" s="15">
        <v>0.04</v>
      </c>
      <c r="N158" s="15">
        <v>0</v>
      </c>
      <c r="O158" s="15">
        <v>13.88</v>
      </c>
      <c r="P158" s="15">
        <v>0</v>
      </c>
      <c r="Q158" s="15">
        <v>319.14</v>
      </c>
      <c r="R158" s="15">
        <v>3368.29</v>
      </c>
      <c r="S158" s="15">
        <v>0.44</v>
      </c>
      <c r="T158" s="15">
        <v>82.14</v>
      </c>
      <c r="U158" s="15">
        <v>328.52</v>
      </c>
      <c r="V158" s="15">
        <v>662.51</v>
      </c>
      <c r="W158" s="16">
        <v>226.15</v>
      </c>
      <c r="X158" s="19" t="str">
        <f>TEXT(Table4_1[[#This Row],[date]], "hh:mm")</f>
        <v>18:30</v>
      </c>
      <c r="Y158" s="25" t="str">
        <f t="shared" si="2"/>
        <v/>
      </c>
      <c r="Z158" s="22">
        <v>0</v>
      </c>
    </row>
    <row r="159" spans="1:26">
      <c r="A159" s="13">
        <v>45852.791666666664</v>
      </c>
      <c r="B159" s="14">
        <v>-7.68</v>
      </c>
      <c r="C159" s="15">
        <v>0</v>
      </c>
      <c r="D159" s="15">
        <v>0</v>
      </c>
      <c r="E159" s="15">
        <v>852.39</v>
      </c>
      <c r="F159" s="15">
        <v>7414.18</v>
      </c>
      <c r="G159" s="15">
        <v>-1.92</v>
      </c>
      <c r="H159" s="15">
        <v>442.33</v>
      </c>
      <c r="I159" s="15">
        <v>1035.82</v>
      </c>
      <c r="J159" s="15">
        <v>158.43</v>
      </c>
      <c r="K159" s="15">
        <v>606.84</v>
      </c>
      <c r="L159" s="15">
        <v>899.33</v>
      </c>
      <c r="M159" s="15">
        <v>0.04</v>
      </c>
      <c r="N159" s="15">
        <v>0</v>
      </c>
      <c r="O159" s="15">
        <v>13.34</v>
      </c>
      <c r="P159" s="15">
        <v>0</v>
      </c>
      <c r="Q159" s="15">
        <v>299.93</v>
      </c>
      <c r="R159" s="15">
        <v>3357.26</v>
      </c>
      <c r="S159" s="15">
        <v>0.44</v>
      </c>
      <c r="T159" s="15">
        <v>82.23</v>
      </c>
      <c r="U159" s="15">
        <v>327.08999999999997</v>
      </c>
      <c r="V159" s="15">
        <v>660.89</v>
      </c>
      <c r="W159" s="16">
        <v>155.22999999999999</v>
      </c>
      <c r="X159" s="19" t="str">
        <f>TEXT(Table4_1[[#This Row],[date]], "hh:mm")</f>
        <v>19:00</v>
      </c>
      <c r="Y159" s="25" t="str">
        <f t="shared" si="2"/>
        <v/>
      </c>
      <c r="Z159" s="22">
        <v>0</v>
      </c>
    </row>
    <row r="160" spans="1:26">
      <c r="A160" s="13">
        <v>45852.8125</v>
      </c>
      <c r="B160" s="14">
        <v>-5.16</v>
      </c>
      <c r="C160" s="15">
        <v>0</v>
      </c>
      <c r="D160" s="15">
        <v>0</v>
      </c>
      <c r="E160" s="15">
        <v>767.93</v>
      </c>
      <c r="F160" s="15">
        <v>7423.35</v>
      </c>
      <c r="G160" s="15">
        <v>-1.74</v>
      </c>
      <c r="H160" s="15">
        <v>443.83</v>
      </c>
      <c r="I160" s="15">
        <v>1023.49</v>
      </c>
      <c r="J160" s="15">
        <v>98.18</v>
      </c>
      <c r="K160" s="15">
        <v>607.63</v>
      </c>
      <c r="L160" s="15">
        <v>982.25</v>
      </c>
      <c r="M160" s="15">
        <v>0.04</v>
      </c>
      <c r="N160" s="15">
        <v>0</v>
      </c>
      <c r="O160" s="15">
        <v>12.79</v>
      </c>
      <c r="P160" s="15">
        <v>0</v>
      </c>
      <c r="Q160" s="15">
        <v>274.37</v>
      </c>
      <c r="R160" s="15">
        <v>3361.38</v>
      </c>
      <c r="S160" s="15">
        <v>0.45</v>
      </c>
      <c r="T160" s="15">
        <v>82.51</v>
      </c>
      <c r="U160" s="15">
        <v>323.79000000000002</v>
      </c>
      <c r="V160" s="15">
        <v>664.58</v>
      </c>
      <c r="W160" s="16">
        <v>153.5</v>
      </c>
      <c r="X160" s="19" t="str">
        <f>TEXT(Table4_1[[#This Row],[date]], "hh:mm")</f>
        <v>19:30</v>
      </c>
      <c r="Y160" s="25" t="str">
        <f t="shared" si="2"/>
        <v/>
      </c>
      <c r="Z160" s="22">
        <v>0</v>
      </c>
    </row>
    <row r="161" spans="1:26">
      <c r="A161" s="13">
        <v>45852.833333333336</v>
      </c>
      <c r="B161" s="14">
        <v>-6.88</v>
      </c>
      <c r="C161" s="15">
        <v>0</v>
      </c>
      <c r="D161" s="15">
        <v>0</v>
      </c>
      <c r="E161" s="15">
        <v>830.23</v>
      </c>
      <c r="F161" s="15">
        <v>7430.95</v>
      </c>
      <c r="G161" s="15">
        <v>-2.23</v>
      </c>
      <c r="H161" s="15">
        <v>451.17</v>
      </c>
      <c r="I161" s="15">
        <v>963.58</v>
      </c>
      <c r="J161" s="15">
        <v>17.59</v>
      </c>
      <c r="K161" s="15">
        <v>566.23</v>
      </c>
      <c r="L161" s="15">
        <v>906.66</v>
      </c>
      <c r="M161" s="15">
        <v>0.04</v>
      </c>
      <c r="N161" s="15">
        <v>0</v>
      </c>
      <c r="O161" s="15">
        <v>11.83</v>
      </c>
      <c r="P161" s="15">
        <v>0</v>
      </c>
      <c r="Q161" s="15">
        <v>296.45</v>
      </c>
      <c r="R161" s="15">
        <v>3365.1</v>
      </c>
      <c r="S161" s="15">
        <v>0.44</v>
      </c>
      <c r="T161" s="15">
        <v>83.87</v>
      </c>
      <c r="U161" s="15">
        <v>306.77999999999997</v>
      </c>
      <c r="V161" s="15">
        <v>673.31</v>
      </c>
      <c r="W161" s="16">
        <v>150.07</v>
      </c>
      <c r="X161" s="19" t="str">
        <f>TEXT(Table4_1[[#This Row],[date]], "hh:mm")</f>
        <v>20:00</v>
      </c>
      <c r="Y161" s="25" t="str">
        <f t="shared" si="2"/>
        <v/>
      </c>
      <c r="Z161" s="22">
        <v>0</v>
      </c>
    </row>
    <row r="162" spans="1:26">
      <c r="A162" s="13">
        <v>45852.854166666664</v>
      </c>
      <c r="B162" s="14">
        <v>-4.63</v>
      </c>
      <c r="C162" s="15">
        <v>0</v>
      </c>
      <c r="D162" s="15">
        <v>0</v>
      </c>
      <c r="E162" s="15">
        <v>889.51</v>
      </c>
      <c r="F162" s="15">
        <v>7436</v>
      </c>
      <c r="G162" s="15">
        <v>-0.23</v>
      </c>
      <c r="H162" s="15">
        <v>451.83</v>
      </c>
      <c r="I162" s="15">
        <v>822.62</v>
      </c>
      <c r="J162" s="15">
        <v>2</v>
      </c>
      <c r="K162" s="15">
        <v>360.47</v>
      </c>
      <c r="L162" s="15">
        <v>958.46</v>
      </c>
      <c r="M162" s="15">
        <v>0.04</v>
      </c>
      <c r="N162" s="15">
        <v>0</v>
      </c>
      <c r="O162" s="15">
        <v>11.15</v>
      </c>
      <c r="P162" s="15">
        <v>0</v>
      </c>
      <c r="Q162" s="15">
        <v>317.33</v>
      </c>
      <c r="R162" s="15">
        <v>3367.85</v>
      </c>
      <c r="S162" s="15">
        <v>0.44</v>
      </c>
      <c r="T162" s="15">
        <v>84</v>
      </c>
      <c r="U162" s="15">
        <v>267.27</v>
      </c>
      <c r="V162" s="15">
        <v>681.48</v>
      </c>
      <c r="W162" s="16">
        <v>140.38</v>
      </c>
      <c r="X162" s="19" t="str">
        <f>TEXT(Table4_1[[#This Row],[date]], "hh:mm")</f>
        <v>20:30</v>
      </c>
      <c r="Y162" s="25" t="str">
        <f t="shared" si="2"/>
        <v/>
      </c>
      <c r="Z162" s="22">
        <v>0</v>
      </c>
    </row>
    <row r="163" spans="1:26">
      <c r="A163" s="13">
        <v>45852.875</v>
      </c>
      <c r="B163" s="14">
        <v>-6.52</v>
      </c>
      <c r="C163" s="15">
        <v>0</v>
      </c>
      <c r="D163" s="15">
        <v>0</v>
      </c>
      <c r="E163" s="15">
        <v>852.13</v>
      </c>
      <c r="F163" s="15">
        <v>7435.9</v>
      </c>
      <c r="G163" s="15">
        <v>-0.18</v>
      </c>
      <c r="H163" s="15">
        <v>451.83</v>
      </c>
      <c r="I163" s="15">
        <v>641.17999999999995</v>
      </c>
      <c r="J163" s="15">
        <v>2.0699999999999998</v>
      </c>
      <c r="K163" s="15">
        <v>385.38</v>
      </c>
      <c r="L163" s="15">
        <v>938.8</v>
      </c>
      <c r="M163" s="15">
        <v>0.04</v>
      </c>
      <c r="N163" s="15">
        <v>0</v>
      </c>
      <c r="O163" s="15">
        <v>10.58</v>
      </c>
      <c r="P163" s="15">
        <v>0</v>
      </c>
      <c r="Q163" s="15">
        <v>305.82</v>
      </c>
      <c r="R163" s="15">
        <v>3367.96</v>
      </c>
      <c r="S163" s="15">
        <v>0.44</v>
      </c>
      <c r="T163" s="15">
        <v>84</v>
      </c>
      <c r="U163" s="15">
        <v>216.1</v>
      </c>
      <c r="V163" s="15">
        <v>685.66</v>
      </c>
      <c r="W163" s="16">
        <v>150.07</v>
      </c>
      <c r="X163" s="19" t="str">
        <f>TEXT(Table4_1[[#This Row],[date]], "hh:mm")</f>
        <v>21:00</v>
      </c>
      <c r="Y163" s="25" t="str">
        <f t="shared" si="2"/>
        <v/>
      </c>
      <c r="Z163" s="22">
        <v>0</v>
      </c>
    </row>
    <row r="164" spans="1:26">
      <c r="A164" s="13">
        <v>45852.895833333336</v>
      </c>
      <c r="B164" s="14">
        <v>-9.9499999999999993</v>
      </c>
      <c r="C164" s="15">
        <v>0</v>
      </c>
      <c r="D164" s="15">
        <v>0</v>
      </c>
      <c r="E164" s="15">
        <v>733.74</v>
      </c>
      <c r="F164" s="15">
        <v>7432.86</v>
      </c>
      <c r="G164" s="15">
        <v>-0.37</v>
      </c>
      <c r="H164" s="15">
        <v>448.17</v>
      </c>
      <c r="I164" s="15">
        <v>359.13</v>
      </c>
      <c r="J164" s="15">
        <v>0.06</v>
      </c>
      <c r="K164" s="15">
        <v>505.2</v>
      </c>
      <c r="L164" s="15">
        <v>1015.38</v>
      </c>
      <c r="M164" s="15">
        <v>0.04</v>
      </c>
      <c r="N164" s="15">
        <v>0</v>
      </c>
      <c r="O164" s="15">
        <v>10.34</v>
      </c>
      <c r="P164" s="15">
        <v>0</v>
      </c>
      <c r="Q164" s="15">
        <v>271.13</v>
      </c>
      <c r="R164" s="15">
        <v>3366.3</v>
      </c>
      <c r="S164" s="15">
        <v>0.44</v>
      </c>
      <c r="T164" s="15">
        <v>83.31</v>
      </c>
      <c r="U164" s="15">
        <v>136.63</v>
      </c>
      <c r="V164" s="15">
        <v>684.2</v>
      </c>
      <c r="W164" s="16">
        <v>124.24</v>
      </c>
      <c r="X164" s="19" t="str">
        <f>TEXT(Table4_1[[#This Row],[date]], "hh:mm")</f>
        <v>21:30</v>
      </c>
      <c r="Y164" s="25" t="str">
        <f t="shared" si="2"/>
        <v/>
      </c>
      <c r="Z164" s="22">
        <v>0</v>
      </c>
    </row>
    <row r="165" spans="1:26">
      <c r="A165" s="13">
        <v>45852.916666666664</v>
      </c>
      <c r="B165" s="14">
        <v>-33.520000000000003</v>
      </c>
      <c r="C165" s="15">
        <v>0</v>
      </c>
      <c r="D165" s="15">
        <v>-0.71</v>
      </c>
      <c r="E165" s="15">
        <v>614.34</v>
      </c>
      <c r="F165" s="15">
        <v>7398.19</v>
      </c>
      <c r="G165" s="15">
        <v>0.05</v>
      </c>
      <c r="H165" s="15">
        <v>449.5</v>
      </c>
      <c r="I165" s="15">
        <v>340.06</v>
      </c>
      <c r="J165" s="15">
        <v>1.25</v>
      </c>
      <c r="K165" s="15">
        <v>317.8</v>
      </c>
      <c r="L165" s="15">
        <v>1087.1199999999999</v>
      </c>
      <c r="M165" s="15">
        <v>0.04</v>
      </c>
      <c r="N165" s="15">
        <v>0</v>
      </c>
      <c r="O165" s="15">
        <v>10.34</v>
      </c>
      <c r="P165" s="15">
        <v>0.26</v>
      </c>
      <c r="Q165" s="15">
        <v>227.44</v>
      </c>
      <c r="R165" s="15">
        <v>3348.77</v>
      </c>
      <c r="S165" s="15">
        <v>0.44</v>
      </c>
      <c r="T165" s="15">
        <v>83.56</v>
      </c>
      <c r="U165" s="15">
        <v>129.12</v>
      </c>
      <c r="V165" s="15">
        <v>700.19</v>
      </c>
      <c r="W165" s="16">
        <v>100.02</v>
      </c>
      <c r="X165" s="19" t="str">
        <f>TEXT(Table4_1[[#This Row],[date]], "hh:mm")</f>
        <v>22:00</v>
      </c>
      <c r="Y165" s="25" t="str">
        <f t="shared" si="2"/>
        <v/>
      </c>
      <c r="Z165" s="22">
        <v>0</v>
      </c>
    </row>
    <row r="166" spans="1:26">
      <c r="A166" s="13">
        <v>45852.9375</v>
      </c>
      <c r="B166" s="14">
        <v>-9.76</v>
      </c>
      <c r="C166" s="15">
        <v>0</v>
      </c>
      <c r="D166" s="15">
        <v>-26.18</v>
      </c>
      <c r="E166" s="15">
        <v>567.85</v>
      </c>
      <c r="F166" s="15">
        <v>7405.01</v>
      </c>
      <c r="G166" s="15">
        <v>-0.48</v>
      </c>
      <c r="H166" s="15">
        <v>450.83</v>
      </c>
      <c r="I166" s="15">
        <v>56.61</v>
      </c>
      <c r="J166" s="15">
        <v>0.87</v>
      </c>
      <c r="K166" s="15">
        <v>486.3</v>
      </c>
      <c r="L166" s="15">
        <v>1082.3599999999999</v>
      </c>
      <c r="M166" s="15">
        <v>0.04</v>
      </c>
      <c r="N166" s="15">
        <v>0</v>
      </c>
      <c r="O166" s="15">
        <v>9.98</v>
      </c>
      <c r="P166" s="15">
        <v>9.51</v>
      </c>
      <c r="Q166" s="15">
        <v>212.78</v>
      </c>
      <c r="R166" s="15">
        <v>3351.72</v>
      </c>
      <c r="S166" s="15">
        <v>0.44</v>
      </c>
      <c r="T166" s="15">
        <v>83.81</v>
      </c>
      <c r="U166" s="15">
        <v>18.12</v>
      </c>
      <c r="V166" s="15">
        <v>689.89</v>
      </c>
      <c r="W166" s="16">
        <v>110.83</v>
      </c>
      <c r="X166" s="19" t="str">
        <f>TEXT(Table4_1[[#This Row],[date]], "hh:mm")</f>
        <v>22:30</v>
      </c>
      <c r="Y166" s="25" t="str">
        <f t="shared" si="2"/>
        <v/>
      </c>
      <c r="Z166" s="22">
        <v>0</v>
      </c>
    </row>
    <row r="167" spans="1:26">
      <c r="A167" s="13">
        <v>45852.958333333336</v>
      </c>
      <c r="B167" s="14">
        <v>-21.79</v>
      </c>
      <c r="C167" s="15">
        <v>0</v>
      </c>
      <c r="D167" s="15">
        <v>-79.430000000000007</v>
      </c>
      <c r="E167" s="15">
        <v>553.71</v>
      </c>
      <c r="F167" s="15">
        <v>7391.56</v>
      </c>
      <c r="G167" s="15">
        <v>-0.56000000000000005</v>
      </c>
      <c r="H167" s="15">
        <v>446.17</v>
      </c>
      <c r="I167" s="15">
        <v>44.47</v>
      </c>
      <c r="J167" s="15">
        <v>0.96</v>
      </c>
      <c r="K167" s="15">
        <v>255.87</v>
      </c>
      <c r="L167" s="15">
        <v>1114.56</v>
      </c>
      <c r="M167" s="15">
        <v>0.04</v>
      </c>
      <c r="N167" s="15">
        <v>0</v>
      </c>
      <c r="O167" s="15">
        <v>9.8699999999999992</v>
      </c>
      <c r="P167" s="15">
        <v>29.5</v>
      </c>
      <c r="Q167" s="15">
        <v>206.75</v>
      </c>
      <c r="R167" s="15">
        <v>3345.74</v>
      </c>
      <c r="S167" s="15">
        <v>0.44</v>
      </c>
      <c r="T167" s="15">
        <v>82.94</v>
      </c>
      <c r="U167" s="15">
        <v>13.39</v>
      </c>
      <c r="V167" s="15">
        <v>709.39</v>
      </c>
      <c r="W167" s="16">
        <v>95.27</v>
      </c>
      <c r="X167" s="19" t="str">
        <f>TEXT(Table4_1[[#This Row],[date]], "hh:mm")</f>
        <v>23:00</v>
      </c>
      <c r="Y167" s="25" t="str">
        <f t="shared" si="2"/>
        <v/>
      </c>
      <c r="Z167" s="22">
        <v>0</v>
      </c>
    </row>
    <row r="168" spans="1:26">
      <c r="A168" s="13">
        <v>45852.979166666664</v>
      </c>
      <c r="B168" s="14">
        <v>-36.96</v>
      </c>
      <c r="C168" s="15">
        <v>0</v>
      </c>
      <c r="D168" s="15">
        <v>-52.28</v>
      </c>
      <c r="E168" s="15">
        <v>522.4</v>
      </c>
      <c r="F168" s="15">
        <v>7296.79</v>
      </c>
      <c r="G168" s="15">
        <v>-0.33</v>
      </c>
      <c r="H168" s="15">
        <v>440</v>
      </c>
      <c r="I168" s="15">
        <v>44.39</v>
      </c>
      <c r="J168" s="15">
        <v>0.49</v>
      </c>
      <c r="K168" s="15">
        <v>158.85</v>
      </c>
      <c r="L168" s="15">
        <v>1073.1500000000001</v>
      </c>
      <c r="M168" s="15">
        <v>0.04</v>
      </c>
      <c r="N168" s="15">
        <v>0</v>
      </c>
      <c r="O168" s="15">
        <v>9.6300000000000008</v>
      </c>
      <c r="P168" s="15">
        <v>19.649999999999999</v>
      </c>
      <c r="Q168" s="15">
        <v>196.4</v>
      </c>
      <c r="R168" s="15">
        <v>3303.52</v>
      </c>
      <c r="S168" s="15">
        <v>0.44</v>
      </c>
      <c r="T168" s="15">
        <v>81.8</v>
      </c>
      <c r="U168" s="15">
        <v>13.37</v>
      </c>
      <c r="V168" s="15">
        <v>719.65</v>
      </c>
      <c r="W168" s="16">
        <v>100.02</v>
      </c>
      <c r="X168" s="19" t="str">
        <f>TEXT(Table4_1[[#This Row],[date]], "hh:mm")</f>
        <v>23:30</v>
      </c>
      <c r="Y168" s="25" t="str">
        <f t="shared" si="2"/>
        <v/>
      </c>
      <c r="Z168" s="22">
        <v>0</v>
      </c>
    </row>
    <row r="169" spans="1:26">
      <c r="A169" s="13">
        <v>45853</v>
      </c>
      <c r="B169" s="14">
        <v>-19.12</v>
      </c>
      <c r="C169" s="15">
        <v>0</v>
      </c>
      <c r="D169" s="15">
        <v>-93.73</v>
      </c>
      <c r="E169" s="15">
        <v>424.58</v>
      </c>
      <c r="F169" s="15">
        <v>7146.93</v>
      </c>
      <c r="G169" s="15">
        <v>-0.41</v>
      </c>
      <c r="H169" s="15">
        <v>308.5</v>
      </c>
      <c r="I169" s="15">
        <v>44.6</v>
      </c>
      <c r="J169" s="15">
        <v>0.34</v>
      </c>
      <c r="K169" s="15">
        <v>122.72</v>
      </c>
      <c r="L169" s="15">
        <v>1072.5999999999999</v>
      </c>
      <c r="M169" s="15">
        <v>0.04</v>
      </c>
      <c r="N169" s="15">
        <v>0</v>
      </c>
      <c r="O169" s="15">
        <v>9.41</v>
      </c>
      <c r="P169" s="15">
        <v>35.619999999999997</v>
      </c>
      <c r="Q169" s="15">
        <v>156.82</v>
      </c>
      <c r="R169" s="15">
        <v>3236.63</v>
      </c>
      <c r="S169" s="15">
        <v>0.44</v>
      </c>
      <c r="T169" s="15">
        <v>57.35</v>
      </c>
      <c r="U169" s="15">
        <v>13.43</v>
      </c>
      <c r="V169" s="15">
        <v>734.5</v>
      </c>
      <c r="W169" s="16">
        <v>85.21</v>
      </c>
      <c r="X169" s="19" t="str">
        <f>TEXT(Table4_1[[#This Row],[date]], "hh:mm")</f>
        <v>00:00</v>
      </c>
      <c r="Y169" s="25" t="str">
        <f t="shared" si="2"/>
        <v>15 Jul</v>
      </c>
      <c r="Z169" s="22">
        <v>0</v>
      </c>
    </row>
    <row r="170" spans="1:26">
      <c r="A170" s="13">
        <v>45853.020833333336</v>
      </c>
      <c r="B170" s="14">
        <v>-21.55</v>
      </c>
      <c r="C170" s="15">
        <v>0</v>
      </c>
      <c r="D170" s="15">
        <v>-95.08</v>
      </c>
      <c r="E170" s="15">
        <v>324.01</v>
      </c>
      <c r="F170" s="15">
        <v>7147.07</v>
      </c>
      <c r="G170" s="15">
        <v>-0.94</v>
      </c>
      <c r="H170" s="15">
        <v>195.33</v>
      </c>
      <c r="I170" s="15">
        <v>44.65</v>
      </c>
      <c r="J170" s="15">
        <v>0.37</v>
      </c>
      <c r="K170" s="15">
        <v>119.14</v>
      </c>
      <c r="L170" s="15">
        <v>911.54</v>
      </c>
      <c r="M170" s="15">
        <v>0.04</v>
      </c>
      <c r="N170" s="15">
        <v>0</v>
      </c>
      <c r="O170" s="15">
        <v>9.1300000000000008</v>
      </c>
      <c r="P170" s="15">
        <v>37</v>
      </c>
      <c r="Q170" s="15">
        <v>117.55</v>
      </c>
      <c r="R170" s="15">
        <v>3236.67</v>
      </c>
      <c r="S170" s="15">
        <v>0.44</v>
      </c>
      <c r="T170" s="15">
        <v>36.31</v>
      </c>
      <c r="U170" s="15">
        <v>13.45</v>
      </c>
      <c r="V170" s="15">
        <v>762.21</v>
      </c>
      <c r="W170" s="16">
        <v>85.12</v>
      </c>
      <c r="X170" s="19" t="str">
        <f>TEXT(Table4_1[[#This Row],[date]], "hh:mm")</f>
        <v>00:30</v>
      </c>
      <c r="Y170" s="25" t="str">
        <f t="shared" si="2"/>
        <v/>
      </c>
      <c r="Z170" s="22">
        <v>0</v>
      </c>
    </row>
    <row r="171" spans="1:26">
      <c r="A171" s="13">
        <v>45853.041666666664</v>
      </c>
      <c r="B171" s="14">
        <v>-21.09</v>
      </c>
      <c r="C171" s="15">
        <v>0</v>
      </c>
      <c r="D171" s="15">
        <v>-77.48</v>
      </c>
      <c r="E171" s="15">
        <v>333.31</v>
      </c>
      <c r="F171" s="15">
        <v>7127.96</v>
      </c>
      <c r="G171" s="15">
        <v>-0.92</v>
      </c>
      <c r="H171" s="15">
        <v>190</v>
      </c>
      <c r="I171" s="15">
        <v>44.75</v>
      </c>
      <c r="J171" s="15">
        <v>0.54</v>
      </c>
      <c r="K171" s="15">
        <v>110.71</v>
      </c>
      <c r="L171" s="15">
        <v>777.82</v>
      </c>
      <c r="M171" s="15">
        <v>0.04</v>
      </c>
      <c r="N171" s="15">
        <v>0</v>
      </c>
      <c r="O171" s="15">
        <v>8.83</v>
      </c>
      <c r="P171" s="15">
        <v>30.71</v>
      </c>
      <c r="Q171" s="15">
        <v>120.78</v>
      </c>
      <c r="R171" s="15">
        <v>3228.12</v>
      </c>
      <c r="S171" s="15">
        <v>0.44</v>
      </c>
      <c r="T171" s="15">
        <v>35.32</v>
      </c>
      <c r="U171" s="15">
        <v>13.48</v>
      </c>
      <c r="V171" s="15">
        <v>772.45</v>
      </c>
      <c r="W171" s="16">
        <v>86.24</v>
      </c>
      <c r="X171" s="19" t="str">
        <f>TEXT(Table4_1[[#This Row],[date]], "hh:mm")</f>
        <v>01:00</v>
      </c>
      <c r="Y171" s="25" t="str">
        <f t="shared" si="2"/>
        <v/>
      </c>
      <c r="Z171" s="22">
        <v>0</v>
      </c>
    </row>
    <row r="172" spans="1:26">
      <c r="A172" s="13">
        <v>45853.0625</v>
      </c>
      <c r="B172" s="14">
        <v>-13.15</v>
      </c>
      <c r="C172" s="15">
        <v>-67.53</v>
      </c>
      <c r="D172" s="15">
        <v>-106.28</v>
      </c>
      <c r="E172" s="15">
        <v>326.72000000000003</v>
      </c>
      <c r="F172" s="15">
        <v>7094.64</v>
      </c>
      <c r="G172" s="15">
        <v>-0.83</v>
      </c>
      <c r="H172" s="15">
        <v>190.17</v>
      </c>
      <c r="I172" s="15">
        <v>44.91</v>
      </c>
      <c r="J172" s="15">
        <v>0.25</v>
      </c>
      <c r="K172" s="15">
        <v>103.52</v>
      </c>
      <c r="L172" s="15">
        <v>699.34</v>
      </c>
      <c r="M172" s="15">
        <v>0.04</v>
      </c>
      <c r="N172" s="15">
        <v>0</v>
      </c>
      <c r="O172" s="15">
        <v>8.6199999999999992</v>
      </c>
      <c r="P172" s="15">
        <v>42.12</v>
      </c>
      <c r="Q172" s="15">
        <v>118.98</v>
      </c>
      <c r="R172" s="15">
        <v>3213.33</v>
      </c>
      <c r="S172" s="15">
        <v>0.44</v>
      </c>
      <c r="T172" s="15">
        <v>35.35</v>
      </c>
      <c r="U172" s="15">
        <v>13.52</v>
      </c>
      <c r="V172" s="15">
        <v>788.86</v>
      </c>
      <c r="W172" s="16">
        <v>86.45</v>
      </c>
      <c r="X172" s="19" t="str">
        <f>TEXT(Table4_1[[#This Row],[date]], "hh:mm")</f>
        <v>01:30</v>
      </c>
      <c r="Y172" s="25" t="str">
        <f t="shared" si="2"/>
        <v/>
      </c>
      <c r="Z172" s="22">
        <v>0</v>
      </c>
    </row>
    <row r="173" spans="1:26">
      <c r="A173" s="13">
        <v>45853.083333333336</v>
      </c>
      <c r="B173" s="14">
        <v>-36.590000000000003</v>
      </c>
      <c r="C173" s="15">
        <v>-80.69</v>
      </c>
      <c r="D173" s="15">
        <v>-96.14</v>
      </c>
      <c r="E173" s="15">
        <v>365.31</v>
      </c>
      <c r="F173" s="15">
        <v>6718.34</v>
      </c>
      <c r="G173" s="15">
        <v>-0.88</v>
      </c>
      <c r="H173" s="15">
        <v>190.5</v>
      </c>
      <c r="I173" s="15">
        <v>44.97</v>
      </c>
      <c r="J173" s="15">
        <v>0.28999999999999998</v>
      </c>
      <c r="K173" s="15">
        <v>43.12</v>
      </c>
      <c r="L173" s="15">
        <v>808.09</v>
      </c>
      <c r="M173" s="15">
        <v>0.04</v>
      </c>
      <c r="N173" s="15">
        <v>0</v>
      </c>
      <c r="O173" s="15">
        <v>8.4700000000000006</v>
      </c>
      <c r="P173" s="15">
        <v>37.61</v>
      </c>
      <c r="Q173" s="15">
        <v>133.09</v>
      </c>
      <c r="R173" s="15">
        <v>3045.06</v>
      </c>
      <c r="S173" s="15">
        <v>0.44</v>
      </c>
      <c r="T173" s="15">
        <v>35.409999999999997</v>
      </c>
      <c r="U173" s="15">
        <v>13.54</v>
      </c>
      <c r="V173" s="15">
        <v>777.86</v>
      </c>
      <c r="W173" s="16">
        <v>75.13</v>
      </c>
      <c r="X173" s="19" t="str">
        <f>TEXT(Table4_1[[#This Row],[date]], "hh:mm")</f>
        <v>02:00</v>
      </c>
      <c r="Y173" s="25" t="str">
        <f t="shared" si="2"/>
        <v/>
      </c>
      <c r="Z173" s="22">
        <v>0</v>
      </c>
    </row>
    <row r="174" spans="1:26">
      <c r="A174" s="13">
        <v>45853.104166666664</v>
      </c>
      <c r="B174" s="14">
        <v>-160.09</v>
      </c>
      <c r="C174" s="15">
        <v>-80.63</v>
      </c>
      <c r="D174" s="15">
        <v>-5.42</v>
      </c>
      <c r="E174" s="15">
        <v>386.38</v>
      </c>
      <c r="F174" s="15">
        <v>6540.19</v>
      </c>
      <c r="G174" s="15">
        <v>-0.84</v>
      </c>
      <c r="H174" s="15">
        <v>190.17</v>
      </c>
      <c r="I174" s="15">
        <v>45.02</v>
      </c>
      <c r="J174" s="15">
        <v>3.79</v>
      </c>
      <c r="K174" s="15">
        <v>14.02</v>
      </c>
      <c r="L174" s="15">
        <v>800.59</v>
      </c>
      <c r="M174" s="15">
        <v>0.04</v>
      </c>
      <c r="N174" s="15">
        <v>0</v>
      </c>
      <c r="O174" s="15">
        <v>8.73</v>
      </c>
      <c r="P174" s="15">
        <v>2.11</v>
      </c>
      <c r="Q174" s="15">
        <v>146.76</v>
      </c>
      <c r="R174" s="15">
        <v>2966.01</v>
      </c>
      <c r="S174" s="15">
        <v>0.44</v>
      </c>
      <c r="T174" s="15">
        <v>35.35</v>
      </c>
      <c r="U174" s="15">
        <v>13.56</v>
      </c>
      <c r="V174" s="15">
        <v>779.84</v>
      </c>
      <c r="W174" s="16">
        <v>76.8</v>
      </c>
      <c r="X174" s="19" t="str">
        <f>TEXT(Table4_1[[#This Row],[date]], "hh:mm")</f>
        <v>02:30</v>
      </c>
      <c r="Y174" s="25" t="str">
        <f t="shared" si="2"/>
        <v/>
      </c>
      <c r="Z174" s="22">
        <v>0</v>
      </c>
    </row>
    <row r="175" spans="1:26">
      <c r="A175" s="13">
        <v>45853.125</v>
      </c>
      <c r="B175" s="14">
        <v>-104.48</v>
      </c>
      <c r="C175" s="15">
        <v>-80.709999999999994</v>
      </c>
      <c r="D175" s="15">
        <v>-3.12</v>
      </c>
      <c r="E175" s="15">
        <v>398.01</v>
      </c>
      <c r="F175" s="15">
        <v>6419.66</v>
      </c>
      <c r="G175" s="15">
        <v>-0.62</v>
      </c>
      <c r="H175" s="15">
        <v>190.17</v>
      </c>
      <c r="I175" s="15">
        <v>44.9</v>
      </c>
      <c r="J175" s="15">
        <v>3.86</v>
      </c>
      <c r="K175" s="15">
        <v>14.05</v>
      </c>
      <c r="L175" s="15">
        <v>717.32</v>
      </c>
      <c r="M175" s="15">
        <v>0.04</v>
      </c>
      <c r="N175" s="15">
        <v>0</v>
      </c>
      <c r="O175" s="15">
        <v>8.82</v>
      </c>
      <c r="P175" s="15">
        <v>1.23</v>
      </c>
      <c r="Q175" s="15">
        <v>155.72999999999999</v>
      </c>
      <c r="R175" s="15">
        <v>2911.68</v>
      </c>
      <c r="S175" s="15">
        <v>0.44</v>
      </c>
      <c r="T175" s="15">
        <v>35.35</v>
      </c>
      <c r="U175" s="15">
        <v>13.52</v>
      </c>
      <c r="V175" s="15">
        <v>779.3</v>
      </c>
      <c r="W175" s="16">
        <v>76.8</v>
      </c>
      <c r="X175" s="19" t="str">
        <f>TEXT(Table4_1[[#This Row],[date]], "hh:mm")</f>
        <v>03:00</v>
      </c>
      <c r="Y175" s="25" t="str">
        <f t="shared" si="2"/>
        <v/>
      </c>
      <c r="Z175" s="22">
        <v>0</v>
      </c>
    </row>
    <row r="176" spans="1:26">
      <c r="A176" s="13">
        <v>45853.145833333336</v>
      </c>
      <c r="B176" s="14">
        <v>-73.5</v>
      </c>
      <c r="C176" s="15">
        <v>-80.64</v>
      </c>
      <c r="D176" s="15">
        <v>0</v>
      </c>
      <c r="E176" s="15">
        <v>580.14</v>
      </c>
      <c r="F176" s="15">
        <v>6256.13</v>
      </c>
      <c r="G176" s="15">
        <v>-0.88</v>
      </c>
      <c r="H176" s="15">
        <v>190.17</v>
      </c>
      <c r="I176" s="15">
        <v>44.78</v>
      </c>
      <c r="J176" s="15">
        <v>0.03</v>
      </c>
      <c r="K176" s="15">
        <v>17.57</v>
      </c>
      <c r="L176" s="15">
        <v>700.78</v>
      </c>
      <c r="M176" s="15">
        <v>0.04</v>
      </c>
      <c r="N176" s="15">
        <v>0</v>
      </c>
      <c r="O176" s="15">
        <v>9.0299999999999994</v>
      </c>
      <c r="P176" s="15">
        <v>0</v>
      </c>
      <c r="Q176" s="15">
        <v>229.59</v>
      </c>
      <c r="R176" s="15">
        <v>2835.56</v>
      </c>
      <c r="S176" s="15">
        <v>0.44</v>
      </c>
      <c r="T176" s="15">
        <v>35.35</v>
      </c>
      <c r="U176" s="15">
        <v>13.48</v>
      </c>
      <c r="V176" s="15">
        <v>755.73</v>
      </c>
      <c r="W176" s="16">
        <v>76.3</v>
      </c>
      <c r="X176" s="19" t="str">
        <f>TEXT(Table4_1[[#This Row],[date]], "hh:mm")</f>
        <v>03:30</v>
      </c>
      <c r="Y176" s="25" t="str">
        <f t="shared" si="2"/>
        <v/>
      </c>
      <c r="Z176" s="22">
        <v>0</v>
      </c>
    </row>
    <row r="177" spans="1:26">
      <c r="A177" s="13">
        <v>45853.166666666664</v>
      </c>
      <c r="B177" s="14">
        <v>-203.92</v>
      </c>
      <c r="C177" s="15">
        <v>-80.66</v>
      </c>
      <c r="D177" s="15">
        <v>0</v>
      </c>
      <c r="E177" s="15">
        <v>564.89</v>
      </c>
      <c r="F177" s="15">
        <v>6318.02</v>
      </c>
      <c r="G177" s="15">
        <v>-0.7</v>
      </c>
      <c r="H177" s="15">
        <v>190.17</v>
      </c>
      <c r="I177" s="15">
        <v>43.49</v>
      </c>
      <c r="J177" s="15">
        <v>0.57999999999999996</v>
      </c>
      <c r="K177" s="15">
        <v>0</v>
      </c>
      <c r="L177" s="15">
        <v>777.11</v>
      </c>
      <c r="M177" s="15">
        <v>0.04</v>
      </c>
      <c r="N177" s="15">
        <v>0</v>
      </c>
      <c r="O177" s="15">
        <v>8.93</v>
      </c>
      <c r="P177" s="15">
        <v>0</v>
      </c>
      <c r="Q177" s="15">
        <v>225.74</v>
      </c>
      <c r="R177" s="15">
        <v>2863.55</v>
      </c>
      <c r="S177" s="15">
        <v>0.44</v>
      </c>
      <c r="T177" s="15">
        <v>35.35</v>
      </c>
      <c r="U177" s="15">
        <v>13.09</v>
      </c>
      <c r="V177" s="15">
        <v>765.52</v>
      </c>
      <c r="W177" s="16">
        <v>76.58</v>
      </c>
      <c r="X177" s="19" t="str">
        <f>TEXT(Table4_1[[#This Row],[date]], "hh:mm")</f>
        <v>04:00</v>
      </c>
      <c r="Y177" s="25" t="str">
        <f t="shared" si="2"/>
        <v/>
      </c>
      <c r="Z177" s="22">
        <v>0</v>
      </c>
    </row>
    <row r="178" spans="1:26">
      <c r="A178" s="13">
        <v>45853.1875</v>
      </c>
      <c r="B178" s="14">
        <v>-255.16</v>
      </c>
      <c r="C178" s="15">
        <v>-67.19</v>
      </c>
      <c r="D178" s="15">
        <v>0</v>
      </c>
      <c r="E178" s="15">
        <v>512.38</v>
      </c>
      <c r="F178" s="15">
        <v>6334.44</v>
      </c>
      <c r="G178" s="15">
        <v>-0.88</v>
      </c>
      <c r="H178" s="15">
        <v>190.17</v>
      </c>
      <c r="I178" s="15">
        <v>43.71</v>
      </c>
      <c r="J178" s="15">
        <v>4.05</v>
      </c>
      <c r="K178" s="15">
        <v>0</v>
      </c>
      <c r="L178" s="15">
        <v>955.64</v>
      </c>
      <c r="M178" s="15">
        <v>0.04</v>
      </c>
      <c r="N178" s="15">
        <v>0</v>
      </c>
      <c r="O178" s="15">
        <v>8.9</v>
      </c>
      <c r="P178" s="15">
        <v>0</v>
      </c>
      <c r="Q178" s="15">
        <v>206.53</v>
      </c>
      <c r="R178" s="15">
        <v>2869.23</v>
      </c>
      <c r="S178" s="15">
        <v>0.44</v>
      </c>
      <c r="T178" s="15">
        <v>35.35</v>
      </c>
      <c r="U178" s="15">
        <v>13.16</v>
      </c>
      <c r="V178" s="15">
        <v>756.28</v>
      </c>
      <c r="W178" s="16">
        <v>74.790000000000006</v>
      </c>
      <c r="X178" s="19" t="str">
        <f>TEXT(Table4_1[[#This Row],[date]], "hh:mm")</f>
        <v>04:30</v>
      </c>
      <c r="Y178" s="25" t="str">
        <f t="shared" si="2"/>
        <v/>
      </c>
      <c r="Z178" s="22">
        <v>0</v>
      </c>
    </row>
    <row r="179" spans="1:26">
      <c r="A179" s="13">
        <v>45853.208333333336</v>
      </c>
      <c r="B179" s="14">
        <v>-152.51</v>
      </c>
      <c r="C179" s="15">
        <v>0</v>
      </c>
      <c r="D179" s="15">
        <v>-16.48</v>
      </c>
      <c r="E179" s="15">
        <v>401.44</v>
      </c>
      <c r="F179" s="15">
        <v>6376.07</v>
      </c>
      <c r="G179" s="15">
        <v>-0.74</v>
      </c>
      <c r="H179" s="15">
        <v>198.17</v>
      </c>
      <c r="I179" s="15">
        <v>44.22</v>
      </c>
      <c r="J179" s="15">
        <v>1.85</v>
      </c>
      <c r="K179" s="15">
        <v>28.8</v>
      </c>
      <c r="L179" s="15">
        <v>1134.6600000000001</v>
      </c>
      <c r="M179" s="15">
        <v>0.04</v>
      </c>
      <c r="N179" s="15">
        <v>0</v>
      </c>
      <c r="O179" s="15">
        <v>8.8800000000000008</v>
      </c>
      <c r="P179" s="15">
        <v>6.35</v>
      </c>
      <c r="Q179" s="15">
        <v>164.24</v>
      </c>
      <c r="R179" s="15">
        <v>2884.5</v>
      </c>
      <c r="S179" s="15">
        <v>0.44</v>
      </c>
      <c r="T179" s="15">
        <v>36.840000000000003</v>
      </c>
      <c r="U179" s="15">
        <v>13.31</v>
      </c>
      <c r="V179" s="15">
        <v>732.36</v>
      </c>
      <c r="W179" s="16">
        <v>73.25</v>
      </c>
      <c r="X179" s="19" t="str">
        <f>TEXT(Table4_1[[#This Row],[date]], "hh:mm")</f>
        <v>05:00</v>
      </c>
      <c r="Y179" s="25" t="str">
        <f t="shared" si="2"/>
        <v/>
      </c>
      <c r="Z179" s="22">
        <v>0</v>
      </c>
    </row>
    <row r="180" spans="1:26">
      <c r="A180" s="13">
        <v>45853.229166666664</v>
      </c>
      <c r="B180" s="14">
        <v>-127.28</v>
      </c>
      <c r="C180" s="15">
        <v>0</v>
      </c>
      <c r="D180" s="15">
        <v>-271.64999999999998</v>
      </c>
      <c r="E180" s="15">
        <v>194.56</v>
      </c>
      <c r="F180" s="15">
        <v>6874.18</v>
      </c>
      <c r="G180" s="15">
        <v>-0.11</v>
      </c>
      <c r="H180" s="15">
        <v>297.67</v>
      </c>
      <c r="I180" s="15">
        <v>44.19</v>
      </c>
      <c r="J180" s="15">
        <v>0.38</v>
      </c>
      <c r="K180" s="15">
        <v>135.81</v>
      </c>
      <c r="L180" s="15">
        <v>1342.23</v>
      </c>
      <c r="M180" s="15">
        <v>0.04</v>
      </c>
      <c r="N180" s="15">
        <v>0</v>
      </c>
      <c r="O180" s="15">
        <v>8.65</v>
      </c>
      <c r="P180" s="15">
        <v>99.85</v>
      </c>
      <c r="Q180" s="15">
        <v>81.99</v>
      </c>
      <c r="R180" s="15">
        <v>3113.02</v>
      </c>
      <c r="S180" s="15">
        <v>0.44</v>
      </c>
      <c r="T180" s="15">
        <v>55.34</v>
      </c>
      <c r="U180" s="15">
        <v>13.31</v>
      </c>
      <c r="V180" s="15">
        <v>749.61</v>
      </c>
      <c r="W180" s="16">
        <v>83.87</v>
      </c>
      <c r="X180" s="19" t="str">
        <f>TEXT(Table4_1[[#This Row],[date]], "hh:mm")</f>
        <v>05:30</v>
      </c>
      <c r="Y180" s="25" t="str">
        <f t="shared" si="2"/>
        <v/>
      </c>
      <c r="Z180" s="22">
        <v>0</v>
      </c>
    </row>
    <row r="181" spans="1:26">
      <c r="A181" s="13">
        <v>45853.25</v>
      </c>
      <c r="B181" s="14">
        <v>-6.98</v>
      </c>
      <c r="C181" s="15">
        <v>0</v>
      </c>
      <c r="D181" s="15">
        <v>-528.04</v>
      </c>
      <c r="E181" s="15">
        <v>35.39</v>
      </c>
      <c r="F181" s="15">
        <v>7283</v>
      </c>
      <c r="G181" s="15">
        <v>-0.3</v>
      </c>
      <c r="H181" s="15">
        <v>306.83</v>
      </c>
      <c r="I181" s="15">
        <v>42.77</v>
      </c>
      <c r="J181" s="15">
        <v>6.6</v>
      </c>
      <c r="K181" s="15">
        <v>261.24</v>
      </c>
      <c r="L181" s="15">
        <v>1525.44</v>
      </c>
      <c r="M181" s="15">
        <v>0.04</v>
      </c>
      <c r="N181" s="15">
        <v>0</v>
      </c>
      <c r="O181" s="15">
        <v>8.57</v>
      </c>
      <c r="P181" s="15">
        <v>188.22</v>
      </c>
      <c r="Q181" s="15">
        <v>15.56</v>
      </c>
      <c r="R181" s="15">
        <v>3297.29</v>
      </c>
      <c r="S181" s="15">
        <v>0.44</v>
      </c>
      <c r="T181" s="15">
        <v>57.04</v>
      </c>
      <c r="U181" s="15">
        <v>13.08</v>
      </c>
      <c r="V181" s="15">
        <v>754.62</v>
      </c>
      <c r="W181" s="16">
        <v>90.66</v>
      </c>
      <c r="X181" s="19" t="str">
        <f>TEXT(Table4_1[[#This Row],[date]], "hh:mm")</f>
        <v>06:00</v>
      </c>
      <c r="Y181" s="25" t="str">
        <f t="shared" si="2"/>
        <v/>
      </c>
      <c r="Z181" s="22">
        <v>0</v>
      </c>
    </row>
    <row r="182" spans="1:26">
      <c r="A182" s="13">
        <v>45853.270833333336</v>
      </c>
      <c r="B182" s="14">
        <v>-2.31</v>
      </c>
      <c r="C182" s="15">
        <v>0</v>
      </c>
      <c r="D182" s="15">
        <v>-595.59</v>
      </c>
      <c r="E182" s="15">
        <v>0</v>
      </c>
      <c r="F182" s="15">
        <v>7400.33</v>
      </c>
      <c r="G182" s="15">
        <v>-2.27</v>
      </c>
      <c r="H182" s="15">
        <v>443.83</v>
      </c>
      <c r="I182" s="15">
        <v>173.25</v>
      </c>
      <c r="J182" s="15">
        <v>40.520000000000003</v>
      </c>
      <c r="K182" s="15">
        <v>705.19</v>
      </c>
      <c r="L182" s="15">
        <v>1567.48</v>
      </c>
      <c r="M182" s="15">
        <v>0.04</v>
      </c>
      <c r="N182" s="15">
        <v>0.18</v>
      </c>
      <c r="O182" s="15">
        <v>8.3800000000000008</v>
      </c>
      <c r="P182" s="15">
        <v>200.36</v>
      </c>
      <c r="Q182" s="15">
        <v>0</v>
      </c>
      <c r="R182" s="15">
        <v>3349.79</v>
      </c>
      <c r="S182" s="15">
        <v>0.44</v>
      </c>
      <c r="T182" s="15">
        <v>82.51</v>
      </c>
      <c r="U182" s="15">
        <v>49.82</v>
      </c>
      <c r="V182" s="15">
        <v>715.79</v>
      </c>
      <c r="W182" s="16">
        <v>113.84</v>
      </c>
      <c r="X182" s="19" t="str">
        <f>TEXT(Table4_1[[#This Row],[date]], "hh:mm")</f>
        <v>06:30</v>
      </c>
      <c r="Y182" s="25" t="str">
        <f t="shared" si="2"/>
        <v/>
      </c>
      <c r="Z182" s="22">
        <v>0</v>
      </c>
    </row>
    <row r="183" spans="1:26">
      <c r="A183" s="13">
        <v>45853.291666666664</v>
      </c>
      <c r="B183" s="14">
        <v>-2.91</v>
      </c>
      <c r="C183" s="15">
        <v>0</v>
      </c>
      <c r="D183" s="15">
        <v>-525.15</v>
      </c>
      <c r="E183" s="15">
        <v>0</v>
      </c>
      <c r="F183" s="15">
        <v>7453.31</v>
      </c>
      <c r="G183" s="15">
        <v>-1.19</v>
      </c>
      <c r="H183" s="15">
        <v>450</v>
      </c>
      <c r="I183" s="15">
        <v>389.81</v>
      </c>
      <c r="J183" s="15">
        <v>139.94</v>
      </c>
      <c r="K183" s="15">
        <v>771.76</v>
      </c>
      <c r="L183" s="15">
        <v>1591.65</v>
      </c>
      <c r="M183" s="15">
        <v>1.56</v>
      </c>
      <c r="N183" s="15">
        <v>4.2699999999999996</v>
      </c>
      <c r="O183" s="15">
        <v>8.6</v>
      </c>
      <c r="P183" s="15">
        <v>174.19</v>
      </c>
      <c r="Q183" s="15">
        <v>0</v>
      </c>
      <c r="R183" s="15">
        <v>3376</v>
      </c>
      <c r="S183" s="15">
        <v>0.44</v>
      </c>
      <c r="T183" s="15">
        <v>83.66</v>
      </c>
      <c r="U183" s="15">
        <v>130.49</v>
      </c>
      <c r="V183" s="15">
        <v>699.03</v>
      </c>
      <c r="W183" s="16">
        <v>144.66</v>
      </c>
      <c r="X183" s="19" t="str">
        <f>TEXT(Table4_1[[#This Row],[date]], "hh:mm")</f>
        <v>07:00</v>
      </c>
      <c r="Y183" s="25" t="str">
        <f t="shared" si="2"/>
        <v/>
      </c>
      <c r="Z183" s="22">
        <v>0</v>
      </c>
    </row>
    <row r="184" spans="1:26">
      <c r="A184" s="13">
        <v>45853.3125</v>
      </c>
      <c r="B184" s="14">
        <v>-1.6</v>
      </c>
      <c r="C184" s="15">
        <v>0</v>
      </c>
      <c r="D184" s="15">
        <v>-396.19</v>
      </c>
      <c r="E184" s="15">
        <v>0</v>
      </c>
      <c r="F184" s="15">
        <v>7456.8</v>
      </c>
      <c r="G184" s="15">
        <v>-0.82</v>
      </c>
      <c r="H184" s="15">
        <v>450</v>
      </c>
      <c r="I184" s="15">
        <v>526.04999999999995</v>
      </c>
      <c r="J184" s="15">
        <v>266.73</v>
      </c>
      <c r="K184" s="15">
        <v>780.94</v>
      </c>
      <c r="L184" s="15">
        <v>1593.9</v>
      </c>
      <c r="M184" s="15">
        <v>31.01</v>
      </c>
      <c r="N184" s="15">
        <v>34.81</v>
      </c>
      <c r="O184" s="15">
        <v>9.14</v>
      </c>
      <c r="P184" s="15">
        <v>129.76</v>
      </c>
      <c r="Q184" s="15">
        <v>0</v>
      </c>
      <c r="R184" s="15">
        <v>3377.67</v>
      </c>
      <c r="S184" s="15">
        <v>0.44</v>
      </c>
      <c r="T184" s="15">
        <v>83.66</v>
      </c>
      <c r="U184" s="15">
        <v>183.71</v>
      </c>
      <c r="V184" s="15">
        <v>678.76</v>
      </c>
      <c r="W184" s="16">
        <v>130.34</v>
      </c>
      <c r="X184" s="19" t="str">
        <f>TEXT(Table4_1[[#This Row],[date]], "hh:mm")</f>
        <v>07:30</v>
      </c>
      <c r="Y184" s="25" t="str">
        <f t="shared" si="2"/>
        <v/>
      </c>
      <c r="Z184" s="22">
        <v>0</v>
      </c>
    </row>
    <row r="185" spans="1:26">
      <c r="A185" s="13">
        <v>45853.333333333336</v>
      </c>
      <c r="B185" s="14">
        <v>-2.98</v>
      </c>
      <c r="C185" s="15">
        <v>0</v>
      </c>
      <c r="D185" s="15">
        <v>-234.83</v>
      </c>
      <c r="E185" s="15">
        <v>0</v>
      </c>
      <c r="F185" s="15">
        <v>7457.68</v>
      </c>
      <c r="G185" s="15">
        <v>-0.18</v>
      </c>
      <c r="H185" s="15">
        <v>449.67</v>
      </c>
      <c r="I185" s="15">
        <v>525.49</v>
      </c>
      <c r="J185" s="15">
        <v>194.55</v>
      </c>
      <c r="K185" s="15">
        <v>741.74</v>
      </c>
      <c r="L185" s="15">
        <v>1578.1</v>
      </c>
      <c r="M185" s="15">
        <v>266.44</v>
      </c>
      <c r="N185" s="15">
        <v>126.03</v>
      </c>
      <c r="O185" s="15">
        <v>9.65</v>
      </c>
      <c r="P185" s="15">
        <v>76.13</v>
      </c>
      <c r="Q185" s="15">
        <v>0</v>
      </c>
      <c r="R185" s="15">
        <v>3377.98</v>
      </c>
      <c r="S185" s="15">
        <v>0.44</v>
      </c>
      <c r="T185" s="15">
        <v>83.59</v>
      </c>
      <c r="U185" s="15">
        <v>183.47</v>
      </c>
      <c r="V185" s="15">
        <v>656.74</v>
      </c>
      <c r="W185" s="16">
        <v>136.08000000000001</v>
      </c>
      <c r="X185" s="19" t="str">
        <f>TEXT(Table4_1[[#This Row],[date]], "hh:mm")</f>
        <v>08:00</v>
      </c>
      <c r="Y185" s="25" t="str">
        <f t="shared" si="2"/>
        <v/>
      </c>
      <c r="Z185" s="22">
        <v>0</v>
      </c>
    </row>
    <row r="186" spans="1:26">
      <c r="A186" s="13">
        <v>45853.354166666664</v>
      </c>
      <c r="B186" s="14">
        <v>-0.01</v>
      </c>
      <c r="C186" s="15">
        <v>0</v>
      </c>
      <c r="D186" s="15">
        <v>-8.27</v>
      </c>
      <c r="E186" s="15">
        <v>303.83999999999997</v>
      </c>
      <c r="F186" s="15">
        <v>7406.16</v>
      </c>
      <c r="G186" s="15">
        <v>-2.0099999999999998</v>
      </c>
      <c r="H186" s="15">
        <v>449.83</v>
      </c>
      <c r="I186" s="15">
        <v>430.01</v>
      </c>
      <c r="J186" s="15">
        <v>146.44999999999999</v>
      </c>
      <c r="K186" s="15">
        <v>193.41</v>
      </c>
      <c r="L186" s="15">
        <v>1422.89</v>
      </c>
      <c r="M186" s="15">
        <v>634.34</v>
      </c>
      <c r="N186" s="15">
        <v>286.56</v>
      </c>
      <c r="O186" s="15">
        <v>10.07</v>
      </c>
      <c r="P186" s="15">
        <v>2.76</v>
      </c>
      <c r="Q186" s="15">
        <v>97.72</v>
      </c>
      <c r="R186" s="15">
        <v>3352.35</v>
      </c>
      <c r="S186" s="15">
        <v>0.44</v>
      </c>
      <c r="T186" s="15">
        <v>83.62</v>
      </c>
      <c r="U186" s="15">
        <v>146.18</v>
      </c>
      <c r="V186" s="15">
        <v>636.16</v>
      </c>
      <c r="W186" s="16">
        <v>134.16999999999999</v>
      </c>
      <c r="X186" s="19" t="str">
        <f>TEXT(Table4_1[[#This Row],[date]], "hh:mm")</f>
        <v>08:30</v>
      </c>
      <c r="Y186" s="25" t="str">
        <f t="shared" si="2"/>
        <v/>
      </c>
      <c r="Z186" s="22">
        <v>0</v>
      </c>
    </row>
    <row r="187" spans="1:26">
      <c r="A187" s="13">
        <v>45853.375</v>
      </c>
      <c r="B187" s="14">
        <v>-3.63</v>
      </c>
      <c r="C187" s="15">
        <v>0</v>
      </c>
      <c r="D187" s="15">
        <v>-64.959999999999994</v>
      </c>
      <c r="E187" s="15">
        <v>715.54</v>
      </c>
      <c r="F187" s="15">
        <v>7310.86</v>
      </c>
      <c r="G187" s="15">
        <v>-3.12</v>
      </c>
      <c r="H187" s="15">
        <v>442.5</v>
      </c>
      <c r="I187" s="15">
        <v>322.52999999999997</v>
      </c>
      <c r="J187" s="15">
        <v>30.23</v>
      </c>
      <c r="K187" s="15">
        <v>72.650000000000006</v>
      </c>
      <c r="L187" s="15">
        <v>1308.97</v>
      </c>
      <c r="M187" s="15">
        <v>1091.93</v>
      </c>
      <c r="N187" s="15">
        <v>518.02</v>
      </c>
      <c r="O187" s="15">
        <v>10.47</v>
      </c>
      <c r="P187" s="15">
        <v>21.4</v>
      </c>
      <c r="Q187" s="15">
        <v>224.59</v>
      </c>
      <c r="R187" s="15">
        <v>3306.8</v>
      </c>
      <c r="S187" s="15">
        <v>0.44</v>
      </c>
      <c r="T187" s="15">
        <v>82.26</v>
      </c>
      <c r="U187" s="15">
        <v>107.32</v>
      </c>
      <c r="V187" s="15">
        <v>595.63</v>
      </c>
      <c r="W187" s="16">
        <v>134.69</v>
      </c>
      <c r="X187" s="19" t="str">
        <f>TEXT(Table4_1[[#This Row],[date]], "hh:mm")</f>
        <v>09:00</v>
      </c>
      <c r="Y187" s="25" t="str">
        <f t="shared" si="2"/>
        <v/>
      </c>
      <c r="Z187" s="22">
        <v>0</v>
      </c>
    </row>
    <row r="188" spans="1:26">
      <c r="A188" s="13">
        <v>45853.395833333336</v>
      </c>
      <c r="B188" s="14">
        <v>-5.25</v>
      </c>
      <c r="C188" s="15">
        <v>0</v>
      </c>
      <c r="D188" s="15">
        <v>-83.46</v>
      </c>
      <c r="E188" s="15">
        <v>820.01</v>
      </c>
      <c r="F188" s="15">
        <v>7183.54</v>
      </c>
      <c r="G188" s="15">
        <v>4.5</v>
      </c>
      <c r="H188" s="15">
        <v>448.83</v>
      </c>
      <c r="I188" s="15">
        <v>202.9</v>
      </c>
      <c r="J188" s="15">
        <v>2.73</v>
      </c>
      <c r="K188" s="15">
        <v>0</v>
      </c>
      <c r="L188" s="15">
        <v>1227.52</v>
      </c>
      <c r="M188" s="15">
        <v>1213.27</v>
      </c>
      <c r="N188" s="15">
        <v>716.74</v>
      </c>
      <c r="O188" s="15">
        <v>10.87</v>
      </c>
      <c r="P188" s="15">
        <v>27.39</v>
      </c>
      <c r="Q188" s="15">
        <v>248.32</v>
      </c>
      <c r="R188" s="15">
        <v>3247.14</v>
      </c>
      <c r="S188" s="15">
        <v>0.44</v>
      </c>
      <c r="T188" s="15">
        <v>83.44</v>
      </c>
      <c r="U188" s="15">
        <v>58.04</v>
      </c>
      <c r="V188" s="15">
        <v>577.78</v>
      </c>
      <c r="W188" s="16">
        <v>105.74</v>
      </c>
      <c r="X188" s="19" t="str">
        <f>TEXT(Table4_1[[#This Row],[date]], "hh:mm")</f>
        <v>09:30</v>
      </c>
      <c r="Y188" s="25" t="str">
        <f t="shared" si="2"/>
        <v/>
      </c>
      <c r="Z188" s="22">
        <v>0</v>
      </c>
    </row>
    <row r="189" spans="1:26">
      <c r="A189" s="13">
        <v>45853.416666666664</v>
      </c>
      <c r="B189" s="14">
        <v>-2.91</v>
      </c>
      <c r="C189" s="15">
        <v>0</v>
      </c>
      <c r="D189" s="15">
        <v>-58.73</v>
      </c>
      <c r="E189" s="15">
        <v>789.49</v>
      </c>
      <c r="F189" s="15">
        <v>7298.68</v>
      </c>
      <c r="G189" s="15">
        <v>10.39</v>
      </c>
      <c r="H189" s="15">
        <v>449.67</v>
      </c>
      <c r="I189" s="15">
        <v>57.49</v>
      </c>
      <c r="J189" s="15">
        <v>32.299999999999997</v>
      </c>
      <c r="K189" s="15">
        <v>0</v>
      </c>
      <c r="L189" s="15">
        <v>1129.9100000000001</v>
      </c>
      <c r="M189" s="15">
        <v>1122.7</v>
      </c>
      <c r="N189" s="15">
        <v>893.4</v>
      </c>
      <c r="O189" s="15">
        <v>11.25</v>
      </c>
      <c r="P189" s="15">
        <v>19.760000000000002</v>
      </c>
      <c r="Q189" s="15">
        <v>225.24</v>
      </c>
      <c r="R189" s="15">
        <v>3302.52</v>
      </c>
      <c r="S189" s="15">
        <v>0.44</v>
      </c>
      <c r="T189" s="15">
        <v>83.59</v>
      </c>
      <c r="U189" s="15">
        <v>17.010000000000002</v>
      </c>
      <c r="V189" s="15">
        <v>580.69000000000005</v>
      </c>
      <c r="W189" s="16">
        <v>190.2</v>
      </c>
      <c r="X189" s="19" t="str">
        <f>TEXT(Table4_1[[#This Row],[date]], "hh:mm")</f>
        <v>10:00</v>
      </c>
      <c r="Y189" s="25" t="str">
        <f t="shared" si="2"/>
        <v/>
      </c>
      <c r="Z189" s="22">
        <v>0</v>
      </c>
    </row>
    <row r="190" spans="1:26">
      <c r="A190" s="13">
        <v>45853.4375</v>
      </c>
      <c r="B190" s="14">
        <v>-3.08</v>
      </c>
      <c r="C190" s="15">
        <v>0</v>
      </c>
      <c r="D190" s="15">
        <v>-187.26</v>
      </c>
      <c r="E190" s="15">
        <v>897.18</v>
      </c>
      <c r="F190" s="15">
        <v>7071.56</v>
      </c>
      <c r="G190" s="15">
        <v>13.03</v>
      </c>
      <c r="H190" s="15">
        <v>448.5</v>
      </c>
      <c r="I190" s="15">
        <v>41.71</v>
      </c>
      <c r="J190" s="15">
        <v>14.56</v>
      </c>
      <c r="K190" s="15">
        <v>0</v>
      </c>
      <c r="L190" s="15">
        <v>1128.6500000000001</v>
      </c>
      <c r="M190" s="15">
        <v>1278.72</v>
      </c>
      <c r="N190" s="15">
        <v>1046.19</v>
      </c>
      <c r="O190" s="15">
        <v>11.48</v>
      </c>
      <c r="P190" s="15">
        <v>60.92</v>
      </c>
      <c r="Q190" s="15">
        <v>261.79000000000002</v>
      </c>
      <c r="R190" s="15">
        <v>3200.2</v>
      </c>
      <c r="S190" s="15">
        <v>0.44</v>
      </c>
      <c r="T190" s="15">
        <v>83.38</v>
      </c>
      <c r="U190" s="15">
        <v>12.56</v>
      </c>
      <c r="V190" s="15">
        <v>561.13</v>
      </c>
      <c r="W190" s="16">
        <v>118.95</v>
      </c>
      <c r="X190" s="19" t="str">
        <f>TEXT(Table4_1[[#This Row],[date]], "hh:mm")</f>
        <v>10:30</v>
      </c>
      <c r="Y190" s="25" t="str">
        <f t="shared" si="2"/>
        <v/>
      </c>
      <c r="Z190" s="22">
        <v>0</v>
      </c>
    </row>
    <row r="191" spans="1:26">
      <c r="A191" s="13">
        <v>45853.458333333336</v>
      </c>
      <c r="B191" s="14">
        <v>-18</v>
      </c>
      <c r="C191" s="15">
        <v>-67.22</v>
      </c>
      <c r="D191" s="15">
        <v>-187.7</v>
      </c>
      <c r="E191" s="15">
        <v>692.13</v>
      </c>
      <c r="F191" s="15">
        <v>6796.41</v>
      </c>
      <c r="G191" s="15">
        <v>10.81</v>
      </c>
      <c r="H191" s="15">
        <v>442.17</v>
      </c>
      <c r="I191" s="15">
        <v>41.62</v>
      </c>
      <c r="J191" s="15">
        <v>186.4</v>
      </c>
      <c r="K191" s="15">
        <v>0</v>
      </c>
      <c r="L191" s="15">
        <v>1198.98</v>
      </c>
      <c r="M191" s="15">
        <v>1638.2</v>
      </c>
      <c r="N191" s="15">
        <v>1204.76</v>
      </c>
      <c r="O191" s="15">
        <v>11.68</v>
      </c>
      <c r="P191" s="15">
        <v>57.22</v>
      </c>
      <c r="Q191" s="15">
        <v>200.57</v>
      </c>
      <c r="R191" s="15">
        <v>3075.56</v>
      </c>
      <c r="S191" s="15">
        <v>0.41</v>
      </c>
      <c r="T191" s="15">
        <v>82.2</v>
      </c>
      <c r="U191" s="15">
        <v>12.53</v>
      </c>
      <c r="V191" s="15">
        <v>531.16999999999996</v>
      </c>
      <c r="W191" s="16">
        <v>100.48</v>
      </c>
      <c r="X191" s="19" t="str">
        <f>TEXT(Table4_1[[#This Row],[date]], "hh:mm")</f>
        <v>11:00</v>
      </c>
      <c r="Y191" s="25" t="str">
        <f t="shared" si="2"/>
        <v/>
      </c>
      <c r="Z191" s="22">
        <v>0</v>
      </c>
    </row>
    <row r="192" spans="1:26">
      <c r="A192" s="13">
        <v>45853.479166666664</v>
      </c>
      <c r="B192" s="14">
        <v>-36.04</v>
      </c>
      <c r="C192" s="15">
        <v>-80.680000000000007</v>
      </c>
      <c r="D192" s="15">
        <v>-208.57</v>
      </c>
      <c r="E192" s="15">
        <v>770.53</v>
      </c>
      <c r="F192" s="15">
        <v>6706.88</v>
      </c>
      <c r="G192" s="15">
        <v>8.76</v>
      </c>
      <c r="H192" s="15">
        <v>271.83</v>
      </c>
      <c r="I192" s="15">
        <v>41.34</v>
      </c>
      <c r="J192" s="15">
        <v>276.32</v>
      </c>
      <c r="K192" s="15">
        <v>0</v>
      </c>
      <c r="L192" s="15">
        <v>1211.49</v>
      </c>
      <c r="M192" s="15">
        <v>1456.71</v>
      </c>
      <c r="N192" s="15">
        <v>1330.27</v>
      </c>
      <c r="O192" s="15">
        <v>11.91</v>
      </c>
      <c r="P192" s="15">
        <v>64.209999999999994</v>
      </c>
      <c r="Q192" s="15">
        <v>219.38</v>
      </c>
      <c r="R192" s="15">
        <v>3035.64</v>
      </c>
      <c r="S192" s="15">
        <v>0.37</v>
      </c>
      <c r="T192" s="15">
        <v>50.53</v>
      </c>
      <c r="U192" s="15">
        <v>12.45</v>
      </c>
      <c r="V192" s="15">
        <v>527.54</v>
      </c>
      <c r="W192" s="16">
        <v>99.44</v>
      </c>
      <c r="X192" s="19" t="str">
        <f>TEXT(Table4_1[[#This Row],[date]], "hh:mm")</f>
        <v>11:30</v>
      </c>
      <c r="Y192" s="25" t="str">
        <f t="shared" si="2"/>
        <v/>
      </c>
      <c r="Z192" s="22">
        <v>0</v>
      </c>
    </row>
    <row r="193" spans="1:26">
      <c r="A193" s="13">
        <v>45853.5</v>
      </c>
      <c r="B193" s="14">
        <v>-171.54</v>
      </c>
      <c r="C193" s="15">
        <v>-80.61</v>
      </c>
      <c r="D193" s="15">
        <v>-262.39999999999998</v>
      </c>
      <c r="E193" s="15">
        <v>752.48</v>
      </c>
      <c r="F193" s="15">
        <v>6683.2</v>
      </c>
      <c r="G193" s="15">
        <v>10.55</v>
      </c>
      <c r="H193" s="15">
        <v>151.83000000000001</v>
      </c>
      <c r="I193" s="15">
        <v>42.69</v>
      </c>
      <c r="J193" s="15">
        <v>140.53</v>
      </c>
      <c r="K193" s="15">
        <v>0</v>
      </c>
      <c r="L193" s="15">
        <v>1184.02</v>
      </c>
      <c r="M193" s="15">
        <v>1517.83</v>
      </c>
      <c r="N193" s="15">
        <v>1531.68</v>
      </c>
      <c r="O193" s="15">
        <v>12.37</v>
      </c>
      <c r="P193" s="15">
        <v>81.36</v>
      </c>
      <c r="Q193" s="15">
        <v>215.16</v>
      </c>
      <c r="R193" s="15">
        <v>3026.7</v>
      </c>
      <c r="S193" s="15">
        <v>0.4</v>
      </c>
      <c r="T193" s="15">
        <v>28.23</v>
      </c>
      <c r="U193" s="15">
        <v>12.85</v>
      </c>
      <c r="V193" s="15">
        <v>533.58000000000004</v>
      </c>
      <c r="W193" s="16">
        <v>99.93</v>
      </c>
      <c r="X193" s="19" t="str">
        <f>TEXT(Table4_1[[#This Row],[date]], "hh:mm")</f>
        <v>12:00</v>
      </c>
      <c r="Y193" s="25" t="str">
        <f t="shared" si="2"/>
        <v/>
      </c>
      <c r="Z193" s="22">
        <v>0</v>
      </c>
    </row>
    <row r="194" spans="1:26">
      <c r="A194" s="13">
        <v>45853.520833333336</v>
      </c>
      <c r="B194" s="14">
        <v>-335.08</v>
      </c>
      <c r="C194" s="15">
        <v>-80.64</v>
      </c>
      <c r="D194" s="15">
        <v>-311.8</v>
      </c>
      <c r="E194" s="15">
        <v>725.85</v>
      </c>
      <c r="F194" s="15">
        <v>6809.4</v>
      </c>
      <c r="G194" s="15">
        <v>11.8</v>
      </c>
      <c r="H194" s="15">
        <v>199.17</v>
      </c>
      <c r="I194" s="15">
        <v>43.52</v>
      </c>
      <c r="J194" s="15">
        <v>1.1000000000000001</v>
      </c>
      <c r="K194" s="15">
        <v>0</v>
      </c>
      <c r="L194" s="15">
        <v>1205.7</v>
      </c>
      <c r="M194" s="15">
        <v>1423.55</v>
      </c>
      <c r="N194" s="15">
        <v>1862.29</v>
      </c>
      <c r="O194" s="15">
        <v>13.04</v>
      </c>
      <c r="P194" s="15">
        <v>99.96</v>
      </c>
      <c r="Q194" s="15">
        <v>205.33</v>
      </c>
      <c r="R194" s="15">
        <v>3084.84</v>
      </c>
      <c r="S194" s="15">
        <v>0.42</v>
      </c>
      <c r="T194" s="15">
        <v>37.03</v>
      </c>
      <c r="U194" s="15">
        <v>13.1</v>
      </c>
      <c r="V194" s="15">
        <v>542.70000000000005</v>
      </c>
      <c r="W194" s="16">
        <v>103.73</v>
      </c>
      <c r="X194" s="19" t="str">
        <f>TEXT(Table4_1[[#This Row],[date]], "hh:mm")</f>
        <v>12:30</v>
      </c>
      <c r="Y194" s="25" t="str">
        <f t="shared" ref="Y194:Y257" si="3">IF(AND(HOUR(A194)=0,MINUTE(A194)=0),TEXT(A194,"d mmm"),"")</f>
        <v/>
      </c>
      <c r="Z194" s="22">
        <v>0</v>
      </c>
    </row>
    <row r="195" spans="1:26">
      <c r="A195" s="13">
        <v>45853.541666666664</v>
      </c>
      <c r="B195" s="14">
        <v>-295</v>
      </c>
      <c r="C195" s="15">
        <v>-80.47</v>
      </c>
      <c r="D195" s="15">
        <v>-423.77</v>
      </c>
      <c r="E195" s="15">
        <v>594.37</v>
      </c>
      <c r="F195" s="15">
        <v>6867.09</v>
      </c>
      <c r="G195" s="15">
        <v>10.96</v>
      </c>
      <c r="H195" s="15">
        <v>190.17</v>
      </c>
      <c r="I195" s="15">
        <v>43.74</v>
      </c>
      <c r="J195" s="15">
        <v>1.71</v>
      </c>
      <c r="K195" s="15">
        <v>0</v>
      </c>
      <c r="L195" s="15">
        <v>1253.3800000000001</v>
      </c>
      <c r="M195" s="15">
        <v>1435.14</v>
      </c>
      <c r="N195" s="15">
        <v>2085.71</v>
      </c>
      <c r="O195" s="15">
        <v>13.7</v>
      </c>
      <c r="P195" s="15">
        <v>135.18</v>
      </c>
      <c r="Q195" s="15">
        <v>169.57</v>
      </c>
      <c r="R195" s="15">
        <v>3107.15</v>
      </c>
      <c r="S195" s="15">
        <v>0.4</v>
      </c>
      <c r="T195" s="15">
        <v>35.35</v>
      </c>
      <c r="U195" s="15">
        <v>13.17</v>
      </c>
      <c r="V195" s="15">
        <v>540.28</v>
      </c>
      <c r="W195" s="16">
        <v>92.31</v>
      </c>
      <c r="X195" s="19" t="str">
        <f>TEXT(Table4_1[[#This Row],[date]], "hh:mm")</f>
        <v>13:00</v>
      </c>
      <c r="Y195" s="25" t="str">
        <f t="shared" si="3"/>
        <v/>
      </c>
      <c r="Z195" s="22">
        <v>0</v>
      </c>
    </row>
    <row r="196" spans="1:26">
      <c r="A196" s="13">
        <v>45853.5625</v>
      </c>
      <c r="B196" s="14">
        <v>-142.77000000000001</v>
      </c>
      <c r="C196" s="15">
        <v>-80.540000000000006</v>
      </c>
      <c r="D196" s="15">
        <v>-420.83</v>
      </c>
      <c r="E196" s="15">
        <v>554.54</v>
      </c>
      <c r="F196" s="15">
        <v>6861.4</v>
      </c>
      <c r="G196" s="15">
        <v>8.0399999999999991</v>
      </c>
      <c r="H196" s="15">
        <v>190</v>
      </c>
      <c r="I196" s="15">
        <v>44.38</v>
      </c>
      <c r="J196" s="15">
        <v>0.14000000000000001</v>
      </c>
      <c r="K196" s="15">
        <v>0</v>
      </c>
      <c r="L196" s="15">
        <v>1200.22</v>
      </c>
      <c r="M196" s="15">
        <v>1227.99</v>
      </c>
      <c r="N196" s="15">
        <v>2080.25</v>
      </c>
      <c r="O196" s="15">
        <v>13.97</v>
      </c>
      <c r="P196" s="15">
        <v>137.79</v>
      </c>
      <c r="Q196" s="15">
        <v>159.34</v>
      </c>
      <c r="R196" s="15">
        <v>3104.53</v>
      </c>
      <c r="S196" s="15">
        <v>0.38</v>
      </c>
      <c r="T196" s="15">
        <v>35.32</v>
      </c>
      <c r="U196" s="15">
        <v>13.36</v>
      </c>
      <c r="V196" s="15">
        <v>547.36</v>
      </c>
      <c r="W196" s="16">
        <v>90.24</v>
      </c>
      <c r="X196" s="19" t="str">
        <f>TEXT(Table4_1[[#This Row],[date]], "hh:mm")</f>
        <v>13:30</v>
      </c>
      <c r="Y196" s="25" t="str">
        <f t="shared" si="3"/>
        <v/>
      </c>
      <c r="Z196" s="22">
        <v>0</v>
      </c>
    </row>
    <row r="197" spans="1:26">
      <c r="A197" s="13">
        <v>45853.583333333336</v>
      </c>
      <c r="B197" s="14">
        <v>-139.22</v>
      </c>
      <c r="C197" s="15">
        <v>-67.069999999999993</v>
      </c>
      <c r="D197" s="15">
        <v>-325.36</v>
      </c>
      <c r="E197" s="15">
        <v>470.53</v>
      </c>
      <c r="F197" s="15">
        <v>6880.14</v>
      </c>
      <c r="G197" s="15">
        <v>8.73</v>
      </c>
      <c r="H197" s="15">
        <v>190.17</v>
      </c>
      <c r="I197" s="15">
        <v>43.81</v>
      </c>
      <c r="J197" s="15">
        <v>48.38</v>
      </c>
      <c r="K197" s="15">
        <v>0</v>
      </c>
      <c r="L197" s="15">
        <v>1089.4000000000001</v>
      </c>
      <c r="M197" s="15">
        <v>1249.6300000000001</v>
      </c>
      <c r="N197" s="15">
        <v>1862.76</v>
      </c>
      <c r="O197" s="15">
        <v>14.07</v>
      </c>
      <c r="P197" s="15">
        <v>107.29</v>
      </c>
      <c r="Q197" s="15">
        <v>140.97</v>
      </c>
      <c r="R197" s="15">
        <v>3112.88</v>
      </c>
      <c r="S197" s="15">
        <v>0.36</v>
      </c>
      <c r="T197" s="15">
        <v>35.35</v>
      </c>
      <c r="U197" s="15">
        <v>13.19</v>
      </c>
      <c r="V197" s="15">
        <v>559.02</v>
      </c>
      <c r="W197" s="16">
        <v>85.68</v>
      </c>
      <c r="X197" s="19" t="str">
        <f>TEXT(Table4_1[[#This Row],[date]], "hh:mm")</f>
        <v>14:00</v>
      </c>
      <c r="Y197" s="25" t="str">
        <f t="shared" si="3"/>
        <v/>
      </c>
      <c r="Z197" s="22">
        <v>0</v>
      </c>
    </row>
    <row r="198" spans="1:26">
      <c r="A198" s="13">
        <v>45853.604166666664</v>
      </c>
      <c r="B198" s="14">
        <v>-243.01</v>
      </c>
      <c r="C198" s="15">
        <v>0</v>
      </c>
      <c r="D198" s="15">
        <v>-285.54000000000002</v>
      </c>
      <c r="E198" s="15">
        <v>585.94000000000005</v>
      </c>
      <c r="F198" s="15">
        <v>6908.09</v>
      </c>
      <c r="G198" s="15">
        <v>8.48</v>
      </c>
      <c r="H198" s="15">
        <v>190.17</v>
      </c>
      <c r="I198" s="15">
        <v>44.02</v>
      </c>
      <c r="J198" s="15">
        <v>49.75</v>
      </c>
      <c r="K198" s="15">
        <v>0</v>
      </c>
      <c r="L198" s="15">
        <v>1085.81</v>
      </c>
      <c r="M198" s="15">
        <v>1174.49</v>
      </c>
      <c r="N198" s="15">
        <v>1496.72</v>
      </c>
      <c r="O198" s="15">
        <v>14.01</v>
      </c>
      <c r="P198" s="15">
        <v>95.76</v>
      </c>
      <c r="Q198" s="15">
        <v>176.94</v>
      </c>
      <c r="R198" s="15">
        <v>3125.28</v>
      </c>
      <c r="S198" s="15">
        <v>0.36</v>
      </c>
      <c r="T198" s="15">
        <v>35.35</v>
      </c>
      <c r="U198" s="15">
        <v>13.25</v>
      </c>
      <c r="V198" s="15">
        <v>576.35</v>
      </c>
      <c r="W198" s="16">
        <v>85.72</v>
      </c>
      <c r="X198" s="19" t="str">
        <f>TEXT(Table4_1[[#This Row],[date]], "hh:mm")</f>
        <v>14:30</v>
      </c>
      <c r="Y198" s="25" t="str">
        <f t="shared" si="3"/>
        <v/>
      </c>
      <c r="Z198" s="22">
        <v>0</v>
      </c>
    </row>
    <row r="199" spans="1:26">
      <c r="A199" s="13">
        <v>45853.625</v>
      </c>
      <c r="B199" s="14">
        <v>-169.84</v>
      </c>
      <c r="C199" s="15">
        <v>0</v>
      </c>
      <c r="D199" s="15">
        <v>-1.7</v>
      </c>
      <c r="E199" s="15">
        <v>329.01</v>
      </c>
      <c r="F199" s="15">
        <v>6977.79</v>
      </c>
      <c r="G199" s="15">
        <v>8.2899999999999991</v>
      </c>
      <c r="H199" s="15">
        <v>198.17</v>
      </c>
      <c r="I199" s="15">
        <v>43.92</v>
      </c>
      <c r="J199" s="15">
        <v>18.43</v>
      </c>
      <c r="K199" s="15">
        <v>0</v>
      </c>
      <c r="L199" s="15">
        <v>1100.31</v>
      </c>
      <c r="M199" s="15">
        <v>1044.1500000000001</v>
      </c>
      <c r="N199" s="15">
        <v>1198.3900000000001</v>
      </c>
      <c r="O199" s="15">
        <v>13.9</v>
      </c>
      <c r="P199" s="15">
        <v>0.57999999999999996</v>
      </c>
      <c r="Q199" s="15">
        <v>102</v>
      </c>
      <c r="R199" s="15">
        <v>3160.29</v>
      </c>
      <c r="S199" s="15">
        <v>0.36</v>
      </c>
      <c r="T199" s="15">
        <v>36.840000000000003</v>
      </c>
      <c r="U199" s="15">
        <v>13.22</v>
      </c>
      <c r="V199" s="15">
        <v>597.51</v>
      </c>
      <c r="W199" s="16">
        <v>93.83</v>
      </c>
      <c r="X199" s="19" t="str">
        <f>TEXT(Table4_1[[#This Row],[date]], "hh:mm")</f>
        <v>15:00</v>
      </c>
      <c r="Y199" s="25" t="str">
        <f t="shared" si="3"/>
        <v/>
      </c>
      <c r="Z199" s="22">
        <v>0</v>
      </c>
    </row>
    <row r="200" spans="1:26">
      <c r="A200" s="13">
        <v>45853.645833333336</v>
      </c>
      <c r="B200" s="14">
        <v>-166.03</v>
      </c>
      <c r="C200" s="15">
        <v>0</v>
      </c>
      <c r="D200" s="15">
        <v>-22.01</v>
      </c>
      <c r="E200" s="15">
        <v>441.79</v>
      </c>
      <c r="F200" s="15">
        <v>7024.53</v>
      </c>
      <c r="G200" s="15">
        <v>8.23</v>
      </c>
      <c r="H200" s="15">
        <v>317.17</v>
      </c>
      <c r="I200" s="15">
        <v>43.44</v>
      </c>
      <c r="J200" s="15">
        <v>144.30000000000001</v>
      </c>
      <c r="K200" s="15">
        <v>48.93</v>
      </c>
      <c r="L200" s="15">
        <v>1028.5</v>
      </c>
      <c r="M200" s="15">
        <v>866.41</v>
      </c>
      <c r="N200" s="15">
        <v>916.53</v>
      </c>
      <c r="O200" s="15">
        <v>13.7</v>
      </c>
      <c r="P200" s="15">
        <v>7.56</v>
      </c>
      <c r="Q200" s="15">
        <v>141.82</v>
      </c>
      <c r="R200" s="15">
        <v>3181.98</v>
      </c>
      <c r="S200" s="15">
        <v>0.36</v>
      </c>
      <c r="T200" s="15">
        <v>58.96</v>
      </c>
      <c r="U200" s="15">
        <v>13.08</v>
      </c>
      <c r="V200" s="15">
        <v>611.04999999999995</v>
      </c>
      <c r="W200" s="16">
        <v>85.8</v>
      </c>
      <c r="X200" s="19" t="str">
        <f>TEXT(Table4_1[[#This Row],[date]], "hh:mm")</f>
        <v>15:30</v>
      </c>
      <c r="Y200" s="25" t="str">
        <f t="shared" si="3"/>
        <v/>
      </c>
      <c r="Z200" s="22">
        <v>0</v>
      </c>
    </row>
    <row r="201" spans="1:26">
      <c r="A201" s="13">
        <v>45853.666666666664</v>
      </c>
      <c r="B201" s="14">
        <v>-115.04</v>
      </c>
      <c r="C201" s="15">
        <v>0</v>
      </c>
      <c r="D201" s="15">
        <v>-14.79</v>
      </c>
      <c r="E201" s="15">
        <v>426.04</v>
      </c>
      <c r="F201" s="15">
        <v>7192.34</v>
      </c>
      <c r="G201" s="15">
        <v>5.2</v>
      </c>
      <c r="H201" s="15">
        <v>447.5</v>
      </c>
      <c r="I201" s="15">
        <v>87.34</v>
      </c>
      <c r="J201" s="15">
        <v>18.46</v>
      </c>
      <c r="K201" s="15">
        <v>369.14</v>
      </c>
      <c r="L201" s="15">
        <v>1116.44</v>
      </c>
      <c r="M201" s="15">
        <v>636.95000000000005</v>
      </c>
      <c r="N201" s="15">
        <v>585.77</v>
      </c>
      <c r="O201" s="15">
        <v>13.35</v>
      </c>
      <c r="P201" s="15">
        <v>5.04</v>
      </c>
      <c r="Q201" s="15">
        <v>140.66999999999999</v>
      </c>
      <c r="R201" s="15">
        <v>3256.93</v>
      </c>
      <c r="S201" s="15">
        <v>0.41</v>
      </c>
      <c r="T201" s="15">
        <v>83.19</v>
      </c>
      <c r="U201" s="15">
        <v>25.77</v>
      </c>
      <c r="V201" s="15">
        <v>625.98</v>
      </c>
      <c r="W201" s="16">
        <v>122.68</v>
      </c>
      <c r="X201" s="19" t="str">
        <f>TEXT(Table4_1[[#This Row],[date]], "hh:mm")</f>
        <v>16:00</v>
      </c>
      <c r="Y201" s="25" t="str">
        <f t="shared" si="3"/>
        <v/>
      </c>
      <c r="Z201" s="22">
        <v>0</v>
      </c>
    </row>
    <row r="202" spans="1:26">
      <c r="A202" s="13">
        <v>45853.6875</v>
      </c>
      <c r="B202" s="14">
        <v>-60.62</v>
      </c>
      <c r="C202" s="15">
        <v>0</v>
      </c>
      <c r="D202" s="15">
        <v>-169.46</v>
      </c>
      <c r="E202" s="15">
        <v>456.03</v>
      </c>
      <c r="F202" s="15">
        <v>7361.76</v>
      </c>
      <c r="G202" s="15">
        <v>-2.56</v>
      </c>
      <c r="H202" s="15">
        <v>450</v>
      </c>
      <c r="I202" s="15">
        <v>435.09</v>
      </c>
      <c r="J202" s="15">
        <v>126.24</v>
      </c>
      <c r="K202" s="15">
        <v>658.29</v>
      </c>
      <c r="L202" s="15">
        <v>1114.25</v>
      </c>
      <c r="M202" s="15">
        <v>384.5</v>
      </c>
      <c r="N202" s="15">
        <v>329.56</v>
      </c>
      <c r="O202" s="15">
        <v>13.12</v>
      </c>
      <c r="P202" s="15">
        <v>57.09</v>
      </c>
      <c r="Q202" s="15">
        <v>151.38999999999999</v>
      </c>
      <c r="R202" s="15">
        <v>3333.87</v>
      </c>
      <c r="S202" s="15">
        <v>0.44</v>
      </c>
      <c r="T202" s="15">
        <v>83.66</v>
      </c>
      <c r="U202" s="15">
        <v>143.53</v>
      </c>
      <c r="V202" s="15">
        <v>642.69000000000005</v>
      </c>
      <c r="W202" s="16">
        <v>137.57</v>
      </c>
      <c r="X202" s="19" t="str">
        <f>TEXT(Table4_1[[#This Row],[date]], "hh:mm")</f>
        <v>16:30</v>
      </c>
      <c r="Y202" s="25" t="str">
        <f t="shared" si="3"/>
        <v/>
      </c>
      <c r="Z202" s="22">
        <v>0</v>
      </c>
    </row>
    <row r="203" spans="1:26">
      <c r="A203" s="13">
        <v>45853.708333333336</v>
      </c>
      <c r="B203" s="14">
        <v>-96.48</v>
      </c>
      <c r="C203" s="15">
        <v>0</v>
      </c>
      <c r="D203" s="15">
        <v>-60.01</v>
      </c>
      <c r="E203" s="15">
        <v>467.9</v>
      </c>
      <c r="F203" s="15">
        <v>7430.85</v>
      </c>
      <c r="G203" s="15">
        <v>-1.78</v>
      </c>
      <c r="H203" s="15">
        <v>449.33</v>
      </c>
      <c r="I203" s="15">
        <v>861.28</v>
      </c>
      <c r="J203" s="15">
        <v>116.18</v>
      </c>
      <c r="K203" s="15">
        <v>975.56</v>
      </c>
      <c r="L203" s="15">
        <v>1027.3699999999999</v>
      </c>
      <c r="M203" s="15">
        <v>98.8</v>
      </c>
      <c r="N203" s="15">
        <v>103.2</v>
      </c>
      <c r="O203" s="15">
        <v>12.91</v>
      </c>
      <c r="P203" s="15">
        <v>20.22</v>
      </c>
      <c r="Q203" s="15">
        <v>162.29</v>
      </c>
      <c r="R203" s="15">
        <v>3364.95</v>
      </c>
      <c r="S203" s="15">
        <v>0.42</v>
      </c>
      <c r="T203" s="15">
        <v>83.53</v>
      </c>
      <c r="U203" s="15">
        <v>278.37</v>
      </c>
      <c r="V203" s="15">
        <v>655.51</v>
      </c>
      <c r="W203" s="16">
        <v>175.84</v>
      </c>
      <c r="X203" s="19" t="str">
        <f>TEXT(Table4_1[[#This Row],[date]], "hh:mm")</f>
        <v>17:00</v>
      </c>
      <c r="Y203" s="25" t="str">
        <f t="shared" si="3"/>
        <v/>
      </c>
      <c r="Z203" s="22">
        <v>0</v>
      </c>
    </row>
    <row r="204" spans="1:26">
      <c r="A204" s="13">
        <v>45853.729166666664</v>
      </c>
      <c r="B204" s="14">
        <v>-133.13999999999999</v>
      </c>
      <c r="C204" s="15">
        <v>0</v>
      </c>
      <c r="D204" s="15">
        <v>0</v>
      </c>
      <c r="E204" s="15">
        <v>569.89</v>
      </c>
      <c r="F204" s="15">
        <v>7425.79</v>
      </c>
      <c r="G204" s="15">
        <v>-2.58</v>
      </c>
      <c r="H204" s="15">
        <v>451.67</v>
      </c>
      <c r="I204" s="15">
        <v>1037.73</v>
      </c>
      <c r="J204" s="15">
        <v>186.82</v>
      </c>
      <c r="K204" s="15">
        <v>1210.01</v>
      </c>
      <c r="L204" s="15">
        <v>1008.6</v>
      </c>
      <c r="M204" s="15">
        <v>6.32</v>
      </c>
      <c r="N204" s="15">
        <v>11.91</v>
      </c>
      <c r="O204" s="15">
        <v>12.65</v>
      </c>
      <c r="P204" s="15">
        <v>0</v>
      </c>
      <c r="Q204" s="15">
        <v>209.49</v>
      </c>
      <c r="R204" s="15">
        <v>3363.85</v>
      </c>
      <c r="S204" s="15">
        <v>0.41</v>
      </c>
      <c r="T204" s="15">
        <v>83.97</v>
      </c>
      <c r="U204" s="15">
        <v>327.92</v>
      </c>
      <c r="V204" s="15">
        <v>641.49</v>
      </c>
      <c r="W204" s="16">
        <v>208.37</v>
      </c>
      <c r="X204" s="19" t="str">
        <f>TEXT(Table4_1[[#This Row],[date]], "hh:mm")</f>
        <v>17:30</v>
      </c>
      <c r="Y204" s="25" t="str">
        <f t="shared" si="3"/>
        <v/>
      </c>
      <c r="Z204" s="22">
        <v>0</v>
      </c>
    </row>
    <row r="205" spans="1:26">
      <c r="A205" s="13">
        <v>45853.75</v>
      </c>
      <c r="B205" s="14">
        <v>-5.15</v>
      </c>
      <c r="C205" s="15">
        <v>0</v>
      </c>
      <c r="D205" s="15">
        <v>0</v>
      </c>
      <c r="E205" s="15">
        <v>1059.2</v>
      </c>
      <c r="F205" s="15">
        <v>7285.92</v>
      </c>
      <c r="G205" s="15">
        <v>-2.46</v>
      </c>
      <c r="H205" s="15">
        <v>450.33</v>
      </c>
      <c r="I205" s="15">
        <v>1035.6199999999999</v>
      </c>
      <c r="J205" s="15">
        <v>172.06</v>
      </c>
      <c r="K205" s="15">
        <v>1262.2</v>
      </c>
      <c r="L205" s="15">
        <v>1065.6500000000001</v>
      </c>
      <c r="M205" s="15">
        <v>0.03</v>
      </c>
      <c r="N205" s="15">
        <v>0.11</v>
      </c>
      <c r="O205" s="15">
        <v>12.59</v>
      </c>
      <c r="P205" s="15">
        <v>0</v>
      </c>
      <c r="Q205" s="15">
        <v>379.8</v>
      </c>
      <c r="R205" s="15">
        <v>3301.45</v>
      </c>
      <c r="S205" s="15">
        <v>0.41</v>
      </c>
      <c r="T205" s="15">
        <v>83.72</v>
      </c>
      <c r="U205" s="15">
        <v>327.14</v>
      </c>
      <c r="V205" s="15">
        <v>602.54</v>
      </c>
      <c r="W205" s="16">
        <v>269.77999999999997</v>
      </c>
      <c r="X205" s="19" t="str">
        <f>TEXT(Table4_1[[#This Row],[date]], "hh:mm")</f>
        <v>18:00</v>
      </c>
      <c r="Y205" s="25" t="str">
        <f t="shared" si="3"/>
        <v/>
      </c>
      <c r="Z205" s="22">
        <v>0</v>
      </c>
    </row>
    <row r="206" spans="1:26">
      <c r="A206" s="13">
        <v>45853.770833333336</v>
      </c>
      <c r="B206" s="14">
        <v>-5.62</v>
      </c>
      <c r="C206" s="15">
        <v>0</v>
      </c>
      <c r="D206" s="15">
        <v>0</v>
      </c>
      <c r="E206" s="15">
        <v>1077.56</v>
      </c>
      <c r="F206" s="15">
        <v>7043.9</v>
      </c>
      <c r="G206" s="15">
        <v>-1.97</v>
      </c>
      <c r="H206" s="15">
        <v>451.83</v>
      </c>
      <c r="I206" s="15">
        <v>1038.24</v>
      </c>
      <c r="J206" s="15">
        <v>228.5</v>
      </c>
      <c r="K206" s="15">
        <v>1389.42</v>
      </c>
      <c r="L206" s="15">
        <v>1164.3399999999999</v>
      </c>
      <c r="M206" s="15">
        <v>0.03</v>
      </c>
      <c r="N206" s="15">
        <v>0</v>
      </c>
      <c r="O206" s="15">
        <v>12.5</v>
      </c>
      <c r="P206" s="15">
        <v>0</v>
      </c>
      <c r="Q206" s="15">
        <v>387.46</v>
      </c>
      <c r="R206" s="15">
        <v>3192.78</v>
      </c>
      <c r="S206" s="15">
        <v>0.41</v>
      </c>
      <c r="T206" s="15">
        <v>84</v>
      </c>
      <c r="U206" s="15">
        <v>328.07</v>
      </c>
      <c r="V206" s="15">
        <v>582.14</v>
      </c>
      <c r="W206" s="16">
        <v>203.88</v>
      </c>
      <c r="X206" s="19" t="str">
        <f>TEXT(Table4_1[[#This Row],[date]], "hh:mm")</f>
        <v>18:30</v>
      </c>
      <c r="Y206" s="25" t="str">
        <f t="shared" si="3"/>
        <v/>
      </c>
      <c r="Z206" s="22">
        <v>0</v>
      </c>
    </row>
    <row r="207" spans="1:26">
      <c r="A207" s="13">
        <v>45853.791666666664</v>
      </c>
      <c r="B207" s="14">
        <v>-6.27</v>
      </c>
      <c r="C207" s="15">
        <v>0</v>
      </c>
      <c r="D207" s="15">
        <v>0</v>
      </c>
      <c r="E207" s="15">
        <v>1066.77</v>
      </c>
      <c r="F207" s="15">
        <v>7031.93</v>
      </c>
      <c r="G207" s="15">
        <v>-2.2599999999999998</v>
      </c>
      <c r="H207" s="15">
        <v>450.83</v>
      </c>
      <c r="I207" s="15">
        <v>1037.17</v>
      </c>
      <c r="J207" s="15">
        <v>115.27</v>
      </c>
      <c r="K207" s="15">
        <v>1339.39</v>
      </c>
      <c r="L207" s="15">
        <v>1239.46</v>
      </c>
      <c r="M207" s="15">
        <v>0.03</v>
      </c>
      <c r="N207" s="15">
        <v>0</v>
      </c>
      <c r="O207" s="15">
        <v>12.31</v>
      </c>
      <c r="P207" s="15">
        <v>0</v>
      </c>
      <c r="Q207" s="15">
        <v>379.13</v>
      </c>
      <c r="R207" s="15">
        <v>3186.75</v>
      </c>
      <c r="S207" s="15">
        <v>0.42</v>
      </c>
      <c r="T207" s="15">
        <v>83.81</v>
      </c>
      <c r="U207" s="15">
        <v>327.58999999999997</v>
      </c>
      <c r="V207" s="15">
        <v>586.45000000000005</v>
      </c>
      <c r="W207" s="16">
        <v>153.72</v>
      </c>
      <c r="X207" s="19" t="str">
        <f>TEXT(Table4_1[[#This Row],[date]], "hh:mm")</f>
        <v>19:00</v>
      </c>
      <c r="Y207" s="25" t="str">
        <f t="shared" si="3"/>
        <v/>
      </c>
      <c r="Z207" s="22">
        <v>0</v>
      </c>
    </row>
    <row r="208" spans="1:26">
      <c r="A208" s="13">
        <v>45853.8125</v>
      </c>
      <c r="B208" s="14">
        <v>-17.82</v>
      </c>
      <c r="C208" s="15">
        <v>0</v>
      </c>
      <c r="D208" s="15">
        <v>0</v>
      </c>
      <c r="E208" s="15">
        <v>1049.43</v>
      </c>
      <c r="F208" s="15">
        <v>7010.03</v>
      </c>
      <c r="G208" s="15">
        <v>-1.56</v>
      </c>
      <c r="H208" s="15">
        <v>450.83</v>
      </c>
      <c r="I208" s="15">
        <v>1036</v>
      </c>
      <c r="J208" s="15">
        <v>26.49</v>
      </c>
      <c r="K208" s="15">
        <v>1225.48</v>
      </c>
      <c r="L208" s="15">
        <v>1337.7</v>
      </c>
      <c r="M208" s="15">
        <v>0.03</v>
      </c>
      <c r="N208" s="15">
        <v>0</v>
      </c>
      <c r="O208" s="15">
        <v>12.01</v>
      </c>
      <c r="P208" s="15">
        <v>0</v>
      </c>
      <c r="Q208" s="15">
        <v>367.82</v>
      </c>
      <c r="R208" s="15">
        <v>3177.02</v>
      </c>
      <c r="S208" s="15">
        <v>0.43</v>
      </c>
      <c r="T208" s="15">
        <v>83.81</v>
      </c>
      <c r="U208" s="15">
        <v>327.32</v>
      </c>
      <c r="V208" s="15">
        <v>592.34</v>
      </c>
      <c r="W208" s="16">
        <v>193.27</v>
      </c>
      <c r="X208" s="19" t="str">
        <f>TEXT(Table4_1[[#This Row],[date]], "hh:mm")</f>
        <v>19:30</v>
      </c>
      <c r="Y208" s="25" t="str">
        <f t="shared" si="3"/>
        <v/>
      </c>
      <c r="Z208" s="22">
        <v>0</v>
      </c>
    </row>
    <row r="209" spans="1:26">
      <c r="A209" s="13">
        <v>45853.833333333336</v>
      </c>
      <c r="B209" s="14">
        <v>-12.74</v>
      </c>
      <c r="C209" s="15">
        <v>0</v>
      </c>
      <c r="D209" s="15">
        <v>0</v>
      </c>
      <c r="E209" s="15">
        <v>996.45</v>
      </c>
      <c r="F209" s="15">
        <v>6974.25</v>
      </c>
      <c r="G209" s="15">
        <v>-2.63</v>
      </c>
      <c r="H209" s="15">
        <v>453</v>
      </c>
      <c r="I209" s="15">
        <v>1028.56</v>
      </c>
      <c r="J209" s="15">
        <v>2.1800000000000002</v>
      </c>
      <c r="K209" s="15">
        <v>1143.6500000000001</v>
      </c>
      <c r="L209" s="15">
        <v>1383.15</v>
      </c>
      <c r="M209" s="15">
        <v>0.03</v>
      </c>
      <c r="N209" s="15">
        <v>0</v>
      </c>
      <c r="O209" s="15">
        <v>11.55</v>
      </c>
      <c r="P209" s="15">
        <v>0</v>
      </c>
      <c r="Q209" s="15">
        <v>348.18</v>
      </c>
      <c r="R209" s="15">
        <v>3161.09</v>
      </c>
      <c r="S209" s="15">
        <v>0.42</v>
      </c>
      <c r="T209" s="15">
        <v>84.21</v>
      </c>
      <c r="U209" s="15">
        <v>325.5</v>
      </c>
      <c r="V209" s="15">
        <v>596.9</v>
      </c>
      <c r="W209" s="16">
        <v>146.05000000000001</v>
      </c>
      <c r="X209" s="19" t="str">
        <f>TEXT(Table4_1[[#This Row],[date]], "hh:mm")</f>
        <v>20:00</v>
      </c>
      <c r="Y209" s="25" t="str">
        <f t="shared" si="3"/>
        <v/>
      </c>
      <c r="Z209" s="22">
        <v>0</v>
      </c>
    </row>
    <row r="210" spans="1:26">
      <c r="A210" s="13">
        <v>45853.854166666664</v>
      </c>
      <c r="B210" s="14">
        <v>-8.18</v>
      </c>
      <c r="C210" s="15">
        <v>0</v>
      </c>
      <c r="D210" s="15">
        <v>0</v>
      </c>
      <c r="E210" s="15">
        <v>959.99</v>
      </c>
      <c r="F210" s="15">
        <v>7001.03</v>
      </c>
      <c r="G210" s="15">
        <v>-2.11</v>
      </c>
      <c r="H210" s="15">
        <v>454.33</v>
      </c>
      <c r="I210" s="15">
        <v>1028.19</v>
      </c>
      <c r="J210" s="15">
        <v>51.99</v>
      </c>
      <c r="K210" s="15">
        <v>1059.47</v>
      </c>
      <c r="L210" s="15">
        <v>1214.76</v>
      </c>
      <c r="M210" s="15">
        <v>0.03</v>
      </c>
      <c r="N210" s="15">
        <v>0</v>
      </c>
      <c r="O210" s="15">
        <v>11.14</v>
      </c>
      <c r="P210" s="15">
        <v>0</v>
      </c>
      <c r="Q210" s="15">
        <v>330.18</v>
      </c>
      <c r="R210" s="15">
        <v>3174.39</v>
      </c>
      <c r="S210" s="15">
        <v>0.43</v>
      </c>
      <c r="T210" s="15">
        <v>84.46</v>
      </c>
      <c r="U210" s="15">
        <v>325.42</v>
      </c>
      <c r="V210" s="15">
        <v>609.66999999999996</v>
      </c>
      <c r="W210" s="16">
        <v>128.78</v>
      </c>
      <c r="X210" s="19" t="str">
        <f>TEXT(Table4_1[[#This Row],[date]], "hh:mm")</f>
        <v>20:30</v>
      </c>
      <c r="Y210" s="25" t="str">
        <f t="shared" si="3"/>
        <v/>
      </c>
      <c r="Z210" s="22">
        <v>0</v>
      </c>
    </row>
    <row r="211" spans="1:26">
      <c r="A211" s="13">
        <v>45853.875</v>
      </c>
      <c r="B211" s="14">
        <v>-6.76</v>
      </c>
      <c r="C211" s="15">
        <v>0</v>
      </c>
      <c r="D211" s="15">
        <v>0</v>
      </c>
      <c r="E211" s="15">
        <v>823.84</v>
      </c>
      <c r="F211" s="15">
        <v>6981.95</v>
      </c>
      <c r="G211" s="15">
        <v>-2.66</v>
      </c>
      <c r="H211" s="15">
        <v>454.33</v>
      </c>
      <c r="I211" s="15">
        <v>998.64</v>
      </c>
      <c r="J211" s="15">
        <v>38.4</v>
      </c>
      <c r="K211" s="15">
        <v>927.6</v>
      </c>
      <c r="L211" s="15">
        <v>1100</v>
      </c>
      <c r="M211" s="15">
        <v>0.03</v>
      </c>
      <c r="N211" s="15">
        <v>0</v>
      </c>
      <c r="O211" s="15">
        <v>10.84</v>
      </c>
      <c r="P211" s="15">
        <v>0</v>
      </c>
      <c r="Q211" s="15">
        <v>284.25</v>
      </c>
      <c r="R211" s="15">
        <v>3165.74</v>
      </c>
      <c r="S211" s="15">
        <v>0.4</v>
      </c>
      <c r="T211" s="15">
        <v>84.46</v>
      </c>
      <c r="U211" s="15">
        <v>314.93</v>
      </c>
      <c r="V211" s="15">
        <v>630.21</v>
      </c>
      <c r="W211" s="16">
        <v>153.12</v>
      </c>
      <c r="X211" s="19" t="str">
        <f>TEXT(Table4_1[[#This Row],[date]], "hh:mm")</f>
        <v>21:00</v>
      </c>
      <c r="Y211" s="25" t="str">
        <f t="shared" si="3"/>
        <v/>
      </c>
      <c r="Z211" s="22">
        <v>0</v>
      </c>
    </row>
    <row r="212" spans="1:26">
      <c r="A212" s="13">
        <v>45853.895833333336</v>
      </c>
      <c r="B212" s="14">
        <v>-13.72</v>
      </c>
      <c r="C212" s="15">
        <v>0</v>
      </c>
      <c r="D212" s="15">
        <v>0</v>
      </c>
      <c r="E212" s="15">
        <v>826.52</v>
      </c>
      <c r="F212" s="15">
        <v>6969.56</v>
      </c>
      <c r="G212" s="15">
        <v>-2.46</v>
      </c>
      <c r="H212" s="15">
        <v>453</v>
      </c>
      <c r="I212" s="15">
        <v>656.22</v>
      </c>
      <c r="J212" s="15">
        <v>9.33</v>
      </c>
      <c r="K212" s="15">
        <v>870.78</v>
      </c>
      <c r="L212" s="15">
        <v>983.93</v>
      </c>
      <c r="M212" s="15">
        <v>0.03</v>
      </c>
      <c r="N212" s="15">
        <v>0</v>
      </c>
      <c r="O212" s="15">
        <v>10.7</v>
      </c>
      <c r="P212" s="15">
        <v>0</v>
      </c>
      <c r="Q212" s="15">
        <v>282.54000000000002</v>
      </c>
      <c r="R212" s="15">
        <v>3160.4</v>
      </c>
      <c r="S212" s="15">
        <v>0.43</v>
      </c>
      <c r="T212" s="15">
        <v>84.21</v>
      </c>
      <c r="U212" s="15">
        <v>187.15</v>
      </c>
      <c r="V212" s="15">
        <v>638.36</v>
      </c>
      <c r="W212" s="16">
        <v>163.04</v>
      </c>
      <c r="X212" s="19" t="str">
        <f>TEXT(Table4_1[[#This Row],[date]], "hh:mm")</f>
        <v>21:30</v>
      </c>
      <c r="Y212" s="25" t="str">
        <f t="shared" si="3"/>
        <v/>
      </c>
      <c r="Z212" s="22">
        <v>0</v>
      </c>
    </row>
    <row r="213" spans="1:26">
      <c r="A213" s="13">
        <v>45853.916666666664</v>
      </c>
      <c r="B213" s="14">
        <v>-14.12</v>
      </c>
      <c r="C213" s="15">
        <v>0</v>
      </c>
      <c r="D213" s="15">
        <v>0</v>
      </c>
      <c r="E213" s="15">
        <v>839.63</v>
      </c>
      <c r="F213" s="15">
        <v>6924.38</v>
      </c>
      <c r="G213" s="15">
        <v>-1.59</v>
      </c>
      <c r="H213" s="15">
        <v>430.83</v>
      </c>
      <c r="I213" s="15">
        <v>551.91999999999996</v>
      </c>
      <c r="J213" s="15">
        <v>0.96</v>
      </c>
      <c r="K213" s="15">
        <v>623.46</v>
      </c>
      <c r="L213" s="15">
        <v>917.71</v>
      </c>
      <c r="M213" s="15">
        <v>0.03</v>
      </c>
      <c r="N213" s="15">
        <v>0</v>
      </c>
      <c r="O213" s="15">
        <v>10.5</v>
      </c>
      <c r="P213" s="15">
        <v>0</v>
      </c>
      <c r="Q213" s="15">
        <v>286.86</v>
      </c>
      <c r="R213" s="15">
        <v>3139.14</v>
      </c>
      <c r="S213" s="15">
        <v>0.42</v>
      </c>
      <c r="T213" s="15">
        <v>80.09</v>
      </c>
      <c r="U213" s="15">
        <v>156.54</v>
      </c>
      <c r="V213" s="15">
        <v>657.28</v>
      </c>
      <c r="W213" s="16">
        <v>119.99</v>
      </c>
      <c r="X213" s="19" t="str">
        <f>TEXT(Table4_1[[#This Row],[date]], "hh:mm")</f>
        <v>22:00</v>
      </c>
      <c r="Y213" s="25" t="str">
        <f t="shared" si="3"/>
        <v/>
      </c>
      <c r="Z213" s="22">
        <v>0</v>
      </c>
    </row>
    <row r="214" spans="1:26">
      <c r="A214" s="13">
        <v>45853.9375</v>
      </c>
      <c r="B214" s="14">
        <v>-7.64</v>
      </c>
      <c r="C214" s="15">
        <v>0</v>
      </c>
      <c r="D214" s="15">
        <v>0</v>
      </c>
      <c r="E214" s="15">
        <v>789.57</v>
      </c>
      <c r="F214" s="15">
        <v>6895.02</v>
      </c>
      <c r="G214" s="15">
        <v>-2.08</v>
      </c>
      <c r="H214" s="15">
        <v>455</v>
      </c>
      <c r="I214" s="15">
        <v>334.57</v>
      </c>
      <c r="J214" s="15">
        <v>88.99</v>
      </c>
      <c r="K214" s="15">
        <v>600.72</v>
      </c>
      <c r="L214" s="15">
        <v>828.47</v>
      </c>
      <c r="M214" s="15">
        <v>0.03</v>
      </c>
      <c r="N214" s="15">
        <v>0</v>
      </c>
      <c r="O214" s="15">
        <v>10.14</v>
      </c>
      <c r="P214" s="15">
        <v>0</v>
      </c>
      <c r="Q214" s="15">
        <v>268.52</v>
      </c>
      <c r="R214" s="15">
        <v>3124.56</v>
      </c>
      <c r="S214" s="15">
        <v>0.41</v>
      </c>
      <c r="T214" s="15">
        <v>84.58</v>
      </c>
      <c r="U214" s="15">
        <v>95.23</v>
      </c>
      <c r="V214" s="15">
        <v>662.11</v>
      </c>
      <c r="W214" s="16">
        <v>158.80000000000001</v>
      </c>
      <c r="X214" s="19" t="str">
        <f>TEXT(Table4_1[[#This Row],[date]], "hh:mm")</f>
        <v>22:30</v>
      </c>
      <c r="Y214" s="25" t="str">
        <f t="shared" si="3"/>
        <v/>
      </c>
      <c r="Z214" s="22">
        <v>0</v>
      </c>
    </row>
    <row r="215" spans="1:26">
      <c r="A215" s="13">
        <v>45853.958333333336</v>
      </c>
      <c r="B215" s="14">
        <v>-11.04</v>
      </c>
      <c r="C215" s="15">
        <v>0</v>
      </c>
      <c r="D215" s="15">
        <v>0</v>
      </c>
      <c r="E215" s="15">
        <v>788.15</v>
      </c>
      <c r="F215" s="15">
        <v>6891.76</v>
      </c>
      <c r="G215" s="15">
        <v>-1.45</v>
      </c>
      <c r="H215" s="15">
        <v>422.83</v>
      </c>
      <c r="I215" s="15">
        <v>67.81</v>
      </c>
      <c r="J215" s="15">
        <v>19.87</v>
      </c>
      <c r="K215" s="15">
        <v>538.44000000000005</v>
      </c>
      <c r="L215" s="15">
        <v>879.75</v>
      </c>
      <c r="M215" s="15">
        <v>0.03</v>
      </c>
      <c r="N215" s="15">
        <v>0</v>
      </c>
      <c r="O215" s="15">
        <v>9.84</v>
      </c>
      <c r="P215" s="15">
        <v>0</v>
      </c>
      <c r="Q215" s="15">
        <v>265.55</v>
      </c>
      <c r="R215" s="15">
        <v>3123.02</v>
      </c>
      <c r="S215" s="15">
        <v>0.43</v>
      </c>
      <c r="T215" s="15">
        <v>78.599999999999994</v>
      </c>
      <c r="U215" s="15">
        <v>19.989999999999998</v>
      </c>
      <c r="V215" s="15">
        <v>671.53</v>
      </c>
      <c r="W215" s="16">
        <v>142</v>
      </c>
      <c r="X215" s="19" t="str">
        <f>TEXT(Table4_1[[#This Row],[date]], "hh:mm")</f>
        <v>23:00</v>
      </c>
      <c r="Y215" s="25" t="str">
        <f t="shared" si="3"/>
        <v/>
      </c>
      <c r="Z215" s="22">
        <v>0</v>
      </c>
    </row>
    <row r="216" spans="1:26">
      <c r="A216" s="13">
        <v>45853.979166666664</v>
      </c>
      <c r="B216" s="14">
        <v>-8.8000000000000007</v>
      </c>
      <c r="C216" s="15">
        <v>0</v>
      </c>
      <c r="D216" s="15">
        <v>0</v>
      </c>
      <c r="E216" s="15">
        <v>786.67</v>
      </c>
      <c r="F216" s="15">
        <v>6848.61</v>
      </c>
      <c r="G216" s="15">
        <v>-2.06</v>
      </c>
      <c r="H216" s="15">
        <v>302.17</v>
      </c>
      <c r="I216" s="15">
        <v>45.33</v>
      </c>
      <c r="J216" s="15">
        <v>0.57999999999999996</v>
      </c>
      <c r="K216" s="15">
        <v>372.84</v>
      </c>
      <c r="L216" s="15">
        <v>979.2</v>
      </c>
      <c r="M216" s="15">
        <v>0.03</v>
      </c>
      <c r="N216" s="15">
        <v>0</v>
      </c>
      <c r="O216" s="15">
        <v>9.6999999999999993</v>
      </c>
      <c r="P216" s="15">
        <v>0</v>
      </c>
      <c r="Q216" s="15">
        <v>262.47000000000003</v>
      </c>
      <c r="R216" s="15">
        <v>3103.31</v>
      </c>
      <c r="S216" s="15">
        <v>0.41</v>
      </c>
      <c r="T216" s="15">
        <v>56.17</v>
      </c>
      <c r="U216" s="15">
        <v>13.65</v>
      </c>
      <c r="V216" s="15">
        <v>680.68</v>
      </c>
      <c r="W216" s="16">
        <v>87.28</v>
      </c>
      <c r="X216" s="19" t="str">
        <f>TEXT(Table4_1[[#This Row],[date]], "hh:mm")</f>
        <v>23:30</v>
      </c>
      <c r="Y216" s="25" t="str">
        <f t="shared" si="3"/>
        <v/>
      </c>
      <c r="Z216" s="22">
        <v>0</v>
      </c>
    </row>
    <row r="217" spans="1:26">
      <c r="A217" s="13">
        <v>45854</v>
      </c>
      <c r="B217" s="14">
        <v>-48.46</v>
      </c>
      <c r="C217" s="15">
        <v>0</v>
      </c>
      <c r="D217" s="15">
        <v>0</v>
      </c>
      <c r="E217" s="15">
        <v>782.11</v>
      </c>
      <c r="F217" s="15">
        <v>6764.92</v>
      </c>
      <c r="G217" s="15">
        <v>-2.4500000000000002</v>
      </c>
      <c r="H217" s="15">
        <v>291</v>
      </c>
      <c r="I217" s="15">
        <v>45.1</v>
      </c>
      <c r="J217" s="15">
        <v>1.87</v>
      </c>
      <c r="K217" s="15">
        <v>302.93</v>
      </c>
      <c r="L217" s="15">
        <v>933.73</v>
      </c>
      <c r="M217" s="15">
        <v>0.03</v>
      </c>
      <c r="N217" s="15">
        <v>0</v>
      </c>
      <c r="O217" s="15">
        <v>9.52</v>
      </c>
      <c r="P217" s="15">
        <v>0</v>
      </c>
      <c r="Q217" s="15">
        <v>257.55</v>
      </c>
      <c r="R217" s="15">
        <v>3066.23</v>
      </c>
      <c r="S217" s="15">
        <v>0.41</v>
      </c>
      <c r="T217" s="15">
        <v>54.1</v>
      </c>
      <c r="U217" s="15">
        <v>13.58</v>
      </c>
      <c r="V217" s="15">
        <v>691.08</v>
      </c>
      <c r="W217" s="16">
        <v>80.03</v>
      </c>
      <c r="X217" s="19" t="str">
        <f>TEXT(Table4_1[[#This Row],[date]], "hh:mm")</f>
        <v>00:00</v>
      </c>
      <c r="Y217" s="25" t="str">
        <f t="shared" si="3"/>
        <v>16 Jul</v>
      </c>
      <c r="Z217" s="22">
        <v>0</v>
      </c>
    </row>
    <row r="218" spans="1:26">
      <c r="A218" s="13">
        <v>45854.020833333336</v>
      </c>
      <c r="B218" s="14">
        <v>-11.98</v>
      </c>
      <c r="C218" s="15">
        <v>-67.36</v>
      </c>
      <c r="D218" s="15">
        <v>0</v>
      </c>
      <c r="E218" s="15">
        <v>856.85</v>
      </c>
      <c r="F218" s="15">
        <v>6589.13</v>
      </c>
      <c r="G218" s="15">
        <v>-0.92</v>
      </c>
      <c r="H218" s="15">
        <v>194</v>
      </c>
      <c r="I218" s="15">
        <v>44.54</v>
      </c>
      <c r="J218" s="15">
        <v>0.11</v>
      </c>
      <c r="K218" s="15">
        <v>226.89</v>
      </c>
      <c r="L218" s="15">
        <v>954.46</v>
      </c>
      <c r="M218" s="15">
        <v>0.03</v>
      </c>
      <c r="N218" s="15">
        <v>0</v>
      </c>
      <c r="O218" s="15">
        <v>9.32</v>
      </c>
      <c r="P218" s="15">
        <v>0</v>
      </c>
      <c r="Q218" s="15">
        <v>282.08</v>
      </c>
      <c r="R218" s="15">
        <v>2987.85</v>
      </c>
      <c r="S218" s="15">
        <v>0.44</v>
      </c>
      <c r="T218" s="15">
        <v>36.06</v>
      </c>
      <c r="U218" s="15">
        <v>13.41</v>
      </c>
      <c r="V218" s="15">
        <v>691.52</v>
      </c>
      <c r="W218" s="16">
        <v>83.72</v>
      </c>
      <c r="X218" s="19" t="str">
        <f>TEXT(Table4_1[[#This Row],[date]], "hh:mm")</f>
        <v>00:30</v>
      </c>
      <c r="Y218" s="25" t="str">
        <f t="shared" si="3"/>
        <v/>
      </c>
      <c r="Z218" s="22">
        <v>0</v>
      </c>
    </row>
    <row r="219" spans="1:26">
      <c r="A219" s="13">
        <v>45854.041666666664</v>
      </c>
      <c r="B219" s="14">
        <v>-43.37</v>
      </c>
      <c r="C219" s="15">
        <v>-80.8</v>
      </c>
      <c r="D219" s="15">
        <v>0</v>
      </c>
      <c r="E219" s="15">
        <v>940.09</v>
      </c>
      <c r="F219" s="15">
        <v>6365.28</v>
      </c>
      <c r="G219" s="15">
        <v>-0.75</v>
      </c>
      <c r="H219" s="15">
        <v>190</v>
      </c>
      <c r="I219" s="15">
        <v>44.21</v>
      </c>
      <c r="J219" s="15">
        <v>1.17</v>
      </c>
      <c r="K219" s="15">
        <v>74.290000000000006</v>
      </c>
      <c r="L219" s="15">
        <v>985.39</v>
      </c>
      <c r="M219" s="15">
        <v>0.03</v>
      </c>
      <c r="N219" s="15">
        <v>0</v>
      </c>
      <c r="O219" s="15">
        <v>9.14</v>
      </c>
      <c r="P219" s="15">
        <v>0</v>
      </c>
      <c r="Q219" s="15">
        <v>307.88</v>
      </c>
      <c r="R219" s="15">
        <v>2887.8</v>
      </c>
      <c r="S219" s="15">
        <v>0.45</v>
      </c>
      <c r="T219" s="15">
        <v>35.32</v>
      </c>
      <c r="U219" s="15">
        <v>13.31</v>
      </c>
      <c r="V219" s="15">
        <v>693.03</v>
      </c>
      <c r="W219" s="16">
        <v>75.25</v>
      </c>
      <c r="X219" s="19" t="str">
        <f>TEXT(Table4_1[[#This Row],[date]], "hh:mm")</f>
        <v>01:00</v>
      </c>
      <c r="Y219" s="25" t="str">
        <f t="shared" si="3"/>
        <v/>
      </c>
      <c r="Z219" s="22">
        <v>0</v>
      </c>
    </row>
    <row r="220" spans="1:26">
      <c r="A220" s="13">
        <v>45854.0625</v>
      </c>
      <c r="B220" s="14">
        <v>-106.28</v>
      </c>
      <c r="C220" s="15">
        <v>-80.760000000000005</v>
      </c>
      <c r="D220" s="15">
        <v>0</v>
      </c>
      <c r="E220" s="15">
        <v>911.07</v>
      </c>
      <c r="F220" s="15">
        <v>6234.07</v>
      </c>
      <c r="G220" s="15">
        <v>-2.37</v>
      </c>
      <c r="H220" s="15">
        <v>189.83</v>
      </c>
      <c r="I220" s="15">
        <v>42.96</v>
      </c>
      <c r="J220" s="15">
        <v>3.33</v>
      </c>
      <c r="K220" s="15">
        <v>76.22</v>
      </c>
      <c r="L220" s="15">
        <v>1041.4000000000001</v>
      </c>
      <c r="M220" s="15">
        <v>0.03</v>
      </c>
      <c r="N220" s="15">
        <v>0</v>
      </c>
      <c r="O220" s="15">
        <v>9.16</v>
      </c>
      <c r="P220" s="15">
        <v>0</v>
      </c>
      <c r="Q220" s="15">
        <v>303.41000000000003</v>
      </c>
      <c r="R220" s="15">
        <v>2827.98</v>
      </c>
      <c r="S220" s="15">
        <v>0.42</v>
      </c>
      <c r="T220" s="15">
        <v>35.29</v>
      </c>
      <c r="U220" s="15">
        <v>12.94</v>
      </c>
      <c r="V220" s="15">
        <v>692.37</v>
      </c>
      <c r="W220" s="16">
        <v>76.58</v>
      </c>
      <c r="X220" s="19" t="str">
        <f>TEXT(Table4_1[[#This Row],[date]], "hh:mm")</f>
        <v>01:30</v>
      </c>
      <c r="Y220" s="25" t="str">
        <f t="shared" si="3"/>
        <v/>
      </c>
      <c r="Z220" s="22">
        <v>0</v>
      </c>
    </row>
    <row r="221" spans="1:26">
      <c r="A221" s="13">
        <v>45854.083333333336</v>
      </c>
      <c r="B221" s="14">
        <v>-123.26</v>
      </c>
      <c r="C221" s="15">
        <v>-80.78</v>
      </c>
      <c r="D221" s="15">
        <v>0</v>
      </c>
      <c r="E221" s="15">
        <v>940.03</v>
      </c>
      <c r="F221" s="15">
        <v>6096.22</v>
      </c>
      <c r="G221" s="15">
        <v>-4.2699999999999996</v>
      </c>
      <c r="H221" s="15">
        <v>190</v>
      </c>
      <c r="I221" s="15">
        <v>43</v>
      </c>
      <c r="J221" s="15">
        <v>3.31</v>
      </c>
      <c r="K221" s="15">
        <v>59.41</v>
      </c>
      <c r="L221" s="15">
        <v>1014.4</v>
      </c>
      <c r="M221" s="15">
        <v>0.03</v>
      </c>
      <c r="N221" s="15">
        <v>0</v>
      </c>
      <c r="O221" s="15">
        <v>8.94</v>
      </c>
      <c r="P221" s="15">
        <v>0</v>
      </c>
      <c r="Q221" s="15">
        <v>311.58999999999997</v>
      </c>
      <c r="R221" s="15">
        <v>2762.77</v>
      </c>
      <c r="S221" s="15">
        <v>0.41</v>
      </c>
      <c r="T221" s="15">
        <v>35.32</v>
      </c>
      <c r="U221" s="15">
        <v>12.95</v>
      </c>
      <c r="V221" s="15">
        <v>690.94</v>
      </c>
      <c r="W221" s="16">
        <v>60.26</v>
      </c>
      <c r="X221" s="19" t="str">
        <f>TEXT(Table4_1[[#This Row],[date]], "hh:mm")</f>
        <v>02:00</v>
      </c>
      <c r="Y221" s="25" t="str">
        <f t="shared" si="3"/>
        <v/>
      </c>
      <c r="Z221" s="22">
        <v>0</v>
      </c>
    </row>
    <row r="222" spans="1:26">
      <c r="A222" s="13">
        <v>45854.104166666664</v>
      </c>
      <c r="B222" s="14">
        <v>-90.15</v>
      </c>
      <c r="C222" s="15">
        <v>-80.78</v>
      </c>
      <c r="D222" s="15">
        <v>0</v>
      </c>
      <c r="E222" s="15">
        <v>888.7</v>
      </c>
      <c r="F222" s="15">
        <v>6098.62</v>
      </c>
      <c r="G222" s="15">
        <v>-4.49</v>
      </c>
      <c r="H222" s="15">
        <v>190.33</v>
      </c>
      <c r="I222" s="15">
        <v>43.36</v>
      </c>
      <c r="J222" s="15">
        <v>3.86</v>
      </c>
      <c r="K222" s="15">
        <v>27.58</v>
      </c>
      <c r="L222" s="15">
        <v>918.22</v>
      </c>
      <c r="M222" s="15">
        <v>0.03</v>
      </c>
      <c r="N222" s="15">
        <v>0</v>
      </c>
      <c r="O222" s="15">
        <v>8.81</v>
      </c>
      <c r="P222" s="15">
        <v>0</v>
      </c>
      <c r="Q222" s="15">
        <v>291.85000000000002</v>
      </c>
      <c r="R222" s="15">
        <v>2764.35</v>
      </c>
      <c r="S222" s="15">
        <v>0.41</v>
      </c>
      <c r="T222" s="15">
        <v>35.380000000000003</v>
      </c>
      <c r="U222" s="15">
        <v>13.05</v>
      </c>
      <c r="V222" s="15">
        <v>703.71</v>
      </c>
      <c r="W222" s="16">
        <v>76.8</v>
      </c>
      <c r="X222" s="19" t="str">
        <f>TEXT(Table4_1[[#This Row],[date]], "hh:mm")</f>
        <v>02:30</v>
      </c>
      <c r="Y222" s="25" t="str">
        <f t="shared" si="3"/>
        <v/>
      </c>
      <c r="Z222" s="22">
        <v>0</v>
      </c>
    </row>
    <row r="223" spans="1:26">
      <c r="A223" s="13">
        <v>45854.125</v>
      </c>
      <c r="B223" s="14">
        <v>-112.17</v>
      </c>
      <c r="C223" s="15">
        <v>-80.75</v>
      </c>
      <c r="D223" s="15">
        <v>0</v>
      </c>
      <c r="E223" s="15">
        <v>979.77</v>
      </c>
      <c r="F223" s="15">
        <v>5986.73</v>
      </c>
      <c r="G223" s="15">
        <v>-4.3600000000000003</v>
      </c>
      <c r="H223" s="15">
        <v>190</v>
      </c>
      <c r="I223" s="15">
        <v>43.2</v>
      </c>
      <c r="J223" s="15">
        <v>3.74</v>
      </c>
      <c r="K223" s="15">
        <v>4.97</v>
      </c>
      <c r="L223" s="15">
        <v>822.27</v>
      </c>
      <c r="M223" s="15">
        <v>0.03</v>
      </c>
      <c r="N223" s="15">
        <v>0</v>
      </c>
      <c r="O223" s="15">
        <v>8.68</v>
      </c>
      <c r="P223" s="15">
        <v>0</v>
      </c>
      <c r="Q223" s="15">
        <v>324.26</v>
      </c>
      <c r="R223" s="15">
        <v>2714.28</v>
      </c>
      <c r="S223" s="15">
        <v>0.41</v>
      </c>
      <c r="T223" s="15">
        <v>35.32</v>
      </c>
      <c r="U223" s="15">
        <v>13.01</v>
      </c>
      <c r="V223" s="15">
        <v>705.44</v>
      </c>
      <c r="W223" s="16">
        <v>76.8</v>
      </c>
      <c r="X223" s="19" t="str">
        <f>TEXT(Table4_1[[#This Row],[date]], "hh:mm")</f>
        <v>03:00</v>
      </c>
      <c r="Y223" s="25" t="str">
        <f t="shared" si="3"/>
        <v/>
      </c>
      <c r="Z223" s="22">
        <v>0</v>
      </c>
    </row>
    <row r="224" spans="1:26">
      <c r="A224" s="13">
        <v>45854.145833333336</v>
      </c>
      <c r="B224" s="14">
        <v>-121.77</v>
      </c>
      <c r="C224" s="15">
        <v>-80.75</v>
      </c>
      <c r="D224" s="15">
        <v>0</v>
      </c>
      <c r="E224" s="15">
        <v>1177.1400000000001</v>
      </c>
      <c r="F224" s="15">
        <v>5813.57</v>
      </c>
      <c r="G224" s="15">
        <v>-4.25</v>
      </c>
      <c r="H224" s="15">
        <v>190</v>
      </c>
      <c r="I224" s="15">
        <v>43.31</v>
      </c>
      <c r="J224" s="15">
        <v>0.05</v>
      </c>
      <c r="K224" s="15">
        <v>0.28000000000000003</v>
      </c>
      <c r="L224" s="15">
        <v>831.72</v>
      </c>
      <c r="M224" s="15">
        <v>0.03</v>
      </c>
      <c r="N224" s="15">
        <v>0</v>
      </c>
      <c r="O224" s="15">
        <v>8.35</v>
      </c>
      <c r="P224" s="15">
        <v>0</v>
      </c>
      <c r="Q224" s="15">
        <v>391.34</v>
      </c>
      <c r="R224" s="15">
        <v>2635.84</v>
      </c>
      <c r="S224" s="15">
        <v>0.4</v>
      </c>
      <c r="T224" s="15">
        <v>35.32</v>
      </c>
      <c r="U224" s="15">
        <v>13.04</v>
      </c>
      <c r="V224" s="15">
        <v>684.04</v>
      </c>
      <c r="W224" s="16">
        <v>64.89</v>
      </c>
      <c r="X224" s="19" t="str">
        <f>TEXT(Table4_1[[#This Row],[date]], "hh:mm")</f>
        <v>03:30</v>
      </c>
      <c r="Y224" s="25" t="str">
        <f t="shared" si="3"/>
        <v/>
      </c>
      <c r="Z224" s="22">
        <v>0</v>
      </c>
    </row>
    <row r="225" spans="1:26">
      <c r="A225" s="13">
        <v>45854.166666666664</v>
      </c>
      <c r="B225" s="14">
        <v>-130.87</v>
      </c>
      <c r="C225" s="15">
        <v>-80.61</v>
      </c>
      <c r="D225" s="15">
        <v>0</v>
      </c>
      <c r="E225" s="15">
        <v>1162.75</v>
      </c>
      <c r="F225" s="15">
        <v>5836.79</v>
      </c>
      <c r="G225" s="15">
        <v>5.95</v>
      </c>
      <c r="H225" s="15">
        <v>190.33</v>
      </c>
      <c r="I225" s="15">
        <v>42.78</v>
      </c>
      <c r="J225" s="15">
        <v>0.6</v>
      </c>
      <c r="K225" s="15">
        <v>39.700000000000003</v>
      </c>
      <c r="L225" s="15">
        <v>880.97</v>
      </c>
      <c r="M225" s="15">
        <v>0.03</v>
      </c>
      <c r="N225" s="15">
        <v>0</v>
      </c>
      <c r="O225" s="15">
        <v>8.1300000000000008</v>
      </c>
      <c r="P225" s="15">
        <v>0</v>
      </c>
      <c r="Q225" s="15">
        <v>381.33</v>
      </c>
      <c r="R225" s="15">
        <v>2646.12</v>
      </c>
      <c r="S225" s="15">
        <v>0.41</v>
      </c>
      <c r="T225" s="15">
        <v>35.380000000000003</v>
      </c>
      <c r="U225" s="15">
        <v>12.88</v>
      </c>
      <c r="V225" s="15">
        <v>678.07</v>
      </c>
      <c r="W225" s="16">
        <v>77.97</v>
      </c>
      <c r="X225" s="19" t="str">
        <f>TEXT(Table4_1[[#This Row],[date]], "hh:mm")</f>
        <v>04:00</v>
      </c>
      <c r="Y225" s="25" t="str">
        <f t="shared" si="3"/>
        <v/>
      </c>
      <c r="Z225" s="22">
        <v>0</v>
      </c>
    </row>
    <row r="226" spans="1:26">
      <c r="A226" s="13">
        <v>45854.1875</v>
      </c>
      <c r="B226" s="14">
        <v>-100.34</v>
      </c>
      <c r="C226" s="15">
        <v>-80.64</v>
      </c>
      <c r="D226" s="15">
        <v>0</v>
      </c>
      <c r="E226" s="15">
        <v>1146.95</v>
      </c>
      <c r="F226" s="15">
        <v>5783.17</v>
      </c>
      <c r="G226" s="15">
        <v>21.02</v>
      </c>
      <c r="H226" s="15">
        <v>189.83</v>
      </c>
      <c r="I226" s="15">
        <v>42.48</v>
      </c>
      <c r="J226" s="15">
        <v>0.59</v>
      </c>
      <c r="K226" s="15">
        <v>50.75</v>
      </c>
      <c r="L226" s="15">
        <v>947.86</v>
      </c>
      <c r="M226" s="15">
        <v>0.03</v>
      </c>
      <c r="N226" s="15">
        <v>0</v>
      </c>
      <c r="O226" s="15">
        <v>8.1</v>
      </c>
      <c r="P226" s="15">
        <v>0</v>
      </c>
      <c r="Q226" s="15">
        <v>376.89</v>
      </c>
      <c r="R226" s="15">
        <v>2619.7399999999998</v>
      </c>
      <c r="S226" s="15">
        <v>0.41</v>
      </c>
      <c r="T226" s="15">
        <v>35.29</v>
      </c>
      <c r="U226" s="15">
        <v>12.79</v>
      </c>
      <c r="V226" s="15">
        <v>666.91</v>
      </c>
      <c r="W226" s="16">
        <v>76.58</v>
      </c>
      <c r="X226" s="19" t="str">
        <f>TEXT(Table4_1[[#This Row],[date]], "hh:mm")</f>
        <v>04:30</v>
      </c>
      <c r="Y226" s="25" t="str">
        <f t="shared" si="3"/>
        <v/>
      </c>
      <c r="Z226" s="22">
        <v>0</v>
      </c>
    </row>
    <row r="227" spans="1:26">
      <c r="A227" s="13">
        <v>45854.208333333336</v>
      </c>
      <c r="B227" s="14">
        <v>-42.13</v>
      </c>
      <c r="C227" s="15">
        <v>-67.17</v>
      </c>
      <c r="D227" s="15">
        <v>0</v>
      </c>
      <c r="E227" s="15">
        <v>1084.27</v>
      </c>
      <c r="F227" s="15">
        <v>5928.17</v>
      </c>
      <c r="G227" s="15">
        <v>20.59</v>
      </c>
      <c r="H227" s="15">
        <v>190.33</v>
      </c>
      <c r="I227" s="15">
        <v>41.28</v>
      </c>
      <c r="J227" s="15">
        <v>1.36</v>
      </c>
      <c r="K227" s="15">
        <v>74.22</v>
      </c>
      <c r="L227" s="15">
        <v>980.55</v>
      </c>
      <c r="M227" s="15">
        <v>0.03</v>
      </c>
      <c r="N227" s="15">
        <v>0</v>
      </c>
      <c r="O227" s="15">
        <v>8.07</v>
      </c>
      <c r="P227" s="15">
        <v>0</v>
      </c>
      <c r="Q227" s="15">
        <v>361.35</v>
      </c>
      <c r="R227" s="15">
        <v>2684.62</v>
      </c>
      <c r="S227" s="15">
        <v>0.4</v>
      </c>
      <c r="T227" s="15">
        <v>35.380000000000003</v>
      </c>
      <c r="U227" s="15">
        <v>12.43</v>
      </c>
      <c r="V227" s="15">
        <v>665.61</v>
      </c>
      <c r="W227" s="16">
        <v>76.58</v>
      </c>
      <c r="X227" s="19" t="str">
        <f>TEXT(Table4_1[[#This Row],[date]], "hh:mm")</f>
        <v>05:00</v>
      </c>
      <c r="Y227" s="25" t="str">
        <f t="shared" si="3"/>
        <v/>
      </c>
      <c r="Z227" s="22">
        <v>0</v>
      </c>
    </row>
    <row r="228" spans="1:26">
      <c r="A228" s="13">
        <v>45854.229166666664</v>
      </c>
      <c r="B228" s="14">
        <v>-8.7799999999999994</v>
      </c>
      <c r="C228" s="15">
        <v>0</v>
      </c>
      <c r="D228" s="15">
        <v>-52.04</v>
      </c>
      <c r="E228" s="15">
        <v>989.79</v>
      </c>
      <c r="F228" s="15">
        <v>6183.11</v>
      </c>
      <c r="G228" s="15">
        <v>20.440000000000001</v>
      </c>
      <c r="H228" s="15">
        <v>198.33</v>
      </c>
      <c r="I228" s="15">
        <v>40.58</v>
      </c>
      <c r="J228" s="15">
        <v>2.0299999999999998</v>
      </c>
      <c r="K228" s="15">
        <v>221.8</v>
      </c>
      <c r="L228" s="15">
        <v>995.76</v>
      </c>
      <c r="M228" s="15">
        <v>0.03</v>
      </c>
      <c r="N228" s="15">
        <v>0</v>
      </c>
      <c r="O228" s="15">
        <v>7.85</v>
      </c>
      <c r="P228" s="15">
        <v>19.34</v>
      </c>
      <c r="Q228" s="15">
        <v>345.36</v>
      </c>
      <c r="R228" s="15">
        <v>2799.97</v>
      </c>
      <c r="S228" s="15">
        <v>0.38</v>
      </c>
      <c r="T228" s="15">
        <v>36.869999999999997</v>
      </c>
      <c r="U228" s="15">
        <v>12.22</v>
      </c>
      <c r="V228" s="15">
        <v>663.35</v>
      </c>
      <c r="W228" s="16">
        <v>80.010000000000005</v>
      </c>
      <c r="X228" s="19" t="str">
        <f>TEXT(Table4_1[[#This Row],[date]], "hh:mm")</f>
        <v>05:30</v>
      </c>
      <c r="Y228" s="25" t="str">
        <f t="shared" si="3"/>
        <v/>
      </c>
      <c r="Z228" s="22">
        <v>0</v>
      </c>
    </row>
    <row r="229" spans="1:26">
      <c r="A229" s="13">
        <v>45854.25</v>
      </c>
      <c r="B229" s="14">
        <v>-6.42</v>
      </c>
      <c r="C229" s="15">
        <v>0</v>
      </c>
      <c r="D229" s="15">
        <v>-66.040000000000006</v>
      </c>
      <c r="E229" s="15">
        <v>707.07</v>
      </c>
      <c r="F229" s="15">
        <v>6584.98</v>
      </c>
      <c r="G229" s="15">
        <v>21.97</v>
      </c>
      <c r="H229" s="15">
        <v>400.33</v>
      </c>
      <c r="I229" s="15">
        <v>62.36</v>
      </c>
      <c r="J229" s="15">
        <v>19.12</v>
      </c>
      <c r="K229" s="15">
        <v>478.8</v>
      </c>
      <c r="L229" s="15">
        <v>991.43</v>
      </c>
      <c r="M229" s="15">
        <v>0.03</v>
      </c>
      <c r="N229" s="15">
        <v>0</v>
      </c>
      <c r="O229" s="15">
        <v>7.81</v>
      </c>
      <c r="P229" s="15">
        <v>24.09</v>
      </c>
      <c r="Q229" s="15">
        <v>259.02</v>
      </c>
      <c r="R229" s="15">
        <v>2983.66</v>
      </c>
      <c r="S229" s="15">
        <v>0.4</v>
      </c>
      <c r="T229" s="15">
        <v>74.42</v>
      </c>
      <c r="U229" s="15">
        <v>18.559999999999999</v>
      </c>
      <c r="V229" s="15">
        <v>669.39</v>
      </c>
      <c r="W229" s="16">
        <v>118.95</v>
      </c>
      <c r="X229" s="19" t="str">
        <f>TEXT(Table4_1[[#This Row],[date]], "hh:mm")</f>
        <v>06:00</v>
      </c>
      <c r="Y229" s="25" t="str">
        <f t="shared" si="3"/>
        <v/>
      </c>
      <c r="Z229" s="22">
        <v>0</v>
      </c>
    </row>
    <row r="230" spans="1:26">
      <c r="A230" s="13">
        <v>45854.270833333336</v>
      </c>
      <c r="B230" s="14">
        <v>-6.26</v>
      </c>
      <c r="C230" s="15">
        <v>0</v>
      </c>
      <c r="D230" s="15">
        <v>-117.59</v>
      </c>
      <c r="E230" s="15">
        <v>667.32</v>
      </c>
      <c r="F230" s="15">
        <v>6800.91</v>
      </c>
      <c r="G230" s="15">
        <v>22.15</v>
      </c>
      <c r="H230" s="15">
        <v>450.5</v>
      </c>
      <c r="I230" s="15">
        <v>353.98</v>
      </c>
      <c r="J230" s="15">
        <v>96.17</v>
      </c>
      <c r="K230" s="15">
        <v>789.86</v>
      </c>
      <c r="L230" s="15">
        <v>984.67</v>
      </c>
      <c r="M230" s="15">
        <v>0.03</v>
      </c>
      <c r="N230" s="15">
        <v>0.12</v>
      </c>
      <c r="O230" s="15">
        <v>7.88</v>
      </c>
      <c r="P230" s="15">
        <v>41.91</v>
      </c>
      <c r="Q230" s="15">
        <v>251.56</v>
      </c>
      <c r="R230" s="15">
        <v>3078.74</v>
      </c>
      <c r="S230" s="15">
        <v>0.41</v>
      </c>
      <c r="T230" s="15">
        <v>83.75</v>
      </c>
      <c r="U230" s="15">
        <v>104.83</v>
      </c>
      <c r="V230" s="15">
        <v>650.82000000000005</v>
      </c>
      <c r="W230" s="16">
        <v>120.01</v>
      </c>
      <c r="X230" s="19" t="str">
        <f>TEXT(Table4_1[[#This Row],[date]], "hh:mm")</f>
        <v>06:30</v>
      </c>
      <c r="Y230" s="25" t="str">
        <f t="shared" si="3"/>
        <v/>
      </c>
      <c r="Z230" s="22">
        <v>0</v>
      </c>
    </row>
    <row r="231" spans="1:26">
      <c r="A231" s="13">
        <v>45854.291666666664</v>
      </c>
      <c r="B231" s="14">
        <v>-6.04</v>
      </c>
      <c r="C231" s="15">
        <v>0</v>
      </c>
      <c r="D231" s="15">
        <v>-35.78</v>
      </c>
      <c r="E231" s="15">
        <v>583.91999999999996</v>
      </c>
      <c r="F231" s="15">
        <v>6816.89</v>
      </c>
      <c r="G231" s="15">
        <v>23.93</v>
      </c>
      <c r="H231" s="15">
        <v>451</v>
      </c>
      <c r="I231" s="15">
        <v>795.02</v>
      </c>
      <c r="J231" s="15">
        <v>167.76</v>
      </c>
      <c r="K231" s="15">
        <v>983.02</v>
      </c>
      <c r="L231" s="15">
        <v>904.96</v>
      </c>
      <c r="M231" s="15">
        <v>1.18</v>
      </c>
      <c r="N231" s="15">
        <v>7.98</v>
      </c>
      <c r="O231" s="15">
        <v>7.81</v>
      </c>
      <c r="P231" s="15">
        <v>12.58</v>
      </c>
      <c r="Q231" s="15">
        <v>220.79</v>
      </c>
      <c r="R231" s="15">
        <v>3086.18</v>
      </c>
      <c r="S231" s="15">
        <v>0.43</v>
      </c>
      <c r="T231" s="15">
        <v>83.84</v>
      </c>
      <c r="U231" s="15">
        <v>258.36</v>
      </c>
      <c r="V231" s="15">
        <v>641.27</v>
      </c>
      <c r="W231" s="16">
        <v>150.07</v>
      </c>
      <c r="X231" s="19" t="str">
        <f>TEXT(Table4_1[[#This Row],[date]], "hh:mm")</f>
        <v>07:00</v>
      </c>
      <c r="Y231" s="25" t="str">
        <f t="shared" si="3"/>
        <v/>
      </c>
      <c r="Z231" s="22">
        <v>0</v>
      </c>
    </row>
    <row r="232" spans="1:26">
      <c r="A232" s="13">
        <v>45854.3125</v>
      </c>
      <c r="B232" s="14">
        <v>-22.83</v>
      </c>
      <c r="C232" s="15">
        <v>0</v>
      </c>
      <c r="D232" s="15">
        <v>-7.54</v>
      </c>
      <c r="E232" s="15">
        <v>734.9</v>
      </c>
      <c r="F232" s="15">
        <v>6875.66</v>
      </c>
      <c r="G232" s="15">
        <v>26.83</v>
      </c>
      <c r="H232" s="15">
        <v>451.5</v>
      </c>
      <c r="I232" s="15">
        <v>871.8</v>
      </c>
      <c r="J232" s="15">
        <v>125.37</v>
      </c>
      <c r="K232" s="15">
        <v>1089.02</v>
      </c>
      <c r="L232" s="15">
        <v>842.58</v>
      </c>
      <c r="M232" s="15">
        <v>67.34</v>
      </c>
      <c r="N232" s="15">
        <v>96.5</v>
      </c>
      <c r="O232" s="15">
        <v>7.74</v>
      </c>
      <c r="P232" s="15">
        <v>2.65</v>
      </c>
      <c r="Q232" s="15">
        <v>270.94</v>
      </c>
      <c r="R232" s="15">
        <v>3115.65</v>
      </c>
      <c r="S232" s="15">
        <v>0.48</v>
      </c>
      <c r="T232" s="15">
        <v>83.93</v>
      </c>
      <c r="U232" s="15">
        <v>281.26</v>
      </c>
      <c r="V232" s="15">
        <v>624.39</v>
      </c>
      <c r="W232" s="16">
        <v>176.21</v>
      </c>
      <c r="X232" s="19" t="str">
        <f>TEXT(Table4_1[[#This Row],[date]], "hh:mm")</f>
        <v>07:30</v>
      </c>
      <c r="Y232" s="25" t="str">
        <f t="shared" si="3"/>
        <v/>
      </c>
      <c r="Z232" s="22">
        <v>0</v>
      </c>
    </row>
    <row r="233" spans="1:26">
      <c r="A233" s="13">
        <v>45854.333333333336</v>
      </c>
      <c r="B233" s="14">
        <v>-7.13</v>
      </c>
      <c r="C233" s="15">
        <v>0</v>
      </c>
      <c r="D233" s="15">
        <v>0</v>
      </c>
      <c r="E233" s="15">
        <v>714.54</v>
      </c>
      <c r="F233" s="15">
        <v>6884.99</v>
      </c>
      <c r="G233" s="15">
        <v>28.03</v>
      </c>
      <c r="H233" s="15">
        <v>451.33</v>
      </c>
      <c r="I233" s="15">
        <v>852.25</v>
      </c>
      <c r="J233" s="15">
        <v>133.88999999999999</v>
      </c>
      <c r="K233" s="15">
        <v>843.08</v>
      </c>
      <c r="L233" s="15">
        <v>786.68</v>
      </c>
      <c r="M233" s="15">
        <v>434.25</v>
      </c>
      <c r="N233" s="15">
        <v>401.36</v>
      </c>
      <c r="O233" s="15">
        <v>8.0299999999999994</v>
      </c>
      <c r="P233" s="15">
        <v>0</v>
      </c>
      <c r="Q233" s="15">
        <v>262.97000000000003</v>
      </c>
      <c r="R233" s="15">
        <v>3120.4</v>
      </c>
      <c r="S233" s="15">
        <v>0.51</v>
      </c>
      <c r="T233" s="15">
        <v>83.9</v>
      </c>
      <c r="U233" s="15">
        <v>273.57</v>
      </c>
      <c r="V233" s="15">
        <v>603.71</v>
      </c>
      <c r="W233" s="16">
        <v>143.37</v>
      </c>
      <c r="X233" s="19" t="str">
        <f>TEXT(Table4_1[[#This Row],[date]], "hh:mm")</f>
        <v>08:00</v>
      </c>
      <c r="Y233" s="25" t="str">
        <f t="shared" si="3"/>
        <v/>
      </c>
      <c r="Z233" s="22">
        <v>0</v>
      </c>
    </row>
    <row r="234" spans="1:26">
      <c r="A234" s="13">
        <v>45854.354166666664</v>
      </c>
      <c r="B234" s="14">
        <v>-7.14</v>
      </c>
      <c r="C234" s="15">
        <v>0</v>
      </c>
      <c r="D234" s="15">
        <v>-103.05</v>
      </c>
      <c r="E234" s="15">
        <v>962.71</v>
      </c>
      <c r="F234" s="15">
        <v>6740.14</v>
      </c>
      <c r="G234" s="15">
        <v>28.17</v>
      </c>
      <c r="H234" s="15">
        <v>380.33</v>
      </c>
      <c r="I234" s="15">
        <v>609.87</v>
      </c>
      <c r="J234" s="15">
        <v>77.94</v>
      </c>
      <c r="K234" s="15">
        <v>243.18</v>
      </c>
      <c r="L234" s="15">
        <v>728.07</v>
      </c>
      <c r="M234" s="15">
        <v>1038.1199999999999</v>
      </c>
      <c r="N234" s="15">
        <v>889.76</v>
      </c>
      <c r="O234" s="15">
        <v>8.9600000000000009</v>
      </c>
      <c r="P234" s="15">
        <v>35.06</v>
      </c>
      <c r="Q234" s="15">
        <v>318.33</v>
      </c>
      <c r="R234" s="15">
        <v>3048.82</v>
      </c>
      <c r="S234" s="15">
        <v>0.51</v>
      </c>
      <c r="T234" s="15">
        <v>70.7</v>
      </c>
      <c r="U234" s="15">
        <v>188.3</v>
      </c>
      <c r="V234" s="15">
        <v>570.99</v>
      </c>
      <c r="W234" s="16">
        <v>134.05000000000001</v>
      </c>
      <c r="X234" s="19" t="str">
        <f>TEXT(Table4_1[[#This Row],[date]], "hh:mm")</f>
        <v>08:30</v>
      </c>
      <c r="Y234" s="25" t="str">
        <f t="shared" si="3"/>
        <v/>
      </c>
      <c r="Z234" s="22">
        <v>0</v>
      </c>
    </row>
    <row r="235" spans="1:26">
      <c r="A235" s="13">
        <v>45854.375</v>
      </c>
      <c r="B235" s="14">
        <v>-6.88</v>
      </c>
      <c r="C235" s="15">
        <v>0</v>
      </c>
      <c r="D235" s="15">
        <v>-276.20999999999998</v>
      </c>
      <c r="E235" s="15">
        <v>1228.28</v>
      </c>
      <c r="F235" s="15">
        <v>6353.45</v>
      </c>
      <c r="G235" s="15">
        <v>26.62</v>
      </c>
      <c r="H235" s="15">
        <v>120.67</v>
      </c>
      <c r="I235" s="15">
        <v>370.52</v>
      </c>
      <c r="J235" s="15">
        <v>37.97</v>
      </c>
      <c r="K235" s="15">
        <v>80</v>
      </c>
      <c r="L235" s="15">
        <v>577.47</v>
      </c>
      <c r="M235" s="15">
        <v>1505.56</v>
      </c>
      <c r="N235" s="15">
        <v>1469.23</v>
      </c>
      <c r="O235" s="15">
        <v>10.35</v>
      </c>
      <c r="P235" s="15">
        <v>92.93</v>
      </c>
      <c r="Q235" s="15">
        <v>346.36</v>
      </c>
      <c r="R235" s="15">
        <v>2872.29</v>
      </c>
      <c r="S235" s="15">
        <v>0.48</v>
      </c>
      <c r="T235" s="15">
        <v>22.43</v>
      </c>
      <c r="U235" s="15">
        <v>105.24</v>
      </c>
      <c r="V235" s="15">
        <v>522.41999999999996</v>
      </c>
      <c r="W235" s="16">
        <v>76.8</v>
      </c>
      <c r="X235" s="19" t="str">
        <f>TEXT(Table4_1[[#This Row],[date]], "hh:mm")</f>
        <v>09:00</v>
      </c>
      <c r="Y235" s="25" t="str">
        <f t="shared" si="3"/>
        <v/>
      </c>
      <c r="Z235" s="22">
        <v>0</v>
      </c>
    </row>
    <row r="236" spans="1:26">
      <c r="A236" s="13">
        <v>45854.395833333336</v>
      </c>
      <c r="B236" s="14">
        <v>-6.98</v>
      </c>
      <c r="C236" s="15">
        <v>0</v>
      </c>
      <c r="D236" s="15">
        <v>-254.46</v>
      </c>
      <c r="E236" s="15">
        <v>1162.07</v>
      </c>
      <c r="F236" s="15">
        <v>6027.26</v>
      </c>
      <c r="G236" s="15">
        <v>7.14</v>
      </c>
      <c r="H236" s="15">
        <v>0</v>
      </c>
      <c r="I236" s="15">
        <v>71.680000000000007</v>
      </c>
      <c r="J236" s="15">
        <v>6.25</v>
      </c>
      <c r="K236" s="15">
        <v>32.31</v>
      </c>
      <c r="L236" s="15">
        <v>520.59</v>
      </c>
      <c r="M236" s="15">
        <v>1840.47</v>
      </c>
      <c r="N236" s="15">
        <v>2052.06</v>
      </c>
      <c r="O236" s="15">
        <v>11.57</v>
      </c>
      <c r="P236" s="15">
        <v>85.82</v>
      </c>
      <c r="Q236" s="15">
        <v>323.36</v>
      </c>
      <c r="R236" s="15">
        <v>2727.61</v>
      </c>
      <c r="S236" s="15">
        <v>0.14000000000000001</v>
      </c>
      <c r="T236" s="15">
        <v>0</v>
      </c>
      <c r="U236" s="15">
        <v>20.93</v>
      </c>
      <c r="V236" s="15">
        <v>479.77</v>
      </c>
      <c r="W236" s="16">
        <v>63.76</v>
      </c>
      <c r="X236" s="19" t="str">
        <f>TEXT(Table4_1[[#This Row],[date]], "hh:mm")</f>
        <v>09:30</v>
      </c>
      <c r="Y236" s="25" t="str">
        <f t="shared" si="3"/>
        <v/>
      </c>
      <c r="Z236" s="22">
        <v>0</v>
      </c>
    </row>
    <row r="237" spans="1:26">
      <c r="A237" s="13">
        <v>45854.416666666664</v>
      </c>
      <c r="B237" s="14">
        <v>-77.48</v>
      </c>
      <c r="C237" s="15">
        <v>0</v>
      </c>
      <c r="D237" s="15">
        <v>-278.38</v>
      </c>
      <c r="E237" s="15">
        <v>1122.33</v>
      </c>
      <c r="F237" s="15">
        <v>5381.56</v>
      </c>
      <c r="G237" s="15">
        <v>-0.23</v>
      </c>
      <c r="H237" s="15">
        <v>0</v>
      </c>
      <c r="I237" s="15">
        <v>36.799999999999997</v>
      </c>
      <c r="J237" s="15">
        <v>0.53</v>
      </c>
      <c r="K237" s="15">
        <v>34.25</v>
      </c>
      <c r="L237" s="15">
        <v>506.81</v>
      </c>
      <c r="M237" s="15">
        <v>2087.0500000000002</v>
      </c>
      <c r="N237" s="15">
        <v>2591.34</v>
      </c>
      <c r="O237" s="15">
        <v>12.44</v>
      </c>
      <c r="P237" s="15">
        <v>91.56</v>
      </c>
      <c r="Q237" s="15">
        <v>316.43</v>
      </c>
      <c r="R237" s="15">
        <v>2435.9699999999998</v>
      </c>
      <c r="S237" s="15">
        <v>0.02</v>
      </c>
      <c r="T237" s="15">
        <v>0</v>
      </c>
      <c r="U237" s="15">
        <v>11.08</v>
      </c>
      <c r="V237" s="15">
        <v>429.14</v>
      </c>
      <c r="W237" s="16">
        <v>-0.01</v>
      </c>
      <c r="X237" s="19" t="str">
        <f>TEXT(Table4_1[[#This Row],[date]], "hh:mm")</f>
        <v>10:00</v>
      </c>
      <c r="Y237" s="25" t="str">
        <f t="shared" si="3"/>
        <v/>
      </c>
      <c r="Z237" s="22">
        <v>0</v>
      </c>
    </row>
    <row r="238" spans="1:26">
      <c r="A238" s="13">
        <v>45854.4375</v>
      </c>
      <c r="B238" s="14">
        <v>-111.94</v>
      </c>
      <c r="C238" s="15">
        <v>0</v>
      </c>
      <c r="D238" s="15">
        <v>-290.77999999999997</v>
      </c>
      <c r="E238" s="15">
        <v>1114.8900000000001</v>
      </c>
      <c r="F238" s="15">
        <v>4791.59</v>
      </c>
      <c r="G238" s="15">
        <v>-0.13</v>
      </c>
      <c r="H238" s="15">
        <v>0</v>
      </c>
      <c r="I238" s="15">
        <v>36.56</v>
      </c>
      <c r="J238" s="15">
        <v>0.03</v>
      </c>
      <c r="K238" s="15">
        <v>0</v>
      </c>
      <c r="L238" s="15">
        <v>457.49</v>
      </c>
      <c r="M238" s="15">
        <v>2175.84</v>
      </c>
      <c r="N238" s="15">
        <v>3025.77</v>
      </c>
      <c r="O238" s="15">
        <v>13.29</v>
      </c>
      <c r="P238" s="15">
        <v>94.65</v>
      </c>
      <c r="Q238" s="15">
        <v>317.63</v>
      </c>
      <c r="R238" s="15">
        <v>2166.2600000000002</v>
      </c>
      <c r="S238" s="15">
        <v>0.02</v>
      </c>
      <c r="T238" s="15">
        <v>0</v>
      </c>
      <c r="U238" s="15">
        <v>11.01</v>
      </c>
      <c r="V238" s="15">
        <v>388.83</v>
      </c>
      <c r="W238" s="16">
        <v>56.98</v>
      </c>
      <c r="X238" s="19" t="str">
        <f>TEXT(Table4_1[[#This Row],[date]], "hh:mm")</f>
        <v>10:30</v>
      </c>
      <c r="Y238" s="25" t="str">
        <f t="shared" si="3"/>
        <v/>
      </c>
      <c r="Z238" s="22">
        <v>0</v>
      </c>
    </row>
    <row r="239" spans="1:26">
      <c r="A239" s="13">
        <v>45854.458333333336</v>
      </c>
      <c r="B239" s="14">
        <v>-75.11</v>
      </c>
      <c r="C239" s="15">
        <v>-67.3</v>
      </c>
      <c r="D239" s="15">
        <v>-357.6</v>
      </c>
      <c r="E239" s="15">
        <v>1113.3</v>
      </c>
      <c r="F239" s="15">
        <v>4094.45</v>
      </c>
      <c r="G239" s="15">
        <v>-0.03</v>
      </c>
      <c r="H239" s="15">
        <v>0</v>
      </c>
      <c r="I239" s="15">
        <v>36.17</v>
      </c>
      <c r="J239" s="15">
        <v>137.94999999999999</v>
      </c>
      <c r="K239" s="15">
        <v>0</v>
      </c>
      <c r="L239" s="15">
        <v>466.01</v>
      </c>
      <c r="M239" s="15">
        <v>2357.94</v>
      </c>
      <c r="N239" s="15">
        <v>3358.54</v>
      </c>
      <c r="O239" s="15">
        <v>13.85</v>
      </c>
      <c r="P239" s="15">
        <v>111.66</v>
      </c>
      <c r="Q239" s="15">
        <v>319.74</v>
      </c>
      <c r="R239" s="15">
        <v>1850.78</v>
      </c>
      <c r="S239" s="15">
        <v>0.02</v>
      </c>
      <c r="T239" s="15">
        <v>0</v>
      </c>
      <c r="U239" s="15">
        <v>10.89</v>
      </c>
      <c r="V239" s="15">
        <v>336.52</v>
      </c>
      <c r="W239" s="16">
        <v>-14.01</v>
      </c>
      <c r="X239" s="19" t="str">
        <f>TEXT(Table4_1[[#This Row],[date]], "hh:mm")</f>
        <v>11:00</v>
      </c>
      <c r="Y239" s="25" t="str">
        <f t="shared" si="3"/>
        <v/>
      </c>
      <c r="Z239" s="22">
        <v>0</v>
      </c>
    </row>
    <row r="240" spans="1:26">
      <c r="A240" s="13">
        <v>45854.479166666664</v>
      </c>
      <c r="B240" s="14">
        <v>-105.88</v>
      </c>
      <c r="C240" s="15">
        <v>-256.69</v>
      </c>
      <c r="D240" s="15">
        <v>-236.64</v>
      </c>
      <c r="E240" s="15">
        <v>1052.3499999999999</v>
      </c>
      <c r="F240" s="15">
        <v>3594.12</v>
      </c>
      <c r="G240" s="15">
        <v>-0.05</v>
      </c>
      <c r="H240" s="15">
        <v>0</v>
      </c>
      <c r="I240" s="15">
        <v>35.770000000000003</v>
      </c>
      <c r="J240" s="15">
        <v>129.59</v>
      </c>
      <c r="K240" s="15">
        <v>0</v>
      </c>
      <c r="L240" s="15">
        <v>437.97</v>
      </c>
      <c r="M240" s="15">
        <v>2518.3200000000002</v>
      </c>
      <c r="N240" s="15">
        <v>3578.98</v>
      </c>
      <c r="O240" s="15">
        <v>14.32</v>
      </c>
      <c r="P240" s="15">
        <v>68.989999999999995</v>
      </c>
      <c r="Q240" s="15">
        <v>299.70999999999998</v>
      </c>
      <c r="R240" s="15">
        <v>1624.87</v>
      </c>
      <c r="S240" s="15">
        <v>0.03</v>
      </c>
      <c r="T240" s="15">
        <v>0</v>
      </c>
      <c r="U240" s="15">
        <v>10.77</v>
      </c>
      <c r="V240" s="15">
        <v>304.37</v>
      </c>
      <c r="W240" s="16">
        <v>35.880000000000003</v>
      </c>
      <c r="X240" s="19" t="str">
        <f>TEXT(Table4_1[[#This Row],[date]], "hh:mm")</f>
        <v>11:30</v>
      </c>
      <c r="Y240" s="25" t="str">
        <f t="shared" si="3"/>
        <v/>
      </c>
      <c r="Z240" s="22">
        <v>0</v>
      </c>
    </row>
    <row r="241" spans="1:26">
      <c r="A241" s="13">
        <v>45854.5</v>
      </c>
      <c r="B241" s="14">
        <v>-92.17</v>
      </c>
      <c r="C241" s="15">
        <v>-271.67</v>
      </c>
      <c r="D241" s="15">
        <v>-248.87</v>
      </c>
      <c r="E241" s="15">
        <v>925.28</v>
      </c>
      <c r="F241" s="15">
        <v>3480.66</v>
      </c>
      <c r="G241" s="15">
        <v>-0.81</v>
      </c>
      <c r="H241" s="15">
        <v>0</v>
      </c>
      <c r="I241" s="15">
        <v>35.65</v>
      </c>
      <c r="J241" s="15">
        <v>0.75</v>
      </c>
      <c r="K241" s="15">
        <v>0</v>
      </c>
      <c r="L241" s="15">
        <v>394.03</v>
      </c>
      <c r="M241" s="15">
        <v>2607.6</v>
      </c>
      <c r="N241" s="15">
        <v>3698.06</v>
      </c>
      <c r="O241" s="15">
        <v>15.18</v>
      </c>
      <c r="P241" s="15">
        <v>58.04</v>
      </c>
      <c r="Q241" s="15">
        <v>240.05</v>
      </c>
      <c r="R241" s="15">
        <v>1574.42</v>
      </c>
      <c r="S241" s="15">
        <v>0.03</v>
      </c>
      <c r="T241" s="15">
        <v>0</v>
      </c>
      <c r="U241" s="15">
        <v>10.73</v>
      </c>
      <c r="V241" s="15">
        <v>301.12</v>
      </c>
      <c r="W241" s="16">
        <v>-9.5</v>
      </c>
      <c r="X241" s="19" t="str">
        <f>TEXT(Table4_1[[#This Row],[date]], "hh:mm")</f>
        <v>12:00</v>
      </c>
      <c r="Y241" s="25" t="str">
        <f t="shared" si="3"/>
        <v/>
      </c>
      <c r="Z241" s="22">
        <v>0</v>
      </c>
    </row>
    <row r="242" spans="1:26">
      <c r="A242" s="13">
        <v>45854.520833333336</v>
      </c>
      <c r="B242" s="14">
        <v>-92.57</v>
      </c>
      <c r="C242" s="15">
        <v>-271.18</v>
      </c>
      <c r="D242" s="15">
        <v>-283.45</v>
      </c>
      <c r="E242" s="15">
        <v>914.72</v>
      </c>
      <c r="F242" s="15">
        <v>3401.49</v>
      </c>
      <c r="G242" s="15">
        <v>-0.89</v>
      </c>
      <c r="H242" s="15">
        <v>0</v>
      </c>
      <c r="I242" s="15">
        <v>36.44</v>
      </c>
      <c r="J242" s="15">
        <v>1.18</v>
      </c>
      <c r="K242" s="15">
        <v>0</v>
      </c>
      <c r="L242" s="15">
        <v>418.58</v>
      </c>
      <c r="M242" s="15">
        <v>2571.08</v>
      </c>
      <c r="N242" s="15">
        <v>3708.24</v>
      </c>
      <c r="O242" s="15">
        <v>15.85</v>
      </c>
      <c r="P242" s="15">
        <v>65.56</v>
      </c>
      <c r="Q242" s="15">
        <v>241.96</v>
      </c>
      <c r="R242" s="15">
        <v>1539.08</v>
      </c>
      <c r="S242" s="15">
        <v>0.03</v>
      </c>
      <c r="T242" s="15">
        <v>0</v>
      </c>
      <c r="U242" s="15">
        <v>10.97</v>
      </c>
      <c r="V242" s="15">
        <v>297.99</v>
      </c>
      <c r="W242" s="16">
        <v>56.98</v>
      </c>
      <c r="X242" s="19" t="str">
        <f>TEXT(Table4_1[[#This Row],[date]], "hh:mm")</f>
        <v>12:30</v>
      </c>
      <c r="Y242" s="25" t="str">
        <f t="shared" si="3"/>
        <v/>
      </c>
      <c r="Z242" s="22">
        <v>0</v>
      </c>
    </row>
    <row r="243" spans="1:26">
      <c r="A243" s="13">
        <v>45854.541666666664</v>
      </c>
      <c r="B243" s="14">
        <v>-213.99</v>
      </c>
      <c r="C243" s="15">
        <v>-271.22000000000003</v>
      </c>
      <c r="D243" s="15">
        <v>-265.19</v>
      </c>
      <c r="E243" s="15">
        <v>907.66</v>
      </c>
      <c r="F243" s="15">
        <v>3382.89</v>
      </c>
      <c r="G243" s="15">
        <v>5.98</v>
      </c>
      <c r="H243" s="15">
        <v>0</v>
      </c>
      <c r="I243" s="15">
        <v>37.31</v>
      </c>
      <c r="J243" s="15">
        <v>0.42</v>
      </c>
      <c r="K243" s="15">
        <v>0</v>
      </c>
      <c r="L243" s="15">
        <v>507.13</v>
      </c>
      <c r="M243" s="15">
        <v>2446.92</v>
      </c>
      <c r="N243" s="15">
        <v>3593.2</v>
      </c>
      <c r="O243" s="15">
        <v>16.43</v>
      </c>
      <c r="P243" s="15">
        <v>61.46</v>
      </c>
      <c r="Q243" s="15">
        <v>241.73</v>
      </c>
      <c r="R243" s="15">
        <v>1530.81</v>
      </c>
      <c r="S243" s="15">
        <v>0.12</v>
      </c>
      <c r="T243" s="15">
        <v>0</v>
      </c>
      <c r="U243" s="15">
        <v>11.23</v>
      </c>
      <c r="V243" s="15">
        <v>304.44</v>
      </c>
      <c r="W243" s="16">
        <v>-14.99</v>
      </c>
      <c r="X243" s="19" t="str">
        <f>TEXT(Table4_1[[#This Row],[date]], "hh:mm")</f>
        <v>13:00</v>
      </c>
      <c r="Y243" s="25" t="str">
        <f t="shared" si="3"/>
        <v/>
      </c>
      <c r="Z243" s="22">
        <v>0</v>
      </c>
    </row>
    <row r="244" spans="1:26">
      <c r="A244" s="13">
        <v>45854.5625</v>
      </c>
      <c r="B244" s="14">
        <v>-154.68</v>
      </c>
      <c r="C244" s="15">
        <v>-270.79000000000002</v>
      </c>
      <c r="D244" s="15">
        <v>-282.10000000000002</v>
      </c>
      <c r="E244" s="15">
        <v>906.06</v>
      </c>
      <c r="F244" s="15">
        <v>3391.47</v>
      </c>
      <c r="G244" s="15">
        <v>17.32</v>
      </c>
      <c r="H244" s="15">
        <v>0</v>
      </c>
      <c r="I244" s="15">
        <v>36.93</v>
      </c>
      <c r="J244" s="15">
        <v>17.059999999999999</v>
      </c>
      <c r="K244" s="15">
        <v>0</v>
      </c>
      <c r="L244" s="15">
        <v>550.49</v>
      </c>
      <c r="M244" s="15">
        <v>2344.6</v>
      </c>
      <c r="N244" s="15">
        <v>3386.53</v>
      </c>
      <c r="O244" s="15">
        <v>16.79</v>
      </c>
      <c r="P244" s="15">
        <v>65.8</v>
      </c>
      <c r="Q244" s="15">
        <v>239.66</v>
      </c>
      <c r="R244" s="15">
        <v>1534.69</v>
      </c>
      <c r="S244" s="15">
        <v>0.31</v>
      </c>
      <c r="T244" s="15">
        <v>0</v>
      </c>
      <c r="U244" s="15">
        <v>11.12</v>
      </c>
      <c r="V244" s="15">
        <v>311</v>
      </c>
      <c r="W244" s="16">
        <v>-18</v>
      </c>
      <c r="X244" s="19" t="str">
        <f>TEXT(Table4_1[[#This Row],[date]], "hh:mm")</f>
        <v>13:30</v>
      </c>
      <c r="Y244" s="25" t="str">
        <f t="shared" si="3"/>
        <v/>
      </c>
      <c r="Z244" s="22">
        <v>0</v>
      </c>
    </row>
    <row r="245" spans="1:26">
      <c r="A245" s="13">
        <v>45854.583333333336</v>
      </c>
      <c r="B245" s="14">
        <v>-57.89</v>
      </c>
      <c r="C245" s="15">
        <v>-271.17</v>
      </c>
      <c r="D245" s="15">
        <v>-265.55</v>
      </c>
      <c r="E245" s="15">
        <v>863.9</v>
      </c>
      <c r="F245" s="15">
        <v>3393.65</v>
      </c>
      <c r="G245" s="15">
        <v>16.13</v>
      </c>
      <c r="H245" s="15">
        <v>0</v>
      </c>
      <c r="I245" s="15">
        <v>36.880000000000003</v>
      </c>
      <c r="J245" s="15">
        <v>1.87</v>
      </c>
      <c r="K245" s="15">
        <v>0</v>
      </c>
      <c r="L245" s="15">
        <v>618.38</v>
      </c>
      <c r="M245" s="15">
        <v>2393.77</v>
      </c>
      <c r="N245" s="15">
        <v>3096.16</v>
      </c>
      <c r="O245" s="15">
        <v>17.25</v>
      </c>
      <c r="P245" s="15">
        <v>60.99</v>
      </c>
      <c r="Q245" s="15">
        <v>234.58</v>
      </c>
      <c r="R245" s="15">
        <v>1535.72</v>
      </c>
      <c r="S245" s="15">
        <v>0.28000000000000003</v>
      </c>
      <c r="T245" s="15">
        <v>0</v>
      </c>
      <c r="U245" s="15">
        <v>11.1</v>
      </c>
      <c r="V245" s="15">
        <v>314.89999999999998</v>
      </c>
      <c r="W245" s="16">
        <v>-9.5</v>
      </c>
      <c r="X245" s="19" t="str">
        <f>TEXT(Table4_1[[#This Row],[date]], "hh:mm")</f>
        <v>14:00</v>
      </c>
      <c r="Y245" s="25" t="str">
        <f t="shared" si="3"/>
        <v/>
      </c>
      <c r="Z245" s="22">
        <v>0</v>
      </c>
    </row>
    <row r="246" spans="1:26">
      <c r="A246" s="13">
        <v>45854.604166666664</v>
      </c>
      <c r="B246" s="14">
        <v>-116.89</v>
      </c>
      <c r="C246" s="15">
        <v>-271.07</v>
      </c>
      <c r="D246" s="15">
        <v>-233.49</v>
      </c>
      <c r="E246" s="15">
        <v>907.39</v>
      </c>
      <c r="F246" s="15">
        <v>3576.46</v>
      </c>
      <c r="G246" s="15">
        <v>14.86</v>
      </c>
      <c r="H246" s="15">
        <v>0</v>
      </c>
      <c r="I246" s="15">
        <v>37.08</v>
      </c>
      <c r="J246" s="15">
        <v>1.87</v>
      </c>
      <c r="K246" s="15">
        <v>0</v>
      </c>
      <c r="L246" s="15">
        <v>660.47</v>
      </c>
      <c r="M246" s="15">
        <v>2390.09</v>
      </c>
      <c r="N246" s="15">
        <v>2720.09</v>
      </c>
      <c r="O246" s="15">
        <v>17.63</v>
      </c>
      <c r="P246" s="15">
        <v>54.79</v>
      </c>
      <c r="Q246" s="15">
        <v>243.47</v>
      </c>
      <c r="R246" s="15">
        <v>1619.36</v>
      </c>
      <c r="S246" s="15">
        <v>0.26</v>
      </c>
      <c r="T246" s="15">
        <v>0</v>
      </c>
      <c r="U246" s="15">
        <v>11.17</v>
      </c>
      <c r="V246" s="15">
        <v>336.7</v>
      </c>
      <c r="W246" s="16">
        <v>-14.99</v>
      </c>
      <c r="X246" s="19" t="str">
        <f>TEXT(Table4_1[[#This Row],[date]], "hh:mm")</f>
        <v>14:30</v>
      </c>
      <c r="Y246" s="25" t="str">
        <f t="shared" si="3"/>
        <v/>
      </c>
      <c r="Z246" s="22">
        <v>0</v>
      </c>
    </row>
    <row r="247" spans="1:26">
      <c r="A247" s="13">
        <v>45854.625</v>
      </c>
      <c r="B247" s="14">
        <v>-5.53</v>
      </c>
      <c r="C247" s="15">
        <v>-271.54000000000002</v>
      </c>
      <c r="D247" s="15">
        <v>-253.13</v>
      </c>
      <c r="E247" s="15">
        <v>804.33</v>
      </c>
      <c r="F247" s="15">
        <v>3890.8</v>
      </c>
      <c r="G247" s="15">
        <v>14.82</v>
      </c>
      <c r="H247" s="15">
        <v>3.83</v>
      </c>
      <c r="I247" s="15">
        <v>37.17</v>
      </c>
      <c r="J247" s="15">
        <v>6.61</v>
      </c>
      <c r="K247" s="15">
        <v>0</v>
      </c>
      <c r="L247" s="15">
        <v>663.22</v>
      </c>
      <c r="M247" s="15">
        <v>2312.6</v>
      </c>
      <c r="N247" s="15">
        <v>2242.0500000000002</v>
      </c>
      <c r="O247" s="15">
        <v>17.66</v>
      </c>
      <c r="P247" s="15">
        <v>62.32</v>
      </c>
      <c r="Q247" s="15">
        <v>207.72</v>
      </c>
      <c r="R247" s="15">
        <v>1761.27</v>
      </c>
      <c r="S247" s="15">
        <v>0.26</v>
      </c>
      <c r="T247" s="15">
        <v>0.71</v>
      </c>
      <c r="U247" s="15">
        <v>11.19</v>
      </c>
      <c r="V247" s="15">
        <v>375.52</v>
      </c>
      <c r="W247" s="16">
        <v>35.880000000000003</v>
      </c>
      <c r="X247" s="19" t="str">
        <f>TEXT(Table4_1[[#This Row],[date]], "hh:mm")</f>
        <v>15:00</v>
      </c>
      <c r="Y247" s="25" t="str">
        <f t="shared" si="3"/>
        <v/>
      </c>
      <c r="Z247" s="22">
        <v>0</v>
      </c>
    </row>
    <row r="248" spans="1:26">
      <c r="A248" s="13">
        <v>45854.645833333336</v>
      </c>
      <c r="B248" s="14">
        <v>-17.36</v>
      </c>
      <c r="C248" s="15">
        <v>-58.45</v>
      </c>
      <c r="D248" s="15">
        <v>-270.01</v>
      </c>
      <c r="E248" s="15">
        <v>805.58</v>
      </c>
      <c r="F248" s="15">
        <v>4338.79</v>
      </c>
      <c r="G248" s="15">
        <v>15.96</v>
      </c>
      <c r="H248" s="15">
        <v>101.33</v>
      </c>
      <c r="I248" s="15">
        <v>37.840000000000003</v>
      </c>
      <c r="J248" s="15">
        <v>32.04</v>
      </c>
      <c r="K248" s="15">
        <v>0</v>
      </c>
      <c r="L248" s="15">
        <v>642.19000000000005</v>
      </c>
      <c r="M248" s="15">
        <v>2153.73</v>
      </c>
      <c r="N248" s="15">
        <v>1667.16</v>
      </c>
      <c r="O248" s="15">
        <v>17.87</v>
      </c>
      <c r="P248" s="15">
        <v>73</v>
      </c>
      <c r="Q248" s="15">
        <v>218.14</v>
      </c>
      <c r="R248" s="15">
        <v>1965.32</v>
      </c>
      <c r="S248" s="15">
        <v>0.28000000000000003</v>
      </c>
      <c r="T248" s="15">
        <v>18.84</v>
      </c>
      <c r="U248" s="15">
        <v>11.39</v>
      </c>
      <c r="V248" s="15">
        <v>422.45</v>
      </c>
      <c r="W248" s="16">
        <v>0</v>
      </c>
      <c r="X248" s="19" t="str">
        <f>TEXT(Table4_1[[#This Row],[date]], "hh:mm")</f>
        <v>15:30</v>
      </c>
      <c r="Y248" s="25" t="str">
        <f t="shared" si="3"/>
        <v/>
      </c>
      <c r="Z248" s="22">
        <v>0</v>
      </c>
    </row>
    <row r="249" spans="1:26">
      <c r="A249" s="13">
        <v>45854.666666666664</v>
      </c>
      <c r="B249" s="14">
        <v>-16.07</v>
      </c>
      <c r="C249" s="15">
        <v>0</v>
      </c>
      <c r="D249" s="15">
        <v>-170.57</v>
      </c>
      <c r="E249" s="15">
        <v>726.44</v>
      </c>
      <c r="F249" s="15">
        <v>5004.04</v>
      </c>
      <c r="G249" s="15">
        <v>15.33</v>
      </c>
      <c r="H249" s="15">
        <v>233.17</v>
      </c>
      <c r="I249" s="15">
        <v>103.98</v>
      </c>
      <c r="J249" s="15">
        <v>46.69</v>
      </c>
      <c r="K249" s="15">
        <v>0</v>
      </c>
      <c r="L249" s="15">
        <v>613.4</v>
      </c>
      <c r="M249" s="15">
        <v>1732.88</v>
      </c>
      <c r="N249" s="15">
        <v>1077.18</v>
      </c>
      <c r="O249" s="15">
        <v>16.55</v>
      </c>
      <c r="P249" s="15">
        <v>51.42</v>
      </c>
      <c r="Q249" s="15">
        <v>219.37</v>
      </c>
      <c r="R249" s="15">
        <v>2269.4899999999998</v>
      </c>
      <c r="S249" s="15">
        <v>0.28000000000000003</v>
      </c>
      <c r="T249" s="15">
        <v>43.35</v>
      </c>
      <c r="U249" s="15">
        <v>30.76</v>
      </c>
      <c r="V249" s="15">
        <v>500.48</v>
      </c>
      <c r="W249" s="16">
        <v>102.78</v>
      </c>
      <c r="X249" s="19" t="str">
        <f>TEXT(Table4_1[[#This Row],[date]], "hh:mm")</f>
        <v>16:00</v>
      </c>
      <c r="Y249" s="25" t="str">
        <f t="shared" si="3"/>
        <v/>
      </c>
      <c r="Z249" s="22">
        <v>0</v>
      </c>
    </row>
    <row r="250" spans="1:26">
      <c r="A250" s="13">
        <v>45854.6875</v>
      </c>
      <c r="B250" s="14">
        <v>-155.34</v>
      </c>
      <c r="C250" s="15">
        <v>0</v>
      </c>
      <c r="D250" s="15">
        <v>-294.61</v>
      </c>
      <c r="E250" s="15">
        <v>617.04</v>
      </c>
      <c r="F250" s="15">
        <v>6023.8</v>
      </c>
      <c r="G250" s="15">
        <v>5.85</v>
      </c>
      <c r="H250" s="15">
        <v>401.83</v>
      </c>
      <c r="I250" s="15">
        <v>544.23</v>
      </c>
      <c r="J250" s="15">
        <v>117.61</v>
      </c>
      <c r="K250" s="15">
        <v>360.59</v>
      </c>
      <c r="L250" s="15">
        <v>600.11</v>
      </c>
      <c r="M250" s="15">
        <v>1049.21</v>
      </c>
      <c r="N250" s="15">
        <v>544.84</v>
      </c>
      <c r="O250" s="15">
        <v>15.73</v>
      </c>
      <c r="P250" s="15">
        <v>95.76</v>
      </c>
      <c r="Q250" s="15">
        <v>204.6</v>
      </c>
      <c r="R250" s="15">
        <v>2732.22</v>
      </c>
      <c r="S250" s="15">
        <v>0.28000000000000003</v>
      </c>
      <c r="T250" s="15">
        <v>74.7</v>
      </c>
      <c r="U250" s="15">
        <v>154.22999999999999</v>
      </c>
      <c r="V250" s="15">
        <v>603.44000000000005</v>
      </c>
      <c r="W250" s="16">
        <v>97.87</v>
      </c>
      <c r="X250" s="19" t="str">
        <f>TEXT(Table4_1[[#This Row],[date]], "hh:mm")</f>
        <v>16:30</v>
      </c>
      <c r="Y250" s="25" t="str">
        <f t="shared" si="3"/>
        <v/>
      </c>
      <c r="Z250" s="22">
        <v>0</v>
      </c>
    </row>
    <row r="251" spans="1:26">
      <c r="A251" s="13">
        <v>45854.708333333336</v>
      </c>
      <c r="B251" s="14">
        <v>-8.01</v>
      </c>
      <c r="C251" s="15">
        <v>0</v>
      </c>
      <c r="D251" s="15">
        <v>-203.07</v>
      </c>
      <c r="E251" s="15">
        <v>645.45000000000005</v>
      </c>
      <c r="F251" s="15">
        <v>6450.83</v>
      </c>
      <c r="G251" s="15">
        <v>-4.87</v>
      </c>
      <c r="H251" s="15">
        <v>441.5</v>
      </c>
      <c r="I251" s="15">
        <v>727.54</v>
      </c>
      <c r="J251" s="15">
        <v>269.66000000000003</v>
      </c>
      <c r="K251" s="15">
        <v>873.38</v>
      </c>
      <c r="L251" s="15">
        <v>555.47</v>
      </c>
      <c r="M251" s="15">
        <v>294.99</v>
      </c>
      <c r="N251" s="15">
        <v>161.56</v>
      </c>
      <c r="O251" s="15">
        <v>14.95</v>
      </c>
      <c r="P251" s="15">
        <v>67.55</v>
      </c>
      <c r="Q251" s="15">
        <v>224.01</v>
      </c>
      <c r="R251" s="15">
        <v>2920.34</v>
      </c>
      <c r="S251" s="15">
        <v>0.37</v>
      </c>
      <c r="T251" s="15">
        <v>82.07</v>
      </c>
      <c r="U251" s="15">
        <v>209.64</v>
      </c>
      <c r="V251" s="15">
        <v>629.61</v>
      </c>
      <c r="W251" s="16">
        <v>173.64</v>
      </c>
      <c r="X251" s="19" t="str">
        <f>TEXT(Table4_1[[#This Row],[date]], "hh:mm")</f>
        <v>17:00</v>
      </c>
      <c r="Y251" s="25" t="str">
        <f t="shared" si="3"/>
        <v/>
      </c>
      <c r="Z251" s="22">
        <v>0</v>
      </c>
    </row>
    <row r="252" spans="1:26">
      <c r="A252" s="13">
        <v>45854.729166666664</v>
      </c>
      <c r="B252" s="14">
        <v>-1.68</v>
      </c>
      <c r="C252" s="15">
        <v>0</v>
      </c>
      <c r="D252" s="15">
        <v>-73.92</v>
      </c>
      <c r="E252" s="15">
        <v>667.17</v>
      </c>
      <c r="F252" s="15">
        <v>6796.95</v>
      </c>
      <c r="G252" s="15">
        <v>-6.02</v>
      </c>
      <c r="H252" s="15">
        <v>449</v>
      </c>
      <c r="I252" s="15">
        <v>1026.98</v>
      </c>
      <c r="J252" s="15">
        <v>307.17</v>
      </c>
      <c r="K252" s="15">
        <v>1086.53</v>
      </c>
      <c r="L252" s="15">
        <v>513.66999999999996</v>
      </c>
      <c r="M252" s="15">
        <v>12.64</v>
      </c>
      <c r="N252" s="15">
        <v>18.989999999999998</v>
      </c>
      <c r="O252" s="15">
        <v>14.01</v>
      </c>
      <c r="P252" s="15">
        <v>25.25</v>
      </c>
      <c r="Q252" s="15">
        <v>233.29</v>
      </c>
      <c r="R252" s="15">
        <v>3077.33</v>
      </c>
      <c r="S252" s="15">
        <v>0.38</v>
      </c>
      <c r="T252" s="15">
        <v>83.47</v>
      </c>
      <c r="U252" s="15">
        <v>323.76</v>
      </c>
      <c r="V252" s="15">
        <v>645.51</v>
      </c>
      <c r="W252" s="16">
        <v>158.97999999999999</v>
      </c>
      <c r="X252" s="19" t="str">
        <f>TEXT(Table4_1[[#This Row],[date]], "hh:mm")</f>
        <v>17:30</v>
      </c>
      <c r="Y252" s="25" t="str">
        <f t="shared" si="3"/>
        <v/>
      </c>
      <c r="Z252" s="22">
        <v>0</v>
      </c>
    </row>
    <row r="253" spans="1:26">
      <c r="A253" s="13">
        <v>45854.75</v>
      </c>
      <c r="B253" s="14">
        <v>-2.61</v>
      </c>
      <c r="C253" s="15">
        <v>0</v>
      </c>
      <c r="D253" s="15">
        <v>0</v>
      </c>
      <c r="E253" s="15">
        <v>1031.05</v>
      </c>
      <c r="F253" s="15">
        <v>6879</v>
      </c>
      <c r="G253" s="15">
        <v>-4.0199999999999996</v>
      </c>
      <c r="H253" s="15">
        <v>476.23</v>
      </c>
      <c r="I253" s="15">
        <v>1039.6400000000001</v>
      </c>
      <c r="J253" s="15">
        <v>253.76</v>
      </c>
      <c r="K253" s="15">
        <v>1265.21</v>
      </c>
      <c r="L253" s="15">
        <v>530.42999999999995</v>
      </c>
      <c r="M253" s="15">
        <v>0.05</v>
      </c>
      <c r="N253" s="15">
        <v>0.26</v>
      </c>
      <c r="O253" s="15">
        <v>13.34</v>
      </c>
      <c r="P253" s="15">
        <v>0</v>
      </c>
      <c r="Q253" s="15">
        <v>366.43</v>
      </c>
      <c r="R253" s="15">
        <v>3116.91</v>
      </c>
      <c r="S253" s="15">
        <v>0.42</v>
      </c>
      <c r="T253" s="15">
        <v>93.16</v>
      </c>
      <c r="U253" s="15">
        <v>328.64</v>
      </c>
      <c r="V253" s="15">
        <v>617.16</v>
      </c>
      <c r="W253" s="16">
        <v>277.92</v>
      </c>
      <c r="X253" s="19" t="str">
        <f>TEXT(Table4_1[[#This Row],[date]], "hh:mm")</f>
        <v>18:00</v>
      </c>
      <c r="Y253" s="25" t="str">
        <f t="shared" si="3"/>
        <v/>
      </c>
      <c r="Z253" s="22">
        <v>0</v>
      </c>
    </row>
    <row r="254" spans="1:26">
      <c r="A254" s="13">
        <v>45854.770833333336</v>
      </c>
      <c r="B254" s="14">
        <v>-1.85</v>
      </c>
      <c r="C254" s="15">
        <v>0</v>
      </c>
      <c r="D254" s="15">
        <v>0</v>
      </c>
      <c r="E254" s="15">
        <v>1143.03</v>
      </c>
      <c r="F254" s="15">
        <v>6902.17</v>
      </c>
      <c r="G254" s="15">
        <v>-2.09</v>
      </c>
      <c r="H254" s="15">
        <v>529.34</v>
      </c>
      <c r="I254" s="15">
        <v>1032.6600000000001</v>
      </c>
      <c r="J254" s="15">
        <v>241.43</v>
      </c>
      <c r="K254" s="15">
        <v>1389.06</v>
      </c>
      <c r="L254" s="15">
        <v>528.08000000000004</v>
      </c>
      <c r="M254" s="15">
        <v>0.05</v>
      </c>
      <c r="N254" s="15">
        <v>0</v>
      </c>
      <c r="O254" s="15">
        <v>13.36</v>
      </c>
      <c r="P254" s="15">
        <v>0</v>
      </c>
      <c r="Q254" s="15">
        <v>402.87</v>
      </c>
      <c r="R254" s="15">
        <v>3128.49</v>
      </c>
      <c r="S254" s="15">
        <v>0.45</v>
      </c>
      <c r="T254" s="15">
        <v>112.27</v>
      </c>
      <c r="U254" s="15">
        <v>326.66000000000003</v>
      </c>
      <c r="V254" s="15">
        <v>606.67999999999995</v>
      </c>
      <c r="W254" s="16">
        <v>261.18</v>
      </c>
      <c r="X254" s="19" t="str">
        <f>TEXT(Table4_1[[#This Row],[date]], "hh:mm")</f>
        <v>18:30</v>
      </c>
      <c r="Y254" s="25" t="str">
        <f t="shared" si="3"/>
        <v/>
      </c>
      <c r="Z254" s="22">
        <v>0</v>
      </c>
    </row>
    <row r="255" spans="1:26">
      <c r="A255" s="13">
        <v>45854.791666666664</v>
      </c>
      <c r="B255" s="14">
        <v>-1.62</v>
      </c>
      <c r="C255" s="15">
        <v>0</v>
      </c>
      <c r="D255" s="15">
        <v>0</v>
      </c>
      <c r="E255" s="15">
        <v>1149.19</v>
      </c>
      <c r="F255" s="15">
        <v>6929.51</v>
      </c>
      <c r="G255" s="15">
        <v>-2.2000000000000002</v>
      </c>
      <c r="H255" s="15">
        <v>530.91999999999996</v>
      </c>
      <c r="I255" s="15">
        <v>1023.79</v>
      </c>
      <c r="J255" s="15">
        <v>186.71</v>
      </c>
      <c r="K255" s="15">
        <v>1433.19</v>
      </c>
      <c r="L255" s="15">
        <v>540.27</v>
      </c>
      <c r="M255" s="15">
        <v>0.05</v>
      </c>
      <c r="N255" s="15">
        <v>0</v>
      </c>
      <c r="O255" s="15">
        <v>12.53</v>
      </c>
      <c r="P255" s="15">
        <v>0</v>
      </c>
      <c r="Q255" s="15">
        <v>409.93</v>
      </c>
      <c r="R255" s="15">
        <v>3140.87</v>
      </c>
      <c r="S255" s="15">
        <v>0.45</v>
      </c>
      <c r="T255" s="15">
        <v>112.61</v>
      </c>
      <c r="U255" s="15">
        <v>324.31</v>
      </c>
      <c r="V255" s="15">
        <v>607.01</v>
      </c>
      <c r="W255" s="16">
        <v>299.99</v>
      </c>
      <c r="X255" s="19" t="str">
        <f>TEXT(Table4_1[[#This Row],[date]], "hh:mm")</f>
        <v>19:00</v>
      </c>
      <c r="Y255" s="25" t="str">
        <f t="shared" si="3"/>
        <v/>
      </c>
      <c r="Z255" s="22">
        <v>0</v>
      </c>
    </row>
    <row r="256" spans="1:26">
      <c r="A256" s="13">
        <v>45854.8125</v>
      </c>
      <c r="B256" s="14">
        <v>-4.66</v>
      </c>
      <c r="C256" s="15">
        <v>0</v>
      </c>
      <c r="D256" s="15">
        <v>0</v>
      </c>
      <c r="E256" s="15">
        <v>1184.05</v>
      </c>
      <c r="F256" s="15">
        <v>6949.18</v>
      </c>
      <c r="G256" s="15">
        <v>-0.41</v>
      </c>
      <c r="H256" s="15">
        <v>530.16999999999996</v>
      </c>
      <c r="I256" s="15">
        <v>1042.5</v>
      </c>
      <c r="J256" s="15">
        <v>65.61</v>
      </c>
      <c r="K256" s="15">
        <v>1398.95</v>
      </c>
      <c r="L256" s="15">
        <v>466.98</v>
      </c>
      <c r="M256" s="15">
        <v>0.05</v>
      </c>
      <c r="N256" s="15">
        <v>0</v>
      </c>
      <c r="O256" s="15">
        <v>11.86</v>
      </c>
      <c r="P256" s="15">
        <v>0</v>
      </c>
      <c r="Q256" s="15">
        <v>420.19</v>
      </c>
      <c r="R256" s="15">
        <v>3149.38</v>
      </c>
      <c r="S256" s="15">
        <v>0.45</v>
      </c>
      <c r="T256" s="15">
        <v>112.45</v>
      </c>
      <c r="U256" s="15">
        <v>329.49</v>
      </c>
      <c r="V256" s="15">
        <v>617.54999999999995</v>
      </c>
      <c r="W256" s="16">
        <v>240.57</v>
      </c>
      <c r="X256" s="19" t="str">
        <f>TEXT(Table4_1[[#This Row],[date]], "hh:mm")</f>
        <v>19:30</v>
      </c>
      <c r="Y256" s="25" t="str">
        <f t="shared" si="3"/>
        <v/>
      </c>
      <c r="Z256" s="22">
        <v>0</v>
      </c>
    </row>
    <row r="257" spans="1:26">
      <c r="A257" s="13">
        <v>45854.833333333336</v>
      </c>
      <c r="B257" s="14">
        <v>-2.19</v>
      </c>
      <c r="C257" s="15">
        <v>0</v>
      </c>
      <c r="D257" s="15">
        <v>0</v>
      </c>
      <c r="E257" s="15">
        <v>1264.25</v>
      </c>
      <c r="F257" s="15">
        <v>6958.2</v>
      </c>
      <c r="G257" s="15">
        <v>-1.6</v>
      </c>
      <c r="H257" s="15">
        <v>531.04999999999995</v>
      </c>
      <c r="I257" s="15">
        <v>1036.0999999999999</v>
      </c>
      <c r="J257" s="15">
        <v>38.51</v>
      </c>
      <c r="K257" s="15">
        <v>1178.3399999999999</v>
      </c>
      <c r="L257" s="15">
        <v>444.76</v>
      </c>
      <c r="M257" s="15">
        <v>0.05</v>
      </c>
      <c r="N257" s="15">
        <v>0</v>
      </c>
      <c r="O257" s="15">
        <v>11.34</v>
      </c>
      <c r="P257" s="15">
        <v>0</v>
      </c>
      <c r="Q257" s="15">
        <v>448.01</v>
      </c>
      <c r="R257" s="15">
        <v>3151.81</v>
      </c>
      <c r="S257" s="15">
        <v>0.41</v>
      </c>
      <c r="T257" s="15">
        <v>112.77</v>
      </c>
      <c r="U257" s="15">
        <v>327.74</v>
      </c>
      <c r="V257" s="15">
        <v>627.69000000000005</v>
      </c>
      <c r="W257" s="16">
        <v>207.34</v>
      </c>
      <c r="X257" s="19" t="str">
        <f>TEXT(Table4_1[[#This Row],[date]], "hh:mm")</f>
        <v>20:00</v>
      </c>
      <c r="Y257" s="25" t="str">
        <f t="shared" si="3"/>
        <v/>
      </c>
      <c r="Z257" s="22">
        <v>0</v>
      </c>
    </row>
    <row r="258" spans="1:26">
      <c r="A258" s="13">
        <v>45854.854166666664</v>
      </c>
      <c r="B258" s="14">
        <v>-3.13</v>
      </c>
      <c r="C258" s="15">
        <v>0</v>
      </c>
      <c r="D258" s="15">
        <v>0</v>
      </c>
      <c r="E258" s="15">
        <v>1288.56</v>
      </c>
      <c r="F258" s="15">
        <v>6928.49</v>
      </c>
      <c r="G258" s="15">
        <v>-1.25</v>
      </c>
      <c r="H258" s="15">
        <v>517.71</v>
      </c>
      <c r="I258" s="15">
        <v>1030.04</v>
      </c>
      <c r="J258" s="15">
        <v>19.989999999999998</v>
      </c>
      <c r="K258" s="15">
        <v>1096.73</v>
      </c>
      <c r="L258" s="15">
        <v>427.13</v>
      </c>
      <c r="M258" s="15">
        <v>0.05</v>
      </c>
      <c r="N258" s="15">
        <v>0</v>
      </c>
      <c r="O258" s="15">
        <v>10.84</v>
      </c>
      <c r="P258" s="15">
        <v>0</v>
      </c>
      <c r="Q258" s="15">
        <v>451.79</v>
      </c>
      <c r="R258" s="15">
        <v>3134.31</v>
      </c>
      <c r="S258" s="15">
        <v>0.43</v>
      </c>
      <c r="T258" s="15">
        <v>107.97</v>
      </c>
      <c r="U258" s="15">
        <v>326.01</v>
      </c>
      <c r="V258" s="15">
        <v>631.39</v>
      </c>
      <c r="W258" s="16">
        <v>175.46</v>
      </c>
      <c r="X258" s="19" t="str">
        <f>TEXT(Table4_1[[#This Row],[date]], "hh:mm")</f>
        <v>20:30</v>
      </c>
      <c r="Y258" s="25" t="str">
        <f t="shared" ref="Y258:Y321" si="4">IF(AND(HOUR(A258)=0,MINUTE(A258)=0),TEXT(A258,"d mmm"),"")</f>
        <v/>
      </c>
      <c r="Z258" s="22">
        <v>0</v>
      </c>
    </row>
    <row r="259" spans="1:26">
      <c r="A259" s="13">
        <v>45854.875</v>
      </c>
      <c r="B259" s="14">
        <v>-3.06</v>
      </c>
      <c r="C259" s="15">
        <v>0</v>
      </c>
      <c r="D259" s="15">
        <v>0</v>
      </c>
      <c r="E259" s="15">
        <v>1368.04</v>
      </c>
      <c r="F259" s="15">
        <v>6979.48</v>
      </c>
      <c r="G259" s="15">
        <v>-0.04</v>
      </c>
      <c r="H259" s="15">
        <v>450</v>
      </c>
      <c r="I259" s="15">
        <v>855.34</v>
      </c>
      <c r="J259" s="15">
        <v>4.79</v>
      </c>
      <c r="K259" s="15">
        <v>1021.54</v>
      </c>
      <c r="L259" s="15">
        <v>419.54</v>
      </c>
      <c r="M259" s="15">
        <v>0.05</v>
      </c>
      <c r="N259" s="15">
        <v>0</v>
      </c>
      <c r="O259" s="15">
        <v>10.38</v>
      </c>
      <c r="P259" s="15">
        <v>0</v>
      </c>
      <c r="Q259" s="15">
        <v>474.17</v>
      </c>
      <c r="R259" s="15">
        <v>3157.86</v>
      </c>
      <c r="S259" s="15">
        <v>0.43</v>
      </c>
      <c r="T259" s="15">
        <v>83.65</v>
      </c>
      <c r="U259" s="15">
        <v>276.74</v>
      </c>
      <c r="V259" s="15">
        <v>634.24</v>
      </c>
      <c r="W259" s="16">
        <v>158.97999999999999</v>
      </c>
      <c r="X259" s="19" t="str">
        <f>TEXT(Table4_1[[#This Row],[date]], "hh:mm")</f>
        <v>21:00</v>
      </c>
      <c r="Y259" s="25" t="str">
        <f t="shared" si="4"/>
        <v/>
      </c>
      <c r="Z259" s="22">
        <v>0</v>
      </c>
    </row>
    <row r="260" spans="1:26">
      <c r="A260" s="13">
        <v>45854.895833333336</v>
      </c>
      <c r="B260" s="14">
        <v>-9.59</v>
      </c>
      <c r="C260" s="15">
        <v>0</v>
      </c>
      <c r="D260" s="15">
        <v>0</v>
      </c>
      <c r="E260" s="15">
        <v>1437.46</v>
      </c>
      <c r="F260" s="15">
        <v>7052.77</v>
      </c>
      <c r="G260" s="15">
        <v>-1.1499999999999999</v>
      </c>
      <c r="H260" s="15">
        <v>451.33</v>
      </c>
      <c r="I260" s="15">
        <v>687.79</v>
      </c>
      <c r="J260" s="15">
        <v>0.43</v>
      </c>
      <c r="K260" s="15">
        <v>819.09</v>
      </c>
      <c r="L260" s="15">
        <v>389.36</v>
      </c>
      <c r="M260" s="15">
        <v>0.05</v>
      </c>
      <c r="N260" s="15">
        <v>0</v>
      </c>
      <c r="O260" s="15">
        <v>10.23</v>
      </c>
      <c r="P260" s="15">
        <v>0</v>
      </c>
      <c r="Q260" s="15">
        <v>489.94</v>
      </c>
      <c r="R260" s="15">
        <v>3191.83</v>
      </c>
      <c r="S260" s="15">
        <v>0.42</v>
      </c>
      <c r="T260" s="15">
        <v>83.9</v>
      </c>
      <c r="U260" s="15">
        <v>227.36</v>
      </c>
      <c r="V260" s="15">
        <v>647.15</v>
      </c>
      <c r="W260" s="16">
        <v>158.99</v>
      </c>
      <c r="X260" s="19" t="str">
        <f>TEXT(Table4_1[[#This Row],[date]], "hh:mm")</f>
        <v>21:30</v>
      </c>
      <c r="Y260" s="25" t="str">
        <f t="shared" si="4"/>
        <v/>
      </c>
      <c r="Z260" s="22">
        <v>0</v>
      </c>
    </row>
    <row r="261" spans="1:26">
      <c r="A261" s="13">
        <v>45854.916666666664</v>
      </c>
      <c r="B261" s="14">
        <v>-4.28</v>
      </c>
      <c r="C261" s="15">
        <v>0</v>
      </c>
      <c r="D261" s="15">
        <v>0</v>
      </c>
      <c r="E261" s="15">
        <v>1507.01</v>
      </c>
      <c r="F261" s="15">
        <v>7089.3</v>
      </c>
      <c r="G261" s="15">
        <v>-0.57999999999999996</v>
      </c>
      <c r="H261" s="15">
        <v>449.17</v>
      </c>
      <c r="I261" s="15">
        <v>359.53</v>
      </c>
      <c r="J261" s="15">
        <v>5.94</v>
      </c>
      <c r="K261" s="15">
        <v>540.91</v>
      </c>
      <c r="L261" s="15">
        <v>384.31</v>
      </c>
      <c r="M261" s="15">
        <v>0.05</v>
      </c>
      <c r="N261" s="15">
        <v>0</v>
      </c>
      <c r="O261" s="15">
        <v>9.6300000000000008</v>
      </c>
      <c r="P261" s="15">
        <v>0</v>
      </c>
      <c r="Q261" s="15">
        <v>507.73</v>
      </c>
      <c r="R261" s="15">
        <v>3208.5</v>
      </c>
      <c r="S261" s="15">
        <v>0.44</v>
      </c>
      <c r="T261" s="15">
        <v>83.5</v>
      </c>
      <c r="U261" s="15">
        <v>122.54</v>
      </c>
      <c r="V261" s="15">
        <v>661.09</v>
      </c>
      <c r="W261" s="16">
        <v>149.99</v>
      </c>
      <c r="X261" s="19" t="str">
        <f>TEXT(Table4_1[[#This Row],[date]], "hh:mm")</f>
        <v>22:00</v>
      </c>
      <c r="Y261" s="25" t="str">
        <f t="shared" si="4"/>
        <v/>
      </c>
      <c r="Z261" s="22">
        <v>0</v>
      </c>
    </row>
    <row r="262" spans="1:26">
      <c r="A262" s="13">
        <v>45854.9375</v>
      </c>
      <c r="B262" s="14">
        <v>-5.45</v>
      </c>
      <c r="C262" s="15">
        <v>0</v>
      </c>
      <c r="D262" s="15">
        <v>0</v>
      </c>
      <c r="E262" s="15">
        <v>1490.62</v>
      </c>
      <c r="F262" s="15">
        <v>7103.07</v>
      </c>
      <c r="G262" s="15">
        <v>0.47</v>
      </c>
      <c r="H262" s="15">
        <v>451.83</v>
      </c>
      <c r="I262" s="15">
        <v>155.96</v>
      </c>
      <c r="J262" s="15">
        <v>6.51</v>
      </c>
      <c r="K262" s="15">
        <v>506.52</v>
      </c>
      <c r="L262" s="15">
        <v>350.06</v>
      </c>
      <c r="M262" s="15">
        <v>0.05</v>
      </c>
      <c r="N262" s="15">
        <v>0</v>
      </c>
      <c r="O262" s="15">
        <v>9.3699999999999992</v>
      </c>
      <c r="P262" s="15">
        <v>0</v>
      </c>
      <c r="Q262" s="15">
        <v>495.48</v>
      </c>
      <c r="R262" s="15">
        <v>3214.65</v>
      </c>
      <c r="S262" s="15">
        <v>0.44</v>
      </c>
      <c r="T262" s="15">
        <v>84</v>
      </c>
      <c r="U262" s="15">
        <v>44.77</v>
      </c>
      <c r="V262" s="15">
        <v>664.81</v>
      </c>
      <c r="W262" s="16">
        <v>158.97999999999999</v>
      </c>
      <c r="X262" s="19" t="str">
        <f>TEXT(Table4_1[[#This Row],[date]], "hh:mm")</f>
        <v>22:30</v>
      </c>
      <c r="Y262" s="25" t="str">
        <f t="shared" si="4"/>
        <v/>
      </c>
      <c r="Z262" s="22">
        <v>0</v>
      </c>
    </row>
    <row r="263" spans="1:26">
      <c r="A263" s="13">
        <v>45854.958333333336</v>
      </c>
      <c r="B263" s="14">
        <v>-7.99</v>
      </c>
      <c r="C263" s="15">
        <v>0</v>
      </c>
      <c r="D263" s="15">
        <v>0</v>
      </c>
      <c r="E263" s="15">
        <v>1442.74</v>
      </c>
      <c r="F263" s="15">
        <v>7103.03</v>
      </c>
      <c r="G263" s="15">
        <v>3.5</v>
      </c>
      <c r="H263" s="15">
        <v>451.5</v>
      </c>
      <c r="I263" s="15">
        <v>46.71</v>
      </c>
      <c r="J263" s="15">
        <v>0.17</v>
      </c>
      <c r="K263" s="15">
        <v>346.11</v>
      </c>
      <c r="L263" s="15">
        <v>323.37</v>
      </c>
      <c r="M263" s="15">
        <v>0.05</v>
      </c>
      <c r="N263" s="15">
        <v>0</v>
      </c>
      <c r="O263" s="15">
        <v>8.92</v>
      </c>
      <c r="P263" s="15">
        <v>0</v>
      </c>
      <c r="Q263" s="15">
        <v>467.69</v>
      </c>
      <c r="R263" s="15">
        <v>3214.53</v>
      </c>
      <c r="S263" s="15">
        <v>0.44</v>
      </c>
      <c r="T263" s="15">
        <v>83.93</v>
      </c>
      <c r="U263" s="15">
        <v>13.97</v>
      </c>
      <c r="V263" s="15">
        <v>682.42</v>
      </c>
      <c r="W263" s="16">
        <v>120.01</v>
      </c>
      <c r="X263" s="19" t="str">
        <f>TEXT(Table4_1[[#This Row],[date]], "hh:mm")</f>
        <v>23:00</v>
      </c>
      <c r="Y263" s="25" t="str">
        <f t="shared" si="4"/>
        <v/>
      </c>
      <c r="Z263" s="22">
        <v>0</v>
      </c>
    </row>
    <row r="264" spans="1:26">
      <c r="A264" s="13">
        <v>45854.979166666664</v>
      </c>
      <c r="B264" s="14">
        <v>-21.5</v>
      </c>
      <c r="C264" s="15">
        <v>0</v>
      </c>
      <c r="D264" s="15">
        <v>0</v>
      </c>
      <c r="E264" s="15">
        <v>1363.85</v>
      </c>
      <c r="F264" s="15">
        <v>7075.44</v>
      </c>
      <c r="G264" s="15">
        <v>4.43</v>
      </c>
      <c r="H264" s="15">
        <v>409.5</v>
      </c>
      <c r="I264" s="15">
        <v>41.68</v>
      </c>
      <c r="J264" s="15">
        <v>0.15</v>
      </c>
      <c r="K264" s="15">
        <v>280.95999999999998</v>
      </c>
      <c r="L264" s="15">
        <v>322.82</v>
      </c>
      <c r="M264" s="15">
        <v>0.05</v>
      </c>
      <c r="N264" s="15">
        <v>0</v>
      </c>
      <c r="O264" s="15">
        <v>9.06</v>
      </c>
      <c r="P264" s="15">
        <v>0</v>
      </c>
      <c r="Q264" s="15">
        <v>429.92</v>
      </c>
      <c r="R264" s="15">
        <v>3202.17</v>
      </c>
      <c r="S264" s="15">
        <v>0.44</v>
      </c>
      <c r="T264" s="15">
        <v>76.13</v>
      </c>
      <c r="U264" s="15">
        <v>12.55</v>
      </c>
      <c r="V264" s="15">
        <v>694.56</v>
      </c>
      <c r="W264" s="16">
        <v>101.36</v>
      </c>
      <c r="X264" s="19" t="str">
        <f>TEXT(Table4_1[[#This Row],[date]], "hh:mm")</f>
        <v>23:30</v>
      </c>
      <c r="Y264" s="25" t="str">
        <f t="shared" si="4"/>
        <v/>
      </c>
      <c r="Z264" s="22">
        <v>0</v>
      </c>
    </row>
    <row r="265" spans="1:26">
      <c r="A265" s="13">
        <v>45855</v>
      </c>
      <c r="B265" s="14">
        <v>-24.29</v>
      </c>
      <c r="C265" s="15">
        <v>0</v>
      </c>
      <c r="D265" s="15">
        <v>0</v>
      </c>
      <c r="E265" s="15">
        <v>1352.12</v>
      </c>
      <c r="F265" s="15">
        <v>6928.5</v>
      </c>
      <c r="G265" s="15">
        <v>3.16</v>
      </c>
      <c r="H265" s="15">
        <v>253.83</v>
      </c>
      <c r="I265" s="15">
        <v>41.52</v>
      </c>
      <c r="J265" s="15">
        <v>1.59</v>
      </c>
      <c r="K265" s="15">
        <v>258.74</v>
      </c>
      <c r="L265" s="15">
        <v>381.32</v>
      </c>
      <c r="M265" s="15">
        <v>0.05</v>
      </c>
      <c r="N265" s="15">
        <v>0</v>
      </c>
      <c r="O265" s="15">
        <v>9.19</v>
      </c>
      <c r="P265" s="15">
        <v>0</v>
      </c>
      <c r="Q265" s="15">
        <v>408.93</v>
      </c>
      <c r="R265" s="15">
        <v>3136.41</v>
      </c>
      <c r="S265" s="15">
        <v>0.44</v>
      </c>
      <c r="T265" s="15">
        <v>47.19</v>
      </c>
      <c r="U265" s="15">
        <v>12.5</v>
      </c>
      <c r="V265" s="15">
        <v>695.16</v>
      </c>
      <c r="W265" s="16">
        <v>80.760000000000005</v>
      </c>
      <c r="X265" s="19" t="str">
        <f>TEXT(Table4_1[[#This Row],[date]], "hh:mm")</f>
        <v>00:00</v>
      </c>
      <c r="Y265" s="25" t="str">
        <f t="shared" si="4"/>
        <v>17 Jul</v>
      </c>
      <c r="Z265" s="22">
        <v>0</v>
      </c>
    </row>
    <row r="266" spans="1:26">
      <c r="A266" s="13">
        <v>45855.020833333336</v>
      </c>
      <c r="B266" s="14">
        <v>-53.84</v>
      </c>
      <c r="C266" s="15">
        <v>0</v>
      </c>
      <c r="D266" s="15">
        <v>0</v>
      </c>
      <c r="E266" s="15">
        <v>1481.85</v>
      </c>
      <c r="F266" s="15">
        <v>6704.77</v>
      </c>
      <c r="G266" s="15">
        <v>0.84</v>
      </c>
      <c r="H266" s="15">
        <v>50.17</v>
      </c>
      <c r="I266" s="15">
        <v>41.75</v>
      </c>
      <c r="J266" s="15">
        <v>3.05</v>
      </c>
      <c r="K266" s="15">
        <v>255.46</v>
      </c>
      <c r="L266" s="15">
        <v>431.06</v>
      </c>
      <c r="M266" s="15">
        <v>0.05</v>
      </c>
      <c r="N266" s="15">
        <v>0</v>
      </c>
      <c r="O266" s="15">
        <v>9.27</v>
      </c>
      <c r="P266" s="15">
        <v>0</v>
      </c>
      <c r="Q266" s="15">
        <v>430.36</v>
      </c>
      <c r="R266" s="15">
        <v>3032.31</v>
      </c>
      <c r="S266" s="15">
        <v>0.44</v>
      </c>
      <c r="T266" s="15">
        <v>9.33</v>
      </c>
      <c r="U266" s="15">
        <v>12.57</v>
      </c>
      <c r="V266" s="15">
        <v>685.27</v>
      </c>
      <c r="W266" s="16">
        <v>80.02</v>
      </c>
      <c r="X266" s="19" t="str">
        <f>TEXT(Table4_1[[#This Row],[date]], "hh:mm")</f>
        <v>00:30</v>
      </c>
      <c r="Y266" s="25" t="str">
        <f t="shared" si="4"/>
        <v/>
      </c>
      <c r="Z266" s="22">
        <v>0</v>
      </c>
    </row>
    <row r="267" spans="1:26">
      <c r="A267" s="13">
        <v>45855.041666666664</v>
      </c>
      <c r="B267" s="14">
        <v>-7.03</v>
      </c>
      <c r="C267" s="15">
        <v>0</v>
      </c>
      <c r="D267" s="15">
        <v>0</v>
      </c>
      <c r="E267" s="15">
        <v>1570.65</v>
      </c>
      <c r="F267" s="15">
        <v>6563.28</v>
      </c>
      <c r="G267" s="15">
        <v>-1.02</v>
      </c>
      <c r="H267" s="15">
        <v>0</v>
      </c>
      <c r="I267" s="15">
        <v>41.97</v>
      </c>
      <c r="J267" s="15">
        <v>0.6</v>
      </c>
      <c r="K267" s="15">
        <v>244.72</v>
      </c>
      <c r="L267" s="15">
        <v>373.11</v>
      </c>
      <c r="M267" s="15">
        <v>0.05</v>
      </c>
      <c r="N267" s="15">
        <v>0</v>
      </c>
      <c r="O267" s="15">
        <v>9.18</v>
      </c>
      <c r="P267" s="15">
        <v>0</v>
      </c>
      <c r="Q267" s="15">
        <v>455</v>
      </c>
      <c r="R267" s="15">
        <v>2966.03</v>
      </c>
      <c r="S267" s="15">
        <v>0.44</v>
      </c>
      <c r="T267" s="15">
        <v>0</v>
      </c>
      <c r="U267" s="15">
        <v>12.64</v>
      </c>
      <c r="V267" s="15">
        <v>678.12</v>
      </c>
      <c r="W267" s="16">
        <v>84.19</v>
      </c>
      <c r="X267" s="19" t="str">
        <f>TEXT(Table4_1[[#This Row],[date]], "hh:mm")</f>
        <v>01:00</v>
      </c>
      <c r="Y267" s="25" t="str">
        <f t="shared" si="4"/>
        <v/>
      </c>
      <c r="Z267" s="22">
        <v>0</v>
      </c>
    </row>
    <row r="268" spans="1:26">
      <c r="A268" s="13">
        <v>45855.0625</v>
      </c>
      <c r="B268" s="14">
        <v>-9.25</v>
      </c>
      <c r="C268" s="15">
        <v>0</v>
      </c>
      <c r="D268" s="15">
        <v>0</v>
      </c>
      <c r="E268" s="15">
        <v>1408.46</v>
      </c>
      <c r="F268" s="15">
        <v>6593.27</v>
      </c>
      <c r="G268" s="15">
        <v>-0.79</v>
      </c>
      <c r="H268" s="15">
        <v>0</v>
      </c>
      <c r="I268" s="15">
        <v>42.18</v>
      </c>
      <c r="J268" s="15">
        <v>1.62</v>
      </c>
      <c r="K268" s="15">
        <v>179.58</v>
      </c>
      <c r="L268" s="15">
        <v>327.67</v>
      </c>
      <c r="M268" s="15">
        <v>0.05</v>
      </c>
      <c r="N268" s="15">
        <v>0</v>
      </c>
      <c r="O268" s="15">
        <v>8.85</v>
      </c>
      <c r="P268" s="15">
        <v>0</v>
      </c>
      <c r="Q268" s="15">
        <v>397.67</v>
      </c>
      <c r="R268" s="15">
        <v>2978.73</v>
      </c>
      <c r="S268" s="15">
        <v>0.44</v>
      </c>
      <c r="T268" s="15">
        <v>0</v>
      </c>
      <c r="U268" s="15">
        <v>12.7</v>
      </c>
      <c r="V268" s="15">
        <v>700.44</v>
      </c>
      <c r="W268" s="16">
        <v>80.02</v>
      </c>
      <c r="X268" s="19" t="str">
        <f>TEXT(Table4_1[[#This Row],[date]], "hh:mm")</f>
        <v>01:30</v>
      </c>
      <c r="Y268" s="25" t="str">
        <f t="shared" si="4"/>
        <v/>
      </c>
      <c r="Z268" s="22">
        <v>0</v>
      </c>
    </row>
    <row r="269" spans="1:26">
      <c r="A269" s="13">
        <v>45855.083333333336</v>
      </c>
      <c r="B269" s="14">
        <v>-80.16</v>
      </c>
      <c r="C269" s="15">
        <v>0</v>
      </c>
      <c r="D269" s="15">
        <v>0</v>
      </c>
      <c r="E269" s="15">
        <v>1588.21</v>
      </c>
      <c r="F269" s="15">
        <v>6335.81</v>
      </c>
      <c r="G269" s="15">
        <v>-1.03</v>
      </c>
      <c r="H269" s="15">
        <v>0</v>
      </c>
      <c r="I269" s="15">
        <v>41.86</v>
      </c>
      <c r="J269" s="15">
        <v>0.28999999999999998</v>
      </c>
      <c r="K269" s="15">
        <v>106.65</v>
      </c>
      <c r="L269" s="15">
        <v>358.86</v>
      </c>
      <c r="M269" s="15">
        <v>0.05</v>
      </c>
      <c r="N269" s="15">
        <v>0</v>
      </c>
      <c r="O269" s="15">
        <v>8.6199999999999992</v>
      </c>
      <c r="P269" s="15">
        <v>0</v>
      </c>
      <c r="Q269" s="15">
        <v>455.66</v>
      </c>
      <c r="R269" s="15">
        <v>2864.88</v>
      </c>
      <c r="S269" s="15">
        <v>0.44</v>
      </c>
      <c r="T269" s="15">
        <v>0</v>
      </c>
      <c r="U269" s="15">
        <v>12.6</v>
      </c>
      <c r="V269" s="15">
        <v>689.28</v>
      </c>
      <c r="W269" s="16">
        <v>76.8</v>
      </c>
      <c r="X269" s="19" t="str">
        <f>TEXT(Table4_1[[#This Row],[date]], "hh:mm")</f>
        <v>02:00</v>
      </c>
      <c r="Y269" s="25" t="str">
        <f t="shared" si="4"/>
        <v/>
      </c>
      <c r="Z269" s="22">
        <v>0</v>
      </c>
    </row>
    <row r="270" spans="1:26">
      <c r="A270" s="13">
        <v>45855.104166666664</v>
      </c>
      <c r="B270" s="14">
        <v>-61.47</v>
      </c>
      <c r="C270" s="15">
        <v>0</v>
      </c>
      <c r="D270" s="15">
        <v>0</v>
      </c>
      <c r="E270" s="15">
        <v>1510.71</v>
      </c>
      <c r="F270" s="15">
        <v>6186.98</v>
      </c>
      <c r="G270" s="15">
        <v>-0.9</v>
      </c>
      <c r="H270" s="15">
        <v>0</v>
      </c>
      <c r="I270" s="15">
        <v>41.82</v>
      </c>
      <c r="J270" s="15">
        <v>0.19</v>
      </c>
      <c r="K270" s="15">
        <v>99.53</v>
      </c>
      <c r="L270" s="15">
        <v>398.15</v>
      </c>
      <c r="M270" s="15">
        <v>0.05</v>
      </c>
      <c r="N270" s="15">
        <v>0</v>
      </c>
      <c r="O270" s="15">
        <v>8.52</v>
      </c>
      <c r="P270" s="15">
        <v>0</v>
      </c>
      <c r="Q270" s="15">
        <v>426.12</v>
      </c>
      <c r="R270" s="15">
        <v>2801.25</v>
      </c>
      <c r="S270" s="15">
        <v>0.44</v>
      </c>
      <c r="T270" s="15">
        <v>0</v>
      </c>
      <c r="U270" s="15">
        <v>12.59</v>
      </c>
      <c r="V270" s="15">
        <v>688.5</v>
      </c>
      <c r="W270" s="16">
        <v>76.8</v>
      </c>
      <c r="X270" s="19" t="str">
        <f>TEXT(Table4_1[[#This Row],[date]], "hh:mm")</f>
        <v>02:30</v>
      </c>
      <c r="Y270" s="25" t="str">
        <f t="shared" si="4"/>
        <v/>
      </c>
      <c r="Z270" s="22">
        <v>0</v>
      </c>
    </row>
    <row r="271" spans="1:26">
      <c r="A271" s="13">
        <v>45855.125</v>
      </c>
      <c r="B271" s="14">
        <v>-37.4</v>
      </c>
      <c r="C271" s="15">
        <v>0</v>
      </c>
      <c r="D271" s="15">
        <v>0</v>
      </c>
      <c r="E271" s="15">
        <v>1457.04</v>
      </c>
      <c r="F271" s="15">
        <v>6094.46</v>
      </c>
      <c r="G271" s="15">
        <v>-0.59</v>
      </c>
      <c r="H271" s="15">
        <v>0</v>
      </c>
      <c r="I271" s="15">
        <v>41.55</v>
      </c>
      <c r="J271" s="15">
        <v>0.42</v>
      </c>
      <c r="K271" s="15">
        <v>113.11</v>
      </c>
      <c r="L271" s="15">
        <v>366.58</v>
      </c>
      <c r="M271" s="15">
        <v>0.05</v>
      </c>
      <c r="N271" s="15">
        <v>0</v>
      </c>
      <c r="O271" s="15">
        <v>8.49</v>
      </c>
      <c r="P271" s="15">
        <v>0</v>
      </c>
      <c r="Q271" s="15">
        <v>419.29</v>
      </c>
      <c r="R271" s="15">
        <v>2759.53</v>
      </c>
      <c r="S271" s="15">
        <v>0.44</v>
      </c>
      <c r="T271" s="15">
        <v>0</v>
      </c>
      <c r="U271" s="15">
        <v>12.51</v>
      </c>
      <c r="V271" s="15">
        <v>690.08</v>
      </c>
      <c r="W271" s="16">
        <v>80.02</v>
      </c>
      <c r="X271" s="19" t="str">
        <f>TEXT(Table4_1[[#This Row],[date]], "hh:mm")</f>
        <v>03:00</v>
      </c>
      <c r="Y271" s="25" t="str">
        <f t="shared" si="4"/>
        <v/>
      </c>
      <c r="Z271" s="22">
        <v>0</v>
      </c>
    </row>
    <row r="272" spans="1:26">
      <c r="A272" s="13">
        <v>45855.145833333336</v>
      </c>
      <c r="B272" s="14">
        <v>-72.31</v>
      </c>
      <c r="C272" s="15">
        <v>0</v>
      </c>
      <c r="D272" s="15">
        <v>0</v>
      </c>
      <c r="E272" s="15">
        <v>1511.17</v>
      </c>
      <c r="F272" s="15">
        <v>6042.81</v>
      </c>
      <c r="G272" s="15">
        <v>-0.97</v>
      </c>
      <c r="H272" s="15">
        <v>0</v>
      </c>
      <c r="I272" s="15">
        <v>41.79</v>
      </c>
      <c r="J272" s="15">
        <v>0.71</v>
      </c>
      <c r="K272" s="15">
        <v>85.95</v>
      </c>
      <c r="L272" s="15">
        <v>315.26</v>
      </c>
      <c r="M272" s="15">
        <v>0.05</v>
      </c>
      <c r="N272" s="15">
        <v>0</v>
      </c>
      <c r="O272" s="15">
        <v>8.39</v>
      </c>
      <c r="P272" s="15">
        <v>0</v>
      </c>
      <c r="Q272" s="15">
        <v>443.91</v>
      </c>
      <c r="R272" s="15">
        <v>2736.76</v>
      </c>
      <c r="S272" s="15">
        <v>0.44</v>
      </c>
      <c r="T272" s="15">
        <v>0</v>
      </c>
      <c r="U272" s="15">
        <v>12.58</v>
      </c>
      <c r="V272" s="15">
        <v>694</v>
      </c>
      <c r="W272" s="16">
        <v>80.02</v>
      </c>
      <c r="X272" s="19" t="str">
        <f>TEXT(Table4_1[[#This Row],[date]], "hh:mm")</f>
        <v>03:30</v>
      </c>
      <c r="Y272" s="25" t="str">
        <f t="shared" si="4"/>
        <v/>
      </c>
      <c r="Z272" s="22">
        <v>0</v>
      </c>
    </row>
    <row r="273" spans="1:26">
      <c r="A273" s="13">
        <v>45855.166666666664</v>
      </c>
      <c r="B273" s="14">
        <v>-76.900000000000006</v>
      </c>
      <c r="C273" s="15">
        <v>0</v>
      </c>
      <c r="D273" s="15">
        <v>0</v>
      </c>
      <c r="E273" s="15">
        <v>1536.81</v>
      </c>
      <c r="F273" s="15">
        <v>6084.84</v>
      </c>
      <c r="G273" s="15">
        <v>-0.6</v>
      </c>
      <c r="H273" s="15">
        <v>0</v>
      </c>
      <c r="I273" s="15">
        <v>41.67</v>
      </c>
      <c r="J273" s="15">
        <v>0.53</v>
      </c>
      <c r="K273" s="15">
        <v>67.39</v>
      </c>
      <c r="L273" s="15">
        <v>346.46</v>
      </c>
      <c r="M273" s="15">
        <v>0.05</v>
      </c>
      <c r="N273" s="15">
        <v>0</v>
      </c>
      <c r="O273" s="15">
        <v>8.11</v>
      </c>
      <c r="P273" s="15">
        <v>0</v>
      </c>
      <c r="Q273" s="15">
        <v>442.78</v>
      </c>
      <c r="R273" s="15">
        <v>2755.91</v>
      </c>
      <c r="S273" s="15">
        <v>0.45</v>
      </c>
      <c r="T273" s="15">
        <v>0</v>
      </c>
      <c r="U273" s="15">
        <v>12.55</v>
      </c>
      <c r="V273" s="15">
        <v>692.2</v>
      </c>
      <c r="W273" s="16">
        <v>80.02</v>
      </c>
      <c r="X273" s="19" t="str">
        <f>TEXT(Table4_1[[#This Row],[date]], "hh:mm")</f>
        <v>04:00</v>
      </c>
      <c r="Y273" s="25" t="str">
        <f t="shared" si="4"/>
        <v/>
      </c>
      <c r="Z273" s="22">
        <v>0</v>
      </c>
    </row>
    <row r="274" spans="1:26">
      <c r="A274" s="13">
        <v>45855.1875</v>
      </c>
      <c r="B274" s="14">
        <v>-114.78</v>
      </c>
      <c r="C274" s="15">
        <v>0</v>
      </c>
      <c r="D274" s="15">
        <v>0</v>
      </c>
      <c r="E274" s="15">
        <v>1496.86</v>
      </c>
      <c r="F274" s="15">
        <v>6235.52</v>
      </c>
      <c r="G274" s="15">
        <v>-1.36</v>
      </c>
      <c r="H274" s="15">
        <v>0</v>
      </c>
      <c r="I274" s="15">
        <v>41.39</v>
      </c>
      <c r="J274" s="15">
        <v>0.45</v>
      </c>
      <c r="K274" s="15">
        <v>181.98</v>
      </c>
      <c r="L274" s="15">
        <v>326.74</v>
      </c>
      <c r="M274" s="15">
        <v>0.05</v>
      </c>
      <c r="N274" s="15">
        <v>0</v>
      </c>
      <c r="O274" s="15">
        <v>7.67</v>
      </c>
      <c r="P274" s="15">
        <v>0</v>
      </c>
      <c r="Q274" s="15">
        <v>429.41</v>
      </c>
      <c r="R274" s="15">
        <v>2823.04</v>
      </c>
      <c r="S274" s="15">
        <v>0.44</v>
      </c>
      <c r="T274" s="15">
        <v>0</v>
      </c>
      <c r="U274" s="15">
        <v>12.46</v>
      </c>
      <c r="V274" s="15">
        <v>694.5</v>
      </c>
      <c r="W274" s="16">
        <v>84.85</v>
      </c>
      <c r="X274" s="19" t="str">
        <f>TEXT(Table4_1[[#This Row],[date]], "hh:mm")</f>
        <v>04:30</v>
      </c>
      <c r="Y274" s="25" t="str">
        <f t="shared" si="4"/>
        <v/>
      </c>
      <c r="Z274" s="22">
        <v>0</v>
      </c>
    </row>
    <row r="275" spans="1:26">
      <c r="A275" s="13">
        <v>45855.208333333336</v>
      </c>
      <c r="B275" s="14">
        <v>-111.86</v>
      </c>
      <c r="C275" s="15">
        <v>0</v>
      </c>
      <c r="D275" s="15">
        <v>0</v>
      </c>
      <c r="E275" s="15">
        <v>1417.78</v>
      </c>
      <c r="F275" s="15">
        <v>6404.62</v>
      </c>
      <c r="G275" s="15">
        <v>-0.95</v>
      </c>
      <c r="H275" s="15">
        <v>0</v>
      </c>
      <c r="I275" s="15">
        <v>41.15</v>
      </c>
      <c r="J275" s="15">
        <v>0.62</v>
      </c>
      <c r="K275" s="15">
        <v>175.05</v>
      </c>
      <c r="L275" s="15">
        <v>315.12</v>
      </c>
      <c r="M275" s="15">
        <v>0.05</v>
      </c>
      <c r="N275" s="15">
        <v>0</v>
      </c>
      <c r="O275" s="15">
        <v>7.43</v>
      </c>
      <c r="P275" s="15">
        <v>0</v>
      </c>
      <c r="Q275" s="15">
        <v>399.26</v>
      </c>
      <c r="R275" s="15">
        <v>2898.57</v>
      </c>
      <c r="S275" s="15">
        <v>0.45</v>
      </c>
      <c r="T275" s="15">
        <v>0</v>
      </c>
      <c r="U275" s="15">
        <v>12.39</v>
      </c>
      <c r="V275" s="15">
        <v>706.52</v>
      </c>
      <c r="W275" s="16">
        <v>78.47</v>
      </c>
      <c r="X275" s="19" t="str">
        <f>TEXT(Table4_1[[#This Row],[date]], "hh:mm")</f>
        <v>05:00</v>
      </c>
      <c r="Y275" s="25" t="str">
        <f t="shared" si="4"/>
        <v/>
      </c>
      <c r="Z275" s="22">
        <v>0</v>
      </c>
    </row>
    <row r="276" spans="1:26">
      <c r="A276" s="13">
        <v>45855.229166666664</v>
      </c>
      <c r="B276" s="14">
        <v>-78.739999999999995</v>
      </c>
      <c r="C276" s="15">
        <v>0</v>
      </c>
      <c r="D276" s="15">
        <v>0</v>
      </c>
      <c r="E276" s="15">
        <v>1450.46</v>
      </c>
      <c r="F276" s="15">
        <v>6728.24</v>
      </c>
      <c r="G276" s="15">
        <v>-1.57</v>
      </c>
      <c r="H276" s="15">
        <v>0</v>
      </c>
      <c r="I276" s="15">
        <v>41.32</v>
      </c>
      <c r="J276" s="15">
        <v>0.39</v>
      </c>
      <c r="K276" s="15">
        <v>195.19</v>
      </c>
      <c r="L276" s="15">
        <v>314.33</v>
      </c>
      <c r="M276" s="15">
        <v>0.05</v>
      </c>
      <c r="N276" s="15">
        <v>0</v>
      </c>
      <c r="O276" s="15">
        <v>7.39</v>
      </c>
      <c r="P276" s="15">
        <v>0</v>
      </c>
      <c r="Q276" s="15">
        <v>412.71</v>
      </c>
      <c r="R276" s="15">
        <v>3042.73</v>
      </c>
      <c r="S276" s="15">
        <v>0.44</v>
      </c>
      <c r="T276" s="15">
        <v>0</v>
      </c>
      <c r="U276" s="15">
        <v>12.44</v>
      </c>
      <c r="V276" s="15">
        <v>706.53</v>
      </c>
      <c r="W276" s="16">
        <v>80.010000000000005</v>
      </c>
      <c r="X276" s="19" t="str">
        <f>TEXT(Table4_1[[#This Row],[date]], "hh:mm")</f>
        <v>05:30</v>
      </c>
      <c r="Y276" s="25" t="str">
        <f t="shared" si="4"/>
        <v/>
      </c>
      <c r="Z276" s="22">
        <v>0</v>
      </c>
    </row>
    <row r="277" spans="1:26">
      <c r="A277" s="13">
        <v>45855.25</v>
      </c>
      <c r="B277" s="14">
        <v>-36.92</v>
      </c>
      <c r="C277" s="15">
        <v>0</v>
      </c>
      <c r="D277" s="15">
        <v>0</v>
      </c>
      <c r="E277" s="15">
        <v>1265.78</v>
      </c>
      <c r="F277" s="15">
        <v>7186.1</v>
      </c>
      <c r="G277" s="15">
        <v>-0.95</v>
      </c>
      <c r="H277" s="15">
        <v>0</v>
      </c>
      <c r="I277" s="15">
        <v>40.590000000000003</v>
      </c>
      <c r="J277" s="15">
        <v>6.89</v>
      </c>
      <c r="K277" s="15">
        <v>246.57</v>
      </c>
      <c r="L277" s="15">
        <v>354.1</v>
      </c>
      <c r="M277" s="15">
        <v>0.05</v>
      </c>
      <c r="N277" s="15">
        <v>0</v>
      </c>
      <c r="O277" s="15">
        <v>7.29</v>
      </c>
      <c r="P277" s="15">
        <v>0</v>
      </c>
      <c r="Q277" s="15">
        <v>354.2</v>
      </c>
      <c r="R277" s="15">
        <v>3245.36</v>
      </c>
      <c r="S277" s="15">
        <v>0.44</v>
      </c>
      <c r="T277" s="15">
        <v>0</v>
      </c>
      <c r="U277" s="15">
        <v>12.41</v>
      </c>
      <c r="V277" s="15">
        <v>719.08</v>
      </c>
      <c r="W277" s="16">
        <v>80.010000000000005</v>
      </c>
      <c r="X277" s="19" t="str">
        <f>TEXT(Table4_1[[#This Row],[date]], "hh:mm")</f>
        <v>06:00</v>
      </c>
      <c r="Y277" s="25" t="str">
        <f t="shared" si="4"/>
        <v/>
      </c>
      <c r="Z277" s="22">
        <v>0</v>
      </c>
    </row>
    <row r="278" spans="1:26">
      <c r="A278" s="13">
        <v>45855.270833333336</v>
      </c>
      <c r="B278" s="14">
        <v>-21.25</v>
      </c>
      <c r="C278" s="15">
        <v>0</v>
      </c>
      <c r="D278" s="15">
        <v>0</v>
      </c>
      <c r="E278" s="15">
        <v>1204.83</v>
      </c>
      <c r="F278" s="15">
        <v>7720.06</v>
      </c>
      <c r="G278" s="15">
        <v>0.36</v>
      </c>
      <c r="H278" s="15">
        <v>0</v>
      </c>
      <c r="I278" s="15">
        <v>136.79</v>
      </c>
      <c r="J278" s="15">
        <v>40.200000000000003</v>
      </c>
      <c r="K278" s="15">
        <v>397.02</v>
      </c>
      <c r="L278" s="15">
        <v>374.29</v>
      </c>
      <c r="M278" s="15">
        <v>0.05</v>
      </c>
      <c r="N278" s="15">
        <v>0.09</v>
      </c>
      <c r="O278" s="15">
        <v>7.02</v>
      </c>
      <c r="P278" s="15">
        <v>0</v>
      </c>
      <c r="Q278" s="15">
        <v>359.82</v>
      </c>
      <c r="R278" s="15">
        <v>3480.38</v>
      </c>
      <c r="S278" s="15">
        <v>0.44</v>
      </c>
      <c r="T278" s="15">
        <v>0</v>
      </c>
      <c r="U278" s="15">
        <v>39.67</v>
      </c>
      <c r="V278" s="15">
        <v>714.64</v>
      </c>
      <c r="W278" s="16">
        <v>96.96</v>
      </c>
      <c r="X278" s="19" t="str">
        <f>TEXT(Table4_1[[#This Row],[date]], "hh:mm")</f>
        <v>06:30</v>
      </c>
      <c r="Y278" s="25" t="str">
        <f t="shared" si="4"/>
        <v/>
      </c>
      <c r="Z278" s="22">
        <v>0</v>
      </c>
    </row>
    <row r="279" spans="1:26">
      <c r="A279" s="13">
        <v>45855.291666666664</v>
      </c>
      <c r="B279" s="14">
        <v>-6.31</v>
      </c>
      <c r="C279" s="15">
        <v>0</v>
      </c>
      <c r="D279" s="15">
        <v>0</v>
      </c>
      <c r="E279" s="15">
        <v>1077.33</v>
      </c>
      <c r="F279" s="15">
        <v>7916.34</v>
      </c>
      <c r="G279" s="15">
        <v>3.42</v>
      </c>
      <c r="H279" s="15">
        <v>0</v>
      </c>
      <c r="I279" s="15">
        <v>388.59</v>
      </c>
      <c r="J279" s="15">
        <v>114.13</v>
      </c>
      <c r="K279" s="15">
        <v>557.1</v>
      </c>
      <c r="L279" s="15">
        <v>393.91</v>
      </c>
      <c r="M279" s="15">
        <v>7.53</v>
      </c>
      <c r="N279" s="15">
        <v>9.4600000000000009</v>
      </c>
      <c r="O279" s="15">
        <v>6.75</v>
      </c>
      <c r="P279" s="15">
        <v>0</v>
      </c>
      <c r="Q279" s="15">
        <v>345.23</v>
      </c>
      <c r="R279" s="15">
        <v>3564.22</v>
      </c>
      <c r="S279" s="15">
        <v>0.44</v>
      </c>
      <c r="T279" s="15">
        <v>0</v>
      </c>
      <c r="U279" s="15">
        <v>121.46</v>
      </c>
      <c r="V279" s="15">
        <v>704.7</v>
      </c>
      <c r="W279" s="16">
        <v>158.97999999999999</v>
      </c>
      <c r="X279" s="19" t="str">
        <f>TEXT(Table4_1[[#This Row],[date]], "hh:mm")</f>
        <v>07:00</v>
      </c>
      <c r="Y279" s="25" t="str">
        <f t="shared" si="4"/>
        <v/>
      </c>
      <c r="Z279" s="22">
        <v>0</v>
      </c>
    </row>
    <row r="280" spans="1:26">
      <c r="A280" s="13">
        <v>45855.3125</v>
      </c>
      <c r="B280" s="14">
        <v>-8.93</v>
      </c>
      <c r="C280" s="15">
        <v>0</v>
      </c>
      <c r="D280" s="15">
        <v>0</v>
      </c>
      <c r="E280" s="15">
        <v>1339.87</v>
      </c>
      <c r="F280" s="15">
        <v>7991.77</v>
      </c>
      <c r="G280" s="15">
        <v>1.62</v>
      </c>
      <c r="H280" s="15">
        <v>0</v>
      </c>
      <c r="I280" s="15">
        <v>374.39</v>
      </c>
      <c r="J280" s="15">
        <v>41.37</v>
      </c>
      <c r="K280" s="15">
        <v>679.26</v>
      </c>
      <c r="L280" s="15">
        <v>442.05</v>
      </c>
      <c r="M280" s="15">
        <v>167.44</v>
      </c>
      <c r="N280" s="15">
        <v>114.83</v>
      </c>
      <c r="O280" s="15">
        <v>6.73</v>
      </c>
      <c r="P280" s="15">
        <v>0</v>
      </c>
      <c r="Q280" s="15">
        <v>419.91</v>
      </c>
      <c r="R280" s="15">
        <v>3599.62</v>
      </c>
      <c r="S280" s="15">
        <v>0.45</v>
      </c>
      <c r="T280" s="15">
        <v>0</v>
      </c>
      <c r="U280" s="15">
        <v>123.86</v>
      </c>
      <c r="V280" s="15">
        <v>668.35</v>
      </c>
      <c r="W280" s="16">
        <v>107.41</v>
      </c>
      <c r="X280" s="19" t="str">
        <f>TEXT(Table4_1[[#This Row],[date]], "hh:mm")</f>
        <v>07:30</v>
      </c>
      <c r="Y280" s="25" t="str">
        <f t="shared" si="4"/>
        <v/>
      </c>
      <c r="Z280" s="22">
        <v>0</v>
      </c>
    </row>
    <row r="281" spans="1:26">
      <c r="A281" s="13">
        <v>45855.333333333336</v>
      </c>
      <c r="B281" s="14">
        <v>-4.79</v>
      </c>
      <c r="C281" s="15">
        <v>0</v>
      </c>
      <c r="D281" s="15">
        <v>0</v>
      </c>
      <c r="E281" s="15">
        <v>1200.06</v>
      </c>
      <c r="F281" s="15">
        <v>7934.04</v>
      </c>
      <c r="G281" s="15">
        <v>-0.55000000000000004</v>
      </c>
      <c r="H281" s="15">
        <v>0</v>
      </c>
      <c r="I281" s="15">
        <v>374.46</v>
      </c>
      <c r="J281" s="15">
        <v>130</v>
      </c>
      <c r="K281" s="15">
        <v>395.6</v>
      </c>
      <c r="L281" s="15">
        <v>491.51</v>
      </c>
      <c r="M281" s="15">
        <v>626.09</v>
      </c>
      <c r="N281" s="15">
        <v>422.41</v>
      </c>
      <c r="O281" s="15">
        <v>7.15</v>
      </c>
      <c r="P281" s="15">
        <v>0</v>
      </c>
      <c r="Q281" s="15">
        <v>362.07</v>
      </c>
      <c r="R281" s="15">
        <v>3574.48</v>
      </c>
      <c r="S281" s="15">
        <v>0.45</v>
      </c>
      <c r="T281" s="15">
        <v>0</v>
      </c>
      <c r="U281" s="15">
        <v>123.88</v>
      </c>
      <c r="V281" s="15">
        <v>639.45000000000005</v>
      </c>
      <c r="W281" s="16">
        <v>105.89</v>
      </c>
      <c r="X281" s="19" t="str">
        <f>TEXT(Table4_1[[#This Row],[date]], "hh:mm")</f>
        <v>08:00</v>
      </c>
      <c r="Y281" s="25" t="str">
        <f t="shared" si="4"/>
        <v/>
      </c>
      <c r="Z281" s="22">
        <v>0</v>
      </c>
    </row>
    <row r="282" spans="1:26">
      <c r="A282" s="13">
        <v>45855.354166666664</v>
      </c>
      <c r="B282" s="14">
        <v>-1.91</v>
      </c>
      <c r="C282" s="15">
        <v>0</v>
      </c>
      <c r="D282" s="15">
        <v>0</v>
      </c>
      <c r="E282" s="15">
        <v>1182.24</v>
      </c>
      <c r="F282" s="15">
        <v>7701.28</v>
      </c>
      <c r="G282" s="15">
        <v>1.71</v>
      </c>
      <c r="H282" s="15">
        <v>0</v>
      </c>
      <c r="I282" s="15">
        <v>256.95</v>
      </c>
      <c r="J282" s="15">
        <v>68.739999999999995</v>
      </c>
      <c r="K282" s="15">
        <v>218.88</v>
      </c>
      <c r="L282" s="15">
        <v>487.72</v>
      </c>
      <c r="M282" s="15">
        <v>1178.45</v>
      </c>
      <c r="N282" s="15">
        <v>822.95</v>
      </c>
      <c r="O282" s="15">
        <v>8.31</v>
      </c>
      <c r="P282" s="15">
        <v>0</v>
      </c>
      <c r="Q282" s="15">
        <v>342.1</v>
      </c>
      <c r="R282" s="15">
        <v>3467.58</v>
      </c>
      <c r="S282" s="15">
        <v>0.45</v>
      </c>
      <c r="T282" s="15">
        <v>0</v>
      </c>
      <c r="U282" s="15">
        <v>88.92</v>
      </c>
      <c r="V282" s="15">
        <v>596.95000000000005</v>
      </c>
      <c r="W282" s="16">
        <v>52.14</v>
      </c>
      <c r="X282" s="19" t="str">
        <f>TEXT(Table4_1[[#This Row],[date]], "hh:mm")</f>
        <v>08:30</v>
      </c>
      <c r="Y282" s="25" t="str">
        <f t="shared" si="4"/>
        <v/>
      </c>
      <c r="Z282" s="22">
        <v>0</v>
      </c>
    </row>
    <row r="283" spans="1:26">
      <c r="A283" s="13">
        <v>45855.375</v>
      </c>
      <c r="B283" s="14">
        <v>-5.2</v>
      </c>
      <c r="C283" s="15">
        <v>0</v>
      </c>
      <c r="D283" s="15">
        <v>-135.08000000000001</v>
      </c>
      <c r="E283" s="15">
        <v>1013.79</v>
      </c>
      <c r="F283" s="15">
        <v>7238.66</v>
      </c>
      <c r="G283" s="15">
        <v>12.53</v>
      </c>
      <c r="H283" s="15">
        <v>0</v>
      </c>
      <c r="I283" s="15">
        <v>41.48</v>
      </c>
      <c r="J283" s="15">
        <v>240</v>
      </c>
      <c r="K283" s="15">
        <v>101.15</v>
      </c>
      <c r="L283" s="15">
        <v>463.52</v>
      </c>
      <c r="M283" s="15">
        <v>1704.69</v>
      </c>
      <c r="N283" s="15">
        <v>1286.24</v>
      </c>
      <c r="O283" s="15">
        <v>9.01</v>
      </c>
      <c r="P283" s="15">
        <v>44.35</v>
      </c>
      <c r="Q283" s="15">
        <v>263.74</v>
      </c>
      <c r="R283" s="15">
        <v>3262.47</v>
      </c>
      <c r="S283" s="15">
        <v>0.45</v>
      </c>
      <c r="T283" s="15">
        <v>0</v>
      </c>
      <c r="U283" s="15">
        <v>12.49</v>
      </c>
      <c r="V283" s="15">
        <v>547.64</v>
      </c>
      <c r="W283" s="16">
        <v>76.8</v>
      </c>
      <c r="X283" s="19" t="str">
        <f>TEXT(Table4_1[[#This Row],[date]], "hh:mm")</f>
        <v>09:00</v>
      </c>
      <c r="Y283" s="25" t="str">
        <f t="shared" si="4"/>
        <v/>
      </c>
      <c r="Z283" s="22">
        <v>0</v>
      </c>
    </row>
    <row r="284" spans="1:26">
      <c r="A284" s="13">
        <v>45855.395833333336</v>
      </c>
      <c r="B284" s="14">
        <v>-7.06</v>
      </c>
      <c r="C284" s="15">
        <v>0</v>
      </c>
      <c r="D284" s="15">
        <v>-267.99</v>
      </c>
      <c r="E284" s="15">
        <v>1046.6300000000001</v>
      </c>
      <c r="F284" s="15">
        <v>6365.08</v>
      </c>
      <c r="G284" s="15">
        <v>10.27</v>
      </c>
      <c r="H284" s="15">
        <v>0</v>
      </c>
      <c r="I284" s="15">
        <v>41.56</v>
      </c>
      <c r="J284" s="15">
        <v>278.85000000000002</v>
      </c>
      <c r="K284" s="15">
        <v>11.25</v>
      </c>
      <c r="L284" s="15">
        <v>423.89</v>
      </c>
      <c r="M284" s="15">
        <v>2013.7</v>
      </c>
      <c r="N284" s="15">
        <v>1870.36</v>
      </c>
      <c r="O284" s="15">
        <v>10</v>
      </c>
      <c r="P284" s="15">
        <v>84.45</v>
      </c>
      <c r="Q284" s="15">
        <v>267.43</v>
      </c>
      <c r="R284" s="15">
        <v>2871.86</v>
      </c>
      <c r="S284" s="15">
        <v>0.4</v>
      </c>
      <c r="T284" s="15">
        <v>0</v>
      </c>
      <c r="U284" s="15">
        <v>12.51</v>
      </c>
      <c r="V284" s="15">
        <v>489.5</v>
      </c>
      <c r="W284" s="16">
        <v>76.8</v>
      </c>
      <c r="X284" s="19" t="str">
        <f>TEXT(Table4_1[[#This Row],[date]], "hh:mm")</f>
        <v>09:30</v>
      </c>
      <c r="Y284" s="25" t="str">
        <f t="shared" si="4"/>
        <v/>
      </c>
      <c r="Z284" s="22">
        <v>0</v>
      </c>
    </row>
    <row r="285" spans="1:26">
      <c r="A285" s="13">
        <v>45855.416666666664</v>
      </c>
      <c r="B285" s="14">
        <v>-2.8</v>
      </c>
      <c r="C285" s="15">
        <v>0</v>
      </c>
      <c r="D285" s="15">
        <v>-177.23</v>
      </c>
      <c r="E285" s="15">
        <v>964.61</v>
      </c>
      <c r="F285" s="15">
        <v>5709.09</v>
      </c>
      <c r="G285" s="15">
        <v>5.35</v>
      </c>
      <c r="H285" s="15">
        <v>0</v>
      </c>
      <c r="I285" s="15">
        <v>41.74</v>
      </c>
      <c r="J285" s="15">
        <v>37.770000000000003</v>
      </c>
      <c r="K285" s="15">
        <v>29.64</v>
      </c>
      <c r="L285" s="15">
        <v>343.03</v>
      </c>
      <c r="M285" s="15">
        <v>2277.38</v>
      </c>
      <c r="N285" s="15">
        <v>2385.1</v>
      </c>
      <c r="O285" s="15">
        <v>10.98</v>
      </c>
      <c r="P285" s="15">
        <v>54.32</v>
      </c>
      <c r="Q285" s="15">
        <v>240.39</v>
      </c>
      <c r="R285" s="15">
        <v>2575.9</v>
      </c>
      <c r="S285" s="15">
        <v>0.37</v>
      </c>
      <c r="T285" s="15">
        <v>0</v>
      </c>
      <c r="U285" s="15">
        <v>12.57</v>
      </c>
      <c r="V285" s="15">
        <v>445.83</v>
      </c>
      <c r="W285" s="16">
        <v>44.76</v>
      </c>
      <c r="X285" s="19" t="str">
        <f>TEXT(Table4_1[[#This Row],[date]], "hh:mm")</f>
        <v>10:00</v>
      </c>
      <c r="Y285" s="25" t="str">
        <f t="shared" si="4"/>
        <v/>
      </c>
      <c r="Z285" s="22">
        <v>0</v>
      </c>
    </row>
    <row r="286" spans="1:26">
      <c r="A286" s="13">
        <v>45855.4375</v>
      </c>
      <c r="B286" s="14">
        <v>-10.07</v>
      </c>
      <c r="C286" s="15">
        <v>0</v>
      </c>
      <c r="D286" s="15">
        <v>-162.01</v>
      </c>
      <c r="E286" s="15">
        <v>899.33</v>
      </c>
      <c r="F286" s="15">
        <v>5334.09</v>
      </c>
      <c r="G286" s="15">
        <v>6.48</v>
      </c>
      <c r="H286" s="15">
        <v>0</v>
      </c>
      <c r="I286" s="15">
        <v>40.880000000000003</v>
      </c>
      <c r="J286" s="15">
        <v>2.42</v>
      </c>
      <c r="K286" s="15">
        <v>0</v>
      </c>
      <c r="L286" s="15">
        <v>299.51</v>
      </c>
      <c r="M286" s="15">
        <v>2201.2199999999998</v>
      </c>
      <c r="N286" s="15">
        <v>2805.63</v>
      </c>
      <c r="O286" s="15">
        <v>11.72</v>
      </c>
      <c r="P286" s="15">
        <v>49.45</v>
      </c>
      <c r="Q286" s="15">
        <v>223.88</v>
      </c>
      <c r="R286" s="15">
        <v>2405.81</v>
      </c>
      <c r="S286" s="15">
        <v>0.38</v>
      </c>
      <c r="T286" s="15">
        <v>0</v>
      </c>
      <c r="U286" s="15">
        <v>12.31</v>
      </c>
      <c r="V286" s="15">
        <v>423.65</v>
      </c>
      <c r="W286" s="16">
        <v>84.85</v>
      </c>
      <c r="X286" s="19" t="str">
        <f>TEXT(Table4_1[[#This Row],[date]], "hh:mm")</f>
        <v>10:30</v>
      </c>
      <c r="Y286" s="25" t="str">
        <f t="shared" si="4"/>
        <v/>
      </c>
      <c r="Z286" s="22">
        <v>0</v>
      </c>
    </row>
    <row r="287" spans="1:26">
      <c r="A287" s="13">
        <v>45855.458333333336</v>
      </c>
      <c r="B287" s="14">
        <v>-38.36</v>
      </c>
      <c r="C287" s="15">
        <v>0</v>
      </c>
      <c r="D287" s="15">
        <v>-226.79</v>
      </c>
      <c r="E287" s="15">
        <v>960.5</v>
      </c>
      <c r="F287" s="15">
        <v>4956.08</v>
      </c>
      <c r="G287" s="15">
        <v>9.8800000000000008</v>
      </c>
      <c r="H287" s="15">
        <v>0</v>
      </c>
      <c r="I287" s="15">
        <v>40.71</v>
      </c>
      <c r="J287" s="15">
        <v>0.64</v>
      </c>
      <c r="K287" s="15">
        <v>0</v>
      </c>
      <c r="L287" s="15">
        <v>330.91</v>
      </c>
      <c r="M287" s="15">
        <v>2164.7600000000002</v>
      </c>
      <c r="N287" s="15">
        <v>3092</v>
      </c>
      <c r="O287" s="15">
        <v>12.9</v>
      </c>
      <c r="P287" s="15">
        <v>67.62</v>
      </c>
      <c r="Q287" s="15">
        <v>237.2</v>
      </c>
      <c r="R287" s="15">
        <v>2236.8200000000002</v>
      </c>
      <c r="S287" s="15">
        <v>0.38</v>
      </c>
      <c r="T287" s="15">
        <v>0</v>
      </c>
      <c r="U287" s="15">
        <v>12.26</v>
      </c>
      <c r="V287" s="15">
        <v>398.47</v>
      </c>
      <c r="W287" s="16">
        <v>57.01</v>
      </c>
      <c r="X287" s="19" t="str">
        <f>TEXT(Table4_1[[#This Row],[date]], "hh:mm")</f>
        <v>11:00</v>
      </c>
      <c r="Y287" s="25" t="str">
        <f t="shared" si="4"/>
        <v/>
      </c>
      <c r="Z287" s="22">
        <v>0</v>
      </c>
    </row>
    <row r="288" spans="1:26">
      <c r="A288" s="13">
        <v>45855.479166666664</v>
      </c>
      <c r="B288" s="14">
        <v>-123.22</v>
      </c>
      <c r="C288" s="15">
        <v>0</v>
      </c>
      <c r="D288" s="15">
        <v>-287.95999999999998</v>
      </c>
      <c r="E288" s="15">
        <v>861.21</v>
      </c>
      <c r="F288" s="15">
        <v>4581.97</v>
      </c>
      <c r="G288" s="15">
        <v>9.6</v>
      </c>
      <c r="H288" s="15">
        <v>0</v>
      </c>
      <c r="I288" s="15">
        <v>39.68</v>
      </c>
      <c r="J288" s="15">
        <v>36.93</v>
      </c>
      <c r="K288" s="15">
        <v>0</v>
      </c>
      <c r="L288" s="15">
        <v>436.13</v>
      </c>
      <c r="M288" s="15">
        <v>2313.7600000000002</v>
      </c>
      <c r="N288" s="15">
        <v>3264.92</v>
      </c>
      <c r="O288" s="15">
        <v>13.53</v>
      </c>
      <c r="P288" s="15">
        <v>80.28</v>
      </c>
      <c r="Q288" s="15">
        <v>216.7</v>
      </c>
      <c r="R288" s="15">
        <v>2066.67</v>
      </c>
      <c r="S288" s="15">
        <v>0.37</v>
      </c>
      <c r="T288" s="15">
        <v>0</v>
      </c>
      <c r="U288" s="15">
        <v>11.95</v>
      </c>
      <c r="V288" s="15">
        <v>373.48</v>
      </c>
      <c r="W288" s="16">
        <v>0</v>
      </c>
      <c r="X288" s="19" t="str">
        <f>TEXT(Table4_1[[#This Row],[date]], "hh:mm")</f>
        <v>11:30</v>
      </c>
      <c r="Y288" s="25" t="str">
        <f t="shared" si="4"/>
        <v/>
      </c>
      <c r="Z288" s="22">
        <v>0</v>
      </c>
    </row>
    <row r="289" spans="1:26">
      <c r="A289" s="13">
        <v>45855.5</v>
      </c>
      <c r="B289" s="14">
        <v>-224.54</v>
      </c>
      <c r="C289" s="15">
        <v>-15.55</v>
      </c>
      <c r="D289" s="15">
        <v>-247.01</v>
      </c>
      <c r="E289" s="15">
        <v>715.38</v>
      </c>
      <c r="F289" s="15">
        <v>4220.4799999999996</v>
      </c>
      <c r="G289" s="15">
        <v>9.5399999999999991</v>
      </c>
      <c r="H289" s="15">
        <v>0</v>
      </c>
      <c r="I289" s="15">
        <v>37.090000000000003</v>
      </c>
      <c r="J289" s="15">
        <v>9.25</v>
      </c>
      <c r="K289" s="15">
        <v>0</v>
      </c>
      <c r="L289" s="15">
        <v>535.34</v>
      </c>
      <c r="M289" s="15">
        <v>2350.3200000000002</v>
      </c>
      <c r="N289" s="15">
        <v>3402.32</v>
      </c>
      <c r="O289" s="15">
        <v>14.48</v>
      </c>
      <c r="P289" s="15">
        <v>65.84</v>
      </c>
      <c r="Q289" s="15">
        <v>178.12</v>
      </c>
      <c r="R289" s="15">
        <v>1901.58</v>
      </c>
      <c r="S289" s="15">
        <v>0.37</v>
      </c>
      <c r="T289" s="15">
        <v>0</v>
      </c>
      <c r="U289" s="15">
        <v>11.17</v>
      </c>
      <c r="V289" s="15">
        <v>354.52</v>
      </c>
      <c r="W289" s="16">
        <v>48.23</v>
      </c>
      <c r="X289" s="19" t="str">
        <f>TEXT(Table4_1[[#This Row],[date]], "hh:mm")</f>
        <v>12:00</v>
      </c>
      <c r="Y289" s="25" t="str">
        <f t="shared" si="4"/>
        <v/>
      </c>
      <c r="Z289" s="22">
        <v>0</v>
      </c>
    </row>
    <row r="290" spans="1:26">
      <c r="A290" s="13">
        <v>45855.520833333336</v>
      </c>
      <c r="B290" s="14">
        <v>-156.88</v>
      </c>
      <c r="C290" s="15">
        <v>-205.37</v>
      </c>
      <c r="D290" s="15">
        <v>-170.09</v>
      </c>
      <c r="E290" s="15">
        <v>752.23</v>
      </c>
      <c r="F290" s="15">
        <v>3998.16</v>
      </c>
      <c r="G290" s="15">
        <v>9.18</v>
      </c>
      <c r="H290" s="15">
        <v>0</v>
      </c>
      <c r="I290" s="15">
        <v>34.85</v>
      </c>
      <c r="J290" s="15">
        <v>0.38</v>
      </c>
      <c r="K290" s="15">
        <v>20.54</v>
      </c>
      <c r="L290" s="15">
        <v>600.41</v>
      </c>
      <c r="M290" s="15">
        <v>2352.5700000000002</v>
      </c>
      <c r="N290" s="15">
        <v>3411.24</v>
      </c>
      <c r="O290" s="15">
        <v>15.33</v>
      </c>
      <c r="P290" s="15">
        <v>42.7</v>
      </c>
      <c r="Q290" s="15">
        <v>188.41</v>
      </c>
      <c r="R290" s="15">
        <v>1802.5</v>
      </c>
      <c r="S290" s="15">
        <v>0.36</v>
      </c>
      <c r="T290" s="15">
        <v>0</v>
      </c>
      <c r="U290" s="15">
        <v>10.49</v>
      </c>
      <c r="V290" s="15">
        <v>340.62</v>
      </c>
      <c r="W290" s="16">
        <v>40.119999999999997</v>
      </c>
      <c r="X290" s="19" t="str">
        <f>TEXT(Table4_1[[#This Row],[date]], "hh:mm")</f>
        <v>12:30</v>
      </c>
      <c r="Y290" s="25" t="str">
        <f t="shared" si="4"/>
        <v/>
      </c>
      <c r="Z290" s="22">
        <v>0</v>
      </c>
    </row>
    <row r="291" spans="1:26">
      <c r="A291" s="13">
        <v>45855.541666666664</v>
      </c>
      <c r="B291" s="14">
        <v>-214.46</v>
      </c>
      <c r="C291" s="15">
        <v>-454.87</v>
      </c>
      <c r="D291" s="15">
        <v>-129.07</v>
      </c>
      <c r="E291" s="15">
        <v>795.81</v>
      </c>
      <c r="F291" s="15">
        <v>4020.32</v>
      </c>
      <c r="G291" s="15">
        <v>8.73</v>
      </c>
      <c r="H291" s="15">
        <v>0</v>
      </c>
      <c r="I291" s="15">
        <v>34.19</v>
      </c>
      <c r="J291" s="15">
        <v>0.51</v>
      </c>
      <c r="K291" s="15">
        <v>0</v>
      </c>
      <c r="L291" s="15">
        <v>595.41999999999996</v>
      </c>
      <c r="M291" s="15">
        <v>2336.7399999999998</v>
      </c>
      <c r="N291" s="15">
        <v>3346.16</v>
      </c>
      <c r="O291" s="15">
        <v>16.12</v>
      </c>
      <c r="P291" s="15">
        <v>31.56</v>
      </c>
      <c r="Q291" s="15">
        <v>199.68</v>
      </c>
      <c r="R291" s="15">
        <v>1811.94</v>
      </c>
      <c r="S291" s="15">
        <v>0.35</v>
      </c>
      <c r="T291" s="15">
        <v>0</v>
      </c>
      <c r="U291" s="15">
        <v>10.29</v>
      </c>
      <c r="V291" s="15">
        <v>352.55</v>
      </c>
      <c r="W291" s="16">
        <v>20.43</v>
      </c>
      <c r="X291" s="19" t="str">
        <f>TEXT(Table4_1[[#This Row],[date]], "hh:mm")</f>
        <v>13:00</v>
      </c>
      <c r="Y291" s="25" t="str">
        <f t="shared" si="4"/>
        <v/>
      </c>
      <c r="Z291" s="22">
        <v>0</v>
      </c>
    </row>
    <row r="292" spans="1:26">
      <c r="A292" s="13">
        <v>45855.5625</v>
      </c>
      <c r="B292" s="14">
        <v>-199.66</v>
      </c>
      <c r="C292" s="15">
        <v>-470.54</v>
      </c>
      <c r="D292" s="15">
        <v>-130.47</v>
      </c>
      <c r="E292" s="15">
        <v>825.72</v>
      </c>
      <c r="F292" s="15">
        <v>4073.91</v>
      </c>
      <c r="G292" s="15">
        <v>8.4</v>
      </c>
      <c r="H292" s="15">
        <v>0</v>
      </c>
      <c r="I292" s="15">
        <v>32.159999999999997</v>
      </c>
      <c r="J292" s="15">
        <v>4.05</v>
      </c>
      <c r="K292" s="15">
        <v>0</v>
      </c>
      <c r="L292" s="15">
        <v>541.29999999999995</v>
      </c>
      <c r="M292" s="15">
        <v>2308.9299999999998</v>
      </c>
      <c r="N292" s="15">
        <v>3132.37</v>
      </c>
      <c r="O292" s="15">
        <v>16.73</v>
      </c>
      <c r="P292" s="15">
        <v>32.31</v>
      </c>
      <c r="Q292" s="15">
        <v>209.14</v>
      </c>
      <c r="R292" s="15">
        <v>1835.81</v>
      </c>
      <c r="S292" s="15">
        <v>0.35</v>
      </c>
      <c r="T292" s="15">
        <v>0</v>
      </c>
      <c r="U292" s="15">
        <v>9.68</v>
      </c>
      <c r="V292" s="15">
        <v>364.57</v>
      </c>
      <c r="W292" s="16">
        <v>57.01</v>
      </c>
      <c r="X292" s="19" t="str">
        <f>TEXT(Table4_1[[#This Row],[date]], "hh:mm")</f>
        <v>13:30</v>
      </c>
      <c r="Y292" s="25" t="str">
        <f t="shared" si="4"/>
        <v/>
      </c>
      <c r="Z292" s="22">
        <v>0</v>
      </c>
    </row>
    <row r="293" spans="1:26">
      <c r="A293" s="13">
        <v>45855.583333333336</v>
      </c>
      <c r="B293" s="14">
        <v>-111.6</v>
      </c>
      <c r="C293" s="15">
        <v>-470.43</v>
      </c>
      <c r="D293" s="15">
        <v>-187.52</v>
      </c>
      <c r="E293" s="15">
        <v>801.68</v>
      </c>
      <c r="F293" s="15">
        <v>4130.7700000000004</v>
      </c>
      <c r="G293" s="15">
        <v>8.9700000000000006</v>
      </c>
      <c r="H293" s="15">
        <v>0</v>
      </c>
      <c r="I293" s="15">
        <v>30.94</v>
      </c>
      <c r="J293" s="15">
        <v>2.91</v>
      </c>
      <c r="K293" s="15">
        <v>0</v>
      </c>
      <c r="L293" s="15">
        <v>519.39</v>
      </c>
      <c r="M293" s="15">
        <v>2385.1</v>
      </c>
      <c r="N293" s="15">
        <v>2826.82</v>
      </c>
      <c r="O293" s="15">
        <v>17.13</v>
      </c>
      <c r="P293" s="15">
        <v>46.43</v>
      </c>
      <c r="Q293" s="15">
        <v>207.39</v>
      </c>
      <c r="R293" s="15">
        <v>1861.93</v>
      </c>
      <c r="S293" s="15">
        <v>0.37</v>
      </c>
      <c r="T293" s="15">
        <v>0</v>
      </c>
      <c r="U293" s="15">
        <v>9.32</v>
      </c>
      <c r="V293" s="15">
        <v>376.69</v>
      </c>
      <c r="W293" s="16">
        <v>1.65</v>
      </c>
      <c r="X293" s="19" t="str">
        <f>TEXT(Table4_1[[#This Row],[date]], "hh:mm")</f>
        <v>14:00</v>
      </c>
      <c r="Y293" s="25" t="str">
        <f t="shared" si="4"/>
        <v/>
      </c>
      <c r="Z293" s="22">
        <v>0</v>
      </c>
    </row>
    <row r="294" spans="1:26">
      <c r="A294" s="13">
        <v>45855.604166666664</v>
      </c>
      <c r="B294" s="14">
        <v>-25.92</v>
      </c>
      <c r="C294" s="15">
        <v>-470.54</v>
      </c>
      <c r="D294" s="15">
        <v>-170.98</v>
      </c>
      <c r="E294" s="15">
        <v>796.69</v>
      </c>
      <c r="F294" s="15">
        <v>4290.54</v>
      </c>
      <c r="G294" s="15">
        <v>9.51</v>
      </c>
      <c r="H294" s="15">
        <v>0</v>
      </c>
      <c r="I294" s="15">
        <v>32.28</v>
      </c>
      <c r="J294" s="15">
        <v>19.100000000000001</v>
      </c>
      <c r="K294" s="15">
        <v>0</v>
      </c>
      <c r="L294" s="15">
        <v>540.59</v>
      </c>
      <c r="M294" s="15">
        <v>2378.4299999999998</v>
      </c>
      <c r="N294" s="15">
        <v>2414.62</v>
      </c>
      <c r="O294" s="15">
        <v>17.2</v>
      </c>
      <c r="P294" s="15">
        <v>42.86</v>
      </c>
      <c r="Q294" s="15">
        <v>212.64</v>
      </c>
      <c r="R294" s="15">
        <v>1934.78</v>
      </c>
      <c r="S294" s="15">
        <v>0.38</v>
      </c>
      <c r="T294" s="15">
        <v>0</v>
      </c>
      <c r="U294" s="15">
        <v>9.7200000000000006</v>
      </c>
      <c r="V294" s="15">
        <v>396.33</v>
      </c>
      <c r="W294" s="16">
        <v>57.01</v>
      </c>
      <c r="X294" s="19" t="str">
        <f>TEXT(Table4_1[[#This Row],[date]], "hh:mm")</f>
        <v>14:30</v>
      </c>
      <c r="Y294" s="25" t="str">
        <f t="shared" si="4"/>
        <v/>
      </c>
      <c r="Z294" s="22">
        <v>0</v>
      </c>
    </row>
    <row r="295" spans="1:26">
      <c r="A295" s="13">
        <v>45855.625</v>
      </c>
      <c r="B295" s="14">
        <v>-27.79</v>
      </c>
      <c r="C295" s="15">
        <v>-241.81</v>
      </c>
      <c r="D295" s="15">
        <v>-190.58</v>
      </c>
      <c r="E295" s="15">
        <v>819.58</v>
      </c>
      <c r="F295" s="15">
        <v>4915.79</v>
      </c>
      <c r="G295" s="15">
        <v>9.5399999999999991</v>
      </c>
      <c r="H295" s="15">
        <v>0</v>
      </c>
      <c r="I295" s="15">
        <v>33.39</v>
      </c>
      <c r="J295" s="15">
        <v>5.82</v>
      </c>
      <c r="K295" s="15">
        <v>0</v>
      </c>
      <c r="L295" s="15">
        <v>524.08000000000004</v>
      </c>
      <c r="M295" s="15">
        <v>1984.17</v>
      </c>
      <c r="N295" s="15">
        <v>1945.37</v>
      </c>
      <c r="O295" s="15">
        <v>17.190000000000001</v>
      </c>
      <c r="P295" s="15">
        <v>55.2</v>
      </c>
      <c r="Q295" s="15">
        <v>220.1</v>
      </c>
      <c r="R295" s="15">
        <v>2214.08</v>
      </c>
      <c r="S295" s="15">
        <v>0.37</v>
      </c>
      <c r="T295" s="15">
        <v>0</v>
      </c>
      <c r="U295" s="15">
        <v>10.050000000000001</v>
      </c>
      <c r="V295" s="15">
        <v>455.02</v>
      </c>
      <c r="W295" s="16">
        <v>140.36000000000001</v>
      </c>
      <c r="X295" s="19" t="str">
        <f>TEXT(Table4_1[[#This Row],[date]], "hh:mm")</f>
        <v>15:00</v>
      </c>
      <c r="Y295" s="25" t="str">
        <f t="shared" si="4"/>
        <v/>
      </c>
      <c r="Z295" s="22">
        <v>0</v>
      </c>
    </row>
    <row r="296" spans="1:26">
      <c r="A296" s="13">
        <v>45855.645833333336</v>
      </c>
      <c r="B296" s="14">
        <v>-79.58</v>
      </c>
      <c r="C296" s="15">
        <v>-80.64</v>
      </c>
      <c r="D296" s="15">
        <v>-271.32</v>
      </c>
      <c r="E296" s="15">
        <v>780.88</v>
      </c>
      <c r="F296" s="15">
        <v>5674.82</v>
      </c>
      <c r="G296" s="15">
        <v>10.43</v>
      </c>
      <c r="H296" s="15">
        <v>1</v>
      </c>
      <c r="I296" s="15">
        <v>34.92</v>
      </c>
      <c r="J296" s="15">
        <v>6.11</v>
      </c>
      <c r="K296" s="15">
        <v>0</v>
      </c>
      <c r="L296" s="15">
        <v>492.07</v>
      </c>
      <c r="M296" s="15">
        <v>1801.47</v>
      </c>
      <c r="N296" s="15">
        <v>1469.53</v>
      </c>
      <c r="O296" s="15">
        <v>17.02</v>
      </c>
      <c r="P296" s="15">
        <v>85.57</v>
      </c>
      <c r="Q296" s="15">
        <v>217.01</v>
      </c>
      <c r="R296" s="15">
        <v>2554.38</v>
      </c>
      <c r="S296" s="15">
        <v>0.39</v>
      </c>
      <c r="T296" s="15">
        <v>0.19</v>
      </c>
      <c r="U296" s="15">
        <v>10.51</v>
      </c>
      <c r="V296" s="15">
        <v>521.45000000000005</v>
      </c>
      <c r="W296" s="16">
        <v>0</v>
      </c>
      <c r="X296" s="19" t="str">
        <f>TEXT(Table4_1[[#This Row],[date]], "hh:mm")</f>
        <v>15:30</v>
      </c>
      <c r="Y296" s="25" t="str">
        <f t="shared" si="4"/>
        <v/>
      </c>
      <c r="Z296" s="22">
        <v>0</v>
      </c>
    </row>
    <row r="297" spans="1:26">
      <c r="A297" s="13">
        <v>45855.666666666664</v>
      </c>
      <c r="B297" s="14">
        <v>-105.3</v>
      </c>
      <c r="C297" s="15">
        <v>-67.239999999999995</v>
      </c>
      <c r="D297" s="15">
        <v>-227.11</v>
      </c>
      <c r="E297" s="15">
        <v>805.28</v>
      </c>
      <c r="F297" s="15">
        <v>6816.53</v>
      </c>
      <c r="G297" s="15">
        <v>9.0299999999999994</v>
      </c>
      <c r="H297" s="15">
        <v>52.17</v>
      </c>
      <c r="I297" s="15">
        <v>36.58</v>
      </c>
      <c r="J297" s="15">
        <v>6.49</v>
      </c>
      <c r="K297" s="15">
        <v>0</v>
      </c>
      <c r="L297" s="15">
        <v>425.11</v>
      </c>
      <c r="M297" s="15">
        <v>1142.27</v>
      </c>
      <c r="N297" s="15">
        <v>1000.25</v>
      </c>
      <c r="O297" s="15">
        <v>16.02</v>
      </c>
      <c r="P297" s="15">
        <v>82.2</v>
      </c>
      <c r="Q297" s="15">
        <v>247.78</v>
      </c>
      <c r="R297" s="15">
        <v>3068.9</v>
      </c>
      <c r="S297" s="15">
        <v>0.45</v>
      </c>
      <c r="T297" s="15">
        <v>9.6999999999999993</v>
      </c>
      <c r="U297" s="15">
        <v>11.01</v>
      </c>
      <c r="V297" s="15">
        <v>624.63</v>
      </c>
      <c r="W297" s="16">
        <v>106.28</v>
      </c>
      <c r="X297" s="19" t="str">
        <f>TEXT(Table4_1[[#This Row],[date]], "hh:mm")</f>
        <v>16:00</v>
      </c>
      <c r="Y297" s="25" t="str">
        <f t="shared" si="4"/>
        <v/>
      </c>
      <c r="Z297" s="22">
        <v>0</v>
      </c>
    </row>
    <row r="298" spans="1:26">
      <c r="A298" s="13">
        <v>45855.6875</v>
      </c>
      <c r="B298" s="14">
        <v>-26.84</v>
      </c>
      <c r="C298" s="15">
        <v>0</v>
      </c>
      <c r="D298" s="15">
        <v>-224.95</v>
      </c>
      <c r="E298" s="15">
        <v>893.14</v>
      </c>
      <c r="F298" s="15">
        <v>7710.41</v>
      </c>
      <c r="G298" s="15">
        <v>-0.04</v>
      </c>
      <c r="H298" s="15">
        <v>189.67</v>
      </c>
      <c r="I298" s="15">
        <v>36.67</v>
      </c>
      <c r="J298" s="15">
        <v>0.78</v>
      </c>
      <c r="K298" s="15">
        <v>62.31</v>
      </c>
      <c r="L298" s="15">
        <v>383.55</v>
      </c>
      <c r="M298" s="15">
        <v>459.69</v>
      </c>
      <c r="N298" s="15">
        <v>542.21</v>
      </c>
      <c r="O298" s="15">
        <v>14.99</v>
      </c>
      <c r="P298" s="15">
        <v>89.1</v>
      </c>
      <c r="Q298" s="15">
        <v>301.45999999999998</v>
      </c>
      <c r="R298" s="15">
        <v>3470.41</v>
      </c>
      <c r="S298" s="15">
        <v>0.45</v>
      </c>
      <c r="T298" s="15">
        <v>35.26</v>
      </c>
      <c r="U298" s="15">
        <v>11.22</v>
      </c>
      <c r="V298" s="15">
        <v>701.6</v>
      </c>
      <c r="W298" s="16">
        <v>84.7</v>
      </c>
      <c r="X298" s="19" t="str">
        <f>TEXT(Table4_1[[#This Row],[date]], "hh:mm")</f>
        <v>16:30</v>
      </c>
      <c r="Y298" s="25" t="str">
        <f t="shared" si="4"/>
        <v/>
      </c>
      <c r="Z298" s="22">
        <v>0</v>
      </c>
    </row>
    <row r="299" spans="1:26">
      <c r="A299" s="13">
        <v>45855.708333333336</v>
      </c>
      <c r="B299" s="14">
        <v>-6.92</v>
      </c>
      <c r="C299" s="15">
        <v>0</v>
      </c>
      <c r="D299" s="15">
        <v>-238.14</v>
      </c>
      <c r="E299" s="15">
        <v>931.81</v>
      </c>
      <c r="F299" s="15">
        <v>7965.6</v>
      </c>
      <c r="G299" s="15">
        <v>-0.95</v>
      </c>
      <c r="H299" s="15">
        <v>308.83</v>
      </c>
      <c r="I299" s="15">
        <v>163.5</v>
      </c>
      <c r="J299" s="15">
        <v>48.3</v>
      </c>
      <c r="K299" s="15">
        <v>528.14</v>
      </c>
      <c r="L299" s="15">
        <v>489.01</v>
      </c>
      <c r="M299" s="15">
        <v>115.34</v>
      </c>
      <c r="N299" s="15">
        <v>173.77</v>
      </c>
      <c r="O299" s="15">
        <v>14.12</v>
      </c>
      <c r="P299" s="15">
        <v>91</v>
      </c>
      <c r="Q299" s="15">
        <v>324.83999999999997</v>
      </c>
      <c r="R299" s="15">
        <v>3586.54</v>
      </c>
      <c r="S299" s="15">
        <v>0.45</v>
      </c>
      <c r="T299" s="15">
        <v>57.41</v>
      </c>
      <c r="U299" s="15">
        <v>47.21</v>
      </c>
      <c r="V299" s="15">
        <v>704.62</v>
      </c>
      <c r="W299" s="16">
        <v>165.24</v>
      </c>
      <c r="X299" s="19" t="str">
        <f>TEXT(Table4_1[[#This Row],[date]], "hh:mm")</f>
        <v>17:00</v>
      </c>
      <c r="Y299" s="25" t="str">
        <f t="shared" si="4"/>
        <v/>
      </c>
      <c r="Z299" s="22">
        <v>0</v>
      </c>
    </row>
    <row r="300" spans="1:26">
      <c r="A300" s="13">
        <v>45855.729166666664</v>
      </c>
      <c r="B300" s="14">
        <v>-2.33</v>
      </c>
      <c r="C300" s="15">
        <v>0</v>
      </c>
      <c r="D300" s="15">
        <v>-247.09</v>
      </c>
      <c r="E300" s="15">
        <v>952.48</v>
      </c>
      <c r="F300" s="15">
        <v>7969.07</v>
      </c>
      <c r="G300" s="15">
        <v>-0.15</v>
      </c>
      <c r="H300" s="15">
        <v>443.33</v>
      </c>
      <c r="I300" s="15">
        <v>500.54</v>
      </c>
      <c r="J300" s="15">
        <v>148.81</v>
      </c>
      <c r="K300" s="15">
        <v>781.62</v>
      </c>
      <c r="L300" s="15">
        <v>446.51</v>
      </c>
      <c r="M300" s="15">
        <v>10.119999999999999</v>
      </c>
      <c r="N300" s="15">
        <v>21.45</v>
      </c>
      <c r="O300" s="15">
        <v>13.62</v>
      </c>
      <c r="P300" s="15">
        <v>91.32</v>
      </c>
      <c r="Q300" s="15">
        <v>326.08</v>
      </c>
      <c r="R300" s="15">
        <v>3588.3</v>
      </c>
      <c r="S300" s="15">
        <v>0.46</v>
      </c>
      <c r="T300" s="15">
        <v>82.42</v>
      </c>
      <c r="U300" s="15">
        <v>142.02000000000001</v>
      </c>
      <c r="V300" s="15">
        <v>691.78</v>
      </c>
      <c r="W300" s="16">
        <v>202.35</v>
      </c>
      <c r="X300" s="19" t="str">
        <f>TEXT(Table4_1[[#This Row],[date]], "hh:mm")</f>
        <v>17:30</v>
      </c>
      <c r="Y300" s="25" t="str">
        <f t="shared" si="4"/>
        <v/>
      </c>
      <c r="Z300" s="22">
        <v>0</v>
      </c>
    </row>
    <row r="301" spans="1:26">
      <c r="A301" s="13">
        <v>45855.75</v>
      </c>
      <c r="B301" s="14">
        <v>-2.59</v>
      </c>
      <c r="C301" s="15">
        <v>0</v>
      </c>
      <c r="D301" s="15">
        <v>-211.31</v>
      </c>
      <c r="E301" s="15">
        <v>1048.56</v>
      </c>
      <c r="F301" s="15">
        <v>7997.94</v>
      </c>
      <c r="G301" s="15">
        <v>0.25</v>
      </c>
      <c r="H301" s="15">
        <v>441.67</v>
      </c>
      <c r="I301" s="15">
        <v>699.88</v>
      </c>
      <c r="J301" s="15">
        <v>225.61</v>
      </c>
      <c r="K301" s="15">
        <v>839.56</v>
      </c>
      <c r="L301" s="15">
        <v>463.5</v>
      </c>
      <c r="M301" s="15">
        <v>0.05</v>
      </c>
      <c r="N301" s="15">
        <v>0.27</v>
      </c>
      <c r="O301" s="15">
        <v>13.09</v>
      </c>
      <c r="P301" s="15">
        <v>76.75</v>
      </c>
      <c r="Q301" s="15">
        <v>347.02</v>
      </c>
      <c r="R301" s="15">
        <v>3603.26</v>
      </c>
      <c r="S301" s="15">
        <v>0.47</v>
      </c>
      <c r="T301" s="15">
        <v>82.11</v>
      </c>
      <c r="U301" s="15">
        <v>198.16</v>
      </c>
      <c r="V301" s="15">
        <v>675.28</v>
      </c>
      <c r="W301" s="16">
        <v>254.96</v>
      </c>
      <c r="X301" s="19" t="str">
        <f>TEXT(Table4_1[[#This Row],[date]], "hh:mm")</f>
        <v>18:00</v>
      </c>
      <c r="Y301" s="25" t="str">
        <f t="shared" si="4"/>
        <v/>
      </c>
      <c r="Z301" s="22">
        <v>0</v>
      </c>
    </row>
    <row r="302" spans="1:26">
      <c r="A302" s="13">
        <v>45855.770833333336</v>
      </c>
      <c r="B302" s="14">
        <v>-3.52</v>
      </c>
      <c r="C302" s="15">
        <v>0</v>
      </c>
      <c r="D302" s="15">
        <v>-103.97</v>
      </c>
      <c r="E302" s="15">
        <v>1203.54</v>
      </c>
      <c r="F302" s="15">
        <v>8078.78</v>
      </c>
      <c r="G302" s="15">
        <v>-0.3</v>
      </c>
      <c r="H302" s="15">
        <v>443.5</v>
      </c>
      <c r="I302" s="15">
        <v>701.87</v>
      </c>
      <c r="J302" s="15">
        <v>194.77</v>
      </c>
      <c r="K302" s="15">
        <v>863.3</v>
      </c>
      <c r="L302" s="15">
        <v>379.57</v>
      </c>
      <c r="M302" s="15">
        <v>0.05</v>
      </c>
      <c r="N302" s="15">
        <v>0</v>
      </c>
      <c r="O302" s="15">
        <v>12.89</v>
      </c>
      <c r="P302" s="15">
        <v>38.090000000000003</v>
      </c>
      <c r="Q302" s="15">
        <v>397.77</v>
      </c>
      <c r="R302" s="15">
        <v>3642.82</v>
      </c>
      <c r="S302" s="15">
        <v>0.47</v>
      </c>
      <c r="T302" s="15">
        <v>82.45</v>
      </c>
      <c r="U302" s="15">
        <v>198.73</v>
      </c>
      <c r="V302" s="15">
        <v>667.56</v>
      </c>
      <c r="W302" s="16">
        <v>186.83</v>
      </c>
      <c r="X302" s="19" t="str">
        <f>TEXT(Table4_1[[#This Row],[date]], "hh:mm")</f>
        <v>18:30</v>
      </c>
      <c r="Y302" s="25" t="str">
        <f t="shared" si="4"/>
        <v/>
      </c>
      <c r="Z302" s="22">
        <v>0</v>
      </c>
    </row>
    <row r="303" spans="1:26">
      <c r="A303" s="13">
        <v>45855.791666666664</v>
      </c>
      <c r="B303" s="14">
        <v>-4.9400000000000004</v>
      </c>
      <c r="C303" s="15">
        <v>0</v>
      </c>
      <c r="D303" s="15">
        <v>-47.36</v>
      </c>
      <c r="E303" s="15">
        <v>1320.33</v>
      </c>
      <c r="F303" s="15">
        <v>8130.66</v>
      </c>
      <c r="G303" s="15">
        <v>-0.02</v>
      </c>
      <c r="H303" s="15">
        <v>450.33</v>
      </c>
      <c r="I303" s="15">
        <v>704.97</v>
      </c>
      <c r="J303" s="15">
        <v>175.64</v>
      </c>
      <c r="K303" s="15">
        <v>876.02</v>
      </c>
      <c r="L303" s="15">
        <v>361.17</v>
      </c>
      <c r="M303" s="15">
        <v>0.05</v>
      </c>
      <c r="N303" s="15">
        <v>0</v>
      </c>
      <c r="O303" s="15">
        <v>12.58</v>
      </c>
      <c r="P303" s="15">
        <v>17.48</v>
      </c>
      <c r="Q303" s="15">
        <v>436.41</v>
      </c>
      <c r="R303" s="15">
        <v>3668.4</v>
      </c>
      <c r="S303" s="15">
        <v>0.47</v>
      </c>
      <c r="T303" s="15">
        <v>83.72</v>
      </c>
      <c r="U303" s="15">
        <v>199.61</v>
      </c>
      <c r="V303" s="15">
        <v>660.52</v>
      </c>
      <c r="W303" s="16">
        <v>185.72</v>
      </c>
      <c r="X303" s="19" t="str">
        <f>TEXT(Table4_1[[#This Row],[date]], "hh:mm")</f>
        <v>19:00</v>
      </c>
      <c r="Y303" s="25" t="str">
        <f t="shared" si="4"/>
        <v/>
      </c>
      <c r="Z303" s="22">
        <v>0</v>
      </c>
    </row>
    <row r="304" spans="1:26">
      <c r="A304" s="13">
        <v>45855.8125</v>
      </c>
      <c r="B304" s="14">
        <v>-5.38</v>
      </c>
      <c r="C304" s="15">
        <v>0</v>
      </c>
      <c r="D304" s="15">
        <v>-87.06</v>
      </c>
      <c r="E304" s="15">
        <v>1351.63</v>
      </c>
      <c r="F304" s="15">
        <v>8129.35</v>
      </c>
      <c r="G304" s="15">
        <v>-0.18</v>
      </c>
      <c r="H304" s="15">
        <v>450.83</v>
      </c>
      <c r="I304" s="15">
        <v>703.35</v>
      </c>
      <c r="J304" s="15">
        <v>50.57</v>
      </c>
      <c r="K304" s="15">
        <v>876.66</v>
      </c>
      <c r="L304" s="15">
        <v>395.45</v>
      </c>
      <c r="M304" s="15">
        <v>0.05</v>
      </c>
      <c r="N304" s="15">
        <v>0</v>
      </c>
      <c r="O304" s="15">
        <v>11.9</v>
      </c>
      <c r="P304" s="15">
        <v>32.35</v>
      </c>
      <c r="Q304" s="15">
        <v>447.23</v>
      </c>
      <c r="R304" s="15">
        <v>3667.86</v>
      </c>
      <c r="S304" s="15">
        <v>0.47</v>
      </c>
      <c r="T304" s="15">
        <v>83.81</v>
      </c>
      <c r="U304" s="15">
        <v>199.15</v>
      </c>
      <c r="V304" s="15">
        <v>666.03</v>
      </c>
      <c r="W304" s="16">
        <v>239.65</v>
      </c>
      <c r="X304" s="19" t="str">
        <f>TEXT(Table4_1[[#This Row],[date]], "hh:mm")</f>
        <v>19:30</v>
      </c>
      <c r="Y304" s="25" t="str">
        <f t="shared" si="4"/>
        <v/>
      </c>
      <c r="Z304" s="22">
        <v>0</v>
      </c>
    </row>
    <row r="305" spans="1:26">
      <c r="A305" s="13">
        <v>45855.833333333336</v>
      </c>
      <c r="B305" s="14">
        <v>-13.84</v>
      </c>
      <c r="C305" s="15">
        <v>0</v>
      </c>
      <c r="D305" s="15">
        <v>-155.18</v>
      </c>
      <c r="E305" s="15">
        <v>1331.13</v>
      </c>
      <c r="F305" s="15">
        <v>8134.41</v>
      </c>
      <c r="G305" s="15">
        <v>0.51</v>
      </c>
      <c r="H305" s="15">
        <v>451.5</v>
      </c>
      <c r="I305" s="15">
        <v>703.88</v>
      </c>
      <c r="J305" s="15">
        <v>59.39</v>
      </c>
      <c r="K305" s="15">
        <v>866.48</v>
      </c>
      <c r="L305" s="15">
        <v>441.89</v>
      </c>
      <c r="M305" s="15">
        <v>0.05</v>
      </c>
      <c r="N305" s="15">
        <v>0</v>
      </c>
      <c r="O305" s="15">
        <v>11.47</v>
      </c>
      <c r="P305" s="15">
        <v>57.42</v>
      </c>
      <c r="Q305" s="15">
        <v>443.66</v>
      </c>
      <c r="R305" s="15">
        <v>3670.05</v>
      </c>
      <c r="S305" s="15">
        <v>0.47</v>
      </c>
      <c r="T305" s="15">
        <v>83.93</v>
      </c>
      <c r="U305" s="15">
        <v>199.31</v>
      </c>
      <c r="V305" s="15">
        <v>668.98</v>
      </c>
      <c r="W305" s="16">
        <v>154.57</v>
      </c>
      <c r="X305" s="19" t="str">
        <f>TEXT(Table4_1[[#This Row],[date]], "hh:mm")</f>
        <v>20:00</v>
      </c>
      <c r="Y305" s="25" t="str">
        <f t="shared" si="4"/>
        <v/>
      </c>
      <c r="Z305" s="22">
        <v>0</v>
      </c>
    </row>
    <row r="306" spans="1:26">
      <c r="A306" s="13">
        <v>45855.854166666664</v>
      </c>
      <c r="B306" s="14">
        <v>-3.69</v>
      </c>
      <c r="C306" s="15">
        <v>0</v>
      </c>
      <c r="D306" s="15">
        <v>-230.05</v>
      </c>
      <c r="E306" s="15">
        <v>1338.94</v>
      </c>
      <c r="F306" s="15">
        <v>8147.78</v>
      </c>
      <c r="G306" s="15">
        <v>0.03</v>
      </c>
      <c r="H306" s="15">
        <v>451.5</v>
      </c>
      <c r="I306" s="15">
        <v>704.96</v>
      </c>
      <c r="J306" s="15">
        <v>21.79</v>
      </c>
      <c r="K306" s="15">
        <v>837.13</v>
      </c>
      <c r="L306" s="15">
        <v>426.13</v>
      </c>
      <c r="M306" s="15">
        <v>0.05</v>
      </c>
      <c r="N306" s="15">
        <v>0</v>
      </c>
      <c r="O306" s="15">
        <v>11.44</v>
      </c>
      <c r="P306" s="15">
        <v>85.82</v>
      </c>
      <c r="Q306" s="15">
        <v>450.77</v>
      </c>
      <c r="R306" s="15">
        <v>3676.3</v>
      </c>
      <c r="S306" s="15">
        <v>0.47</v>
      </c>
      <c r="T306" s="15">
        <v>83.93</v>
      </c>
      <c r="U306" s="15">
        <v>199.62</v>
      </c>
      <c r="V306" s="15">
        <v>677.29</v>
      </c>
      <c r="W306" s="16">
        <v>163.07</v>
      </c>
      <c r="X306" s="19" t="str">
        <f>TEXT(Table4_1[[#This Row],[date]], "hh:mm")</f>
        <v>20:30</v>
      </c>
      <c r="Y306" s="25" t="str">
        <f t="shared" si="4"/>
        <v/>
      </c>
      <c r="Z306" s="22">
        <v>0</v>
      </c>
    </row>
    <row r="307" spans="1:26">
      <c r="A307" s="13">
        <v>45855.875</v>
      </c>
      <c r="B307" s="14">
        <v>-10.78</v>
      </c>
      <c r="C307" s="15">
        <v>0</v>
      </c>
      <c r="D307" s="15">
        <v>-180.76</v>
      </c>
      <c r="E307" s="15">
        <v>1324.47</v>
      </c>
      <c r="F307" s="15">
        <v>8145.84</v>
      </c>
      <c r="G307" s="15">
        <v>-0.2</v>
      </c>
      <c r="H307" s="15">
        <v>450.17</v>
      </c>
      <c r="I307" s="15">
        <v>621.1</v>
      </c>
      <c r="J307" s="15">
        <v>44.87</v>
      </c>
      <c r="K307" s="15">
        <v>621.15</v>
      </c>
      <c r="L307" s="15">
        <v>441.88</v>
      </c>
      <c r="M307" s="15">
        <v>0.05</v>
      </c>
      <c r="N307" s="15">
        <v>0</v>
      </c>
      <c r="O307" s="15">
        <v>11.79</v>
      </c>
      <c r="P307" s="15">
        <v>68.62</v>
      </c>
      <c r="Q307" s="15">
        <v>450.24</v>
      </c>
      <c r="R307" s="15">
        <v>3675.39</v>
      </c>
      <c r="S307" s="15">
        <v>0.47</v>
      </c>
      <c r="T307" s="15">
        <v>83.69</v>
      </c>
      <c r="U307" s="15">
        <v>175.98</v>
      </c>
      <c r="V307" s="15">
        <v>686.96</v>
      </c>
      <c r="W307" s="16">
        <v>234.56</v>
      </c>
      <c r="X307" s="19" t="str">
        <f>TEXT(Table4_1[[#This Row],[date]], "hh:mm")</f>
        <v>21:00</v>
      </c>
      <c r="Y307" s="25" t="str">
        <f t="shared" si="4"/>
        <v/>
      </c>
      <c r="Z307" s="22">
        <v>0</v>
      </c>
    </row>
    <row r="308" spans="1:26">
      <c r="A308" s="13">
        <v>45855.895833333336</v>
      </c>
      <c r="B308" s="14">
        <v>-14.03</v>
      </c>
      <c r="C308" s="15">
        <v>0</v>
      </c>
      <c r="D308" s="15">
        <v>-202.07</v>
      </c>
      <c r="E308" s="15">
        <v>1249.76</v>
      </c>
      <c r="F308" s="15">
        <v>8129.83</v>
      </c>
      <c r="G308" s="15">
        <v>0.27</v>
      </c>
      <c r="H308" s="15">
        <v>450.67</v>
      </c>
      <c r="I308" s="15">
        <v>350.09</v>
      </c>
      <c r="J308" s="15">
        <v>18.8</v>
      </c>
      <c r="K308" s="15">
        <v>560</v>
      </c>
      <c r="L308" s="15">
        <v>434.36</v>
      </c>
      <c r="M308" s="15">
        <v>0.05</v>
      </c>
      <c r="N308" s="15">
        <v>0</v>
      </c>
      <c r="O308" s="15">
        <v>11.62</v>
      </c>
      <c r="P308" s="15">
        <v>78.209999999999994</v>
      </c>
      <c r="Q308" s="15">
        <v>430.44</v>
      </c>
      <c r="R308" s="15">
        <v>3667.04</v>
      </c>
      <c r="S308" s="15">
        <v>0.47</v>
      </c>
      <c r="T308" s="15">
        <v>83.78</v>
      </c>
      <c r="U308" s="15">
        <v>99.55</v>
      </c>
      <c r="V308" s="15">
        <v>701.57</v>
      </c>
      <c r="W308" s="16">
        <v>134.12</v>
      </c>
      <c r="X308" s="19" t="str">
        <f>TEXT(Table4_1[[#This Row],[date]], "hh:mm")</f>
        <v>21:30</v>
      </c>
      <c r="Y308" s="25" t="str">
        <f t="shared" si="4"/>
        <v/>
      </c>
      <c r="Z308" s="22">
        <v>0</v>
      </c>
    </row>
    <row r="309" spans="1:26">
      <c r="A309" s="13">
        <v>45855.916666666664</v>
      </c>
      <c r="B309" s="14">
        <v>-13.46</v>
      </c>
      <c r="C309" s="15">
        <v>0</v>
      </c>
      <c r="D309" s="15">
        <v>-191.8</v>
      </c>
      <c r="E309" s="15">
        <v>1112.75</v>
      </c>
      <c r="F309" s="15">
        <v>8061.09</v>
      </c>
      <c r="G309" s="15">
        <v>-2.5499999999999998</v>
      </c>
      <c r="H309" s="15">
        <v>449.83</v>
      </c>
      <c r="I309" s="15">
        <v>195.03</v>
      </c>
      <c r="J309" s="15">
        <v>5.35</v>
      </c>
      <c r="K309" s="15">
        <v>238.7</v>
      </c>
      <c r="L309" s="15">
        <v>457.35</v>
      </c>
      <c r="M309" s="15">
        <v>0.05</v>
      </c>
      <c r="N309" s="15">
        <v>0</v>
      </c>
      <c r="O309" s="15">
        <v>11.19</v>
      </c>
      <c r="P309" s="15">
        <v>76.540000000000006</v>
      </c>
      <c r="Q309" s="15">
        <v>387.71</v>
      </c>
      <c r="R309" s="15">
        <v>3633.08</v>
      </c>
      <c r="S309" s="15">
        <v>0.45</v>
      </c>
      <c r="T309" s="15">
        <v>83.62</v>
      </c>
      <c r="U309" s="15">
        <v>55.83</v>
      </c>
      <c r="V309" s="15">
        <v>731.74</v>
      </c>
      <c r="W309" s="16">
        <v>134.53</v>
      </c>
      <c r="X309" s="19" t="str">
        <f>TEXT(Table4_1[[#This Row],[date]], "hh:mm")</f>
        <v>22:00</v>
      </c>
      <c r="Y309" s="25" t="str">
        <f t="shared" si="4"/>
        <v/>
      </c>
      <c r="Z309" s="22">
        <v>0</v>
      </c>
    </row>
    <row r="310" spans="1:26">
      <c r="A310" s="13">
        <v>45855.9375</v>
      </c>
      <c r="B310" s="14">
        <v>-12.4</v>
      </c>
      <c r="C310" s="15">
        <v>0</v>
      </c>
      <c r="D310" s="15">
        <v>-108.46</v>
      </c>
      <c r="E310" s="15">
        <v>1004.62</v>
      </c>
      <c r="F310" s="15">
        <v>8073.74</v>
      </c>
      <c r="G310" s="15">
        <v>-2.5099999999999998</v>
      </c>
      <c r="H310" s="15">
        <v>453.17</v>
      </c>
      <c r="I310" s="15">
        <v>52.8</v>
      </c>
      <c r="J310" s="15">
        <v>3.78</v>
      </c>
      <c r="K310" s="15">
        <v>25.97</v>
      </c>
      <c r="L310" s="15">
        <v>522.1</v>
      </c>
      <c r="M310" s="15">
        <v>0.05</v>
      </c>
      <c r="N310" s="15">
        <v>0</v>
      </c>
      <c r="O310" s="15">
        <v>10.42</v>
      </c>
      <c r="P310" s="15">
        <v>44.3</v>
      </c>
      <c r="Q310" s="15">
        <v>355.6</v>
      </c>
      <c r="R310" s="15">
        <v>3638.95</v>
      </c>
      <c r="S310" s="15">
        <v>0.45</v>
      </c>
      <c r="T310" s="15">
        <v>84.24</v>
      </c>
      <c r="U310" s="15">
        <v>15.71</v>
      </c>
      <c r="V310" s="15">
        <v>746.91</v>
      </c>
      <c r="W310" s="16">
        <v>171.65</v>
      </c>
      <c r="X310" s="19" t="str">
        <f>TEXT(Table4_1[[#This Row],[date]], "hh:mm")</f>
        <v>22:30</v>
      </c>
      <c r="Y310" s="25" t="str">
        <f t="shared" si="4"/>
        <v/>
      </c>
      <c r="Z310" s="22">
        <v>0</v>
      </c>
    </row>
    <row r="311" spans="1:26">
      <c r="A311" s="13">
        <v>45855.958333333336</v>
      </c>
      <c r="B311" s="14">
        <v>-11.46</v>
      </c>
      <c r="C311" s="15">
        <v>0</v>
      </c>
      <c r="D311" s="15">
        <v>-184.95</v>
      </c>
      <c r="E311" s="15">
        <v>934.67</v>
      </c>
      <c r="F311" s="15">
        <v>8119.62</v>
      </c>
      <c r="G311" s="15">
        <v>-0.33</v>
      </c>
      <c r="H311" s="15">
        <v>444.17</v>
      </c>
      <c r="I311" s="15">
        <v>42.55</v>
      </c>
      <c r="J311" s="15">
        <v>0.21</v>
      </c>
      <c r="K311" s="15">
        <v>0</v>
      </c>
      <c r="L311" s="15">
        <v>506.45</v>
      </c>
      <c r="M311" s="15">
        <v>0.05</v>
      </c>
      <c r="N311" s="15">
        <v>0</v>
      </c>
      <c r="O311" s="15">
        <v>9.98</v>
      </c>
      <c r="P311" s="15">
        <v>76.069999999999993</v>
      </c>
      <c r="Q311" s="15">
        <v>339.03</v>
      </c>
      <c r="R311" s="15">
        <v>3661.95</v>
      </c>
      <c r="S311" s="15">
        <v>0.44</v>
      </c>
      <c r="T311" s="15">
        <v>82.57</v>
      </c>
      <c r="U311" s="15">
        <v>12.81</v>
      </c>
      <c r="V311" s="15">
        <v>762.92</v>
      </c>
      <c r="W311" s="16">
        <v>140.94</v>
      </c>
      <c r="X311" s="19" t="str">
        <f>TEXT(Table4_1[[#This Row],[date]], "hh:mm")</f>
        <v>23:00</v>
      </c>
      <c r="Y311" s="25" t="str">
        <f t="shared" si="4"/>
        <v/>
      </c>
      <c r="Z311" s="22">
        <v>0</v>
      </c>
    </row>
    <row r="312" spans="1:26">
      <c r="A312" s="13">
        <v>45855.979166666664</v>
      </c>
      <c r="B312" s="14">
        <v>-10.81</v>
      </c>
      <c r="C312" s="15">
        <v>0</v>
      </c>
      <c r="D312" s="15">
        <v>-188.5</v>
      </c>
      <c r="E312" s="15">
        <v>903.45</v>
      </c>
      <c r="F312" s="15">
        <v>8122.02</v>
      </c>
      <c r="G312" s="15">
        <v>-0.5</v>
      </c>
      <c r="H312" s="15">
        <v>305.17</v>
      </c>
      <c r="I312" s="15">
        <v>42.53</v>
      </c>
      <c r="J312" s="15">
        <v>0.72</v>
      </c>
      <c r="K312" s="15">
        <v>0</v>
      </c>
      <c r="L312" s="15">
        <v>421.67</v>
      </c>
      <c r="M312" s="15">
        <v>0.05</v>
      </c>
      <c r="N312" s="15">
        <v>0</v>
      </c>
      <c r="O312" s="15">
        <v>10.050000000000001</v>
      </c>
      <c r="P312" s="15">
        <v>78.91</v>
      </c>
      <c r="Q312" s="15">
        <v>328.94</v>
      </c>
      <c r="R312" s="15">
        <v>3663.22</v>
      </c>
      <c r="S312" s="15">
        <v>0.45</v>
      </c>
      <c r="T312" s="15">
        <v>56.73</v>
      </c>
      <c r="U312" s="15">
        <v>12.8</v>
      </c>
      <c r="V312" s="15">
        <v>778.09</v>
      </c>
      <c r="W312" s="16">
        <v>109.92</v>
      </c>
      <c r="X312" s="19" t="str">
        <f>TEXT(Table4_1[[#This Row],[date]], "hh:mm")</f>
        <v>23:30</v>
      </c>
      <c r="Y312" s="25" t="str">
        <f t="shared" si="4"/>
        <v/>
      </c>
      <c r="Z312" s="22">
        <v>0</v>
      </c>
    </row>
    <row r="313" spans="1:26">
      <c r="A313" s="13">
        <v>45856</v>
      </c>
      <c r="B313" s="14">
        <v>-12.24</v>
      </c>
      <c r="C313" s="15">
        <v>0</v>
      </c>
      <c r="D313" s="15">
        <v>-218.38</v>
      </c>
      <c r="E313" s="15">
        <v>956.18</v>
      </c>
      <c r="F313" s="15">
        <v>8067.67</v>
      </c>
      <c r="G313" s="15">
        <v>-0.74</v>
      </c>
      <c r="H313" s="15">
        <v>194.33</v>
      </c>
      <c r="I313" s="15">
        <v>42.68</v>
      </c>
      <c r="J313" s="15">
        <v>0.13</v>
      </c>
      <c r="K313" s="15">
        <v>0</v>
      </c>
      <c r="L313" s="15">
        <v>261.79000000000002</v>
      </c>
      <c r="M313" s="15">
        <v>0.05</v>
      </c>
      <c r="N313" s="15">
        <v>0</v>
      </c>
      <c r="O313" s="15">
        <v>9.8800000000000008</v>
      </c>
      <c r="P313" s="15">
        <v>93.78</v>
      </c>
      <c r="Q313" s="15">
        <v>345.93</v>
      </c>
      <c r="R313" s="15">
        <v>3639.42</v>
      </c>
      <c r="S313" s="15">
        <v>0.44</v>
      </c>
      <c r="T313" s="15">
        <v>36.130000000000003</v>
      </c>
      <c r="U313" s="15">
        <v>12.85</v>
      </c>
      <c r="V313" s="15">
        <v>794.03</v>
      </c>
      <c r="W313" s="16">
        <v>127.6</v>
      </c>
      <c r="X313" s="19" t="str">
        <f>TEXT(Table4_1[[#This Row],[date]], "hh:mm")</f>
        <v>00:00</v>
      </c>
      <c r="Y313" s="25" t="str">
        <f t="shared" si="4"/>
        <v>18 Jul</v>
      </c>
      <c r="Z313" s="22">
        <v>0</v>
      </c>
    </row>
    <row r="314" spans="1:26">
      <c r="A314" s="13">
        <v>45856.020833333336</v>
      </c>
      <c r="B314" s="14">
        <v>-20.67</v>
      </c>
      <c r="C314" s="15">
        <v>0</v>
      </c>
      <c r="D314" s="15">
        <v>-189.4</v>
      </c>
      <c r="E314" s="15">
        <v>731.18</v>
      </c>
      <c r="F314" s="15">
        <v>7973.44</v>
      </c>
      <c r="G314" s="15">
        <v>-2.65</v>
      </c>
      <c r="H314" s="15">
        <v>190</v>
      </c>
      <c r="I314" s="15">
        <v>42.71</v>
      </c>
      <c r="J314" s="15">
        <v>0.28999999999999998</v>
      </c>
      <c r="K314" s="15">
        <v>0</v>
      </c>
      <c r="L314" s="15">
        <v>298.75</v>
      </c>
      <c r="M314" s="15">
        <v>0.05</v>
      </c>
      <c r="N314" s="15">
        <v>0</v>
      </c>
      <c r="O314" s="15">
        <v>9.32</v>
      </c>
      <c r="P314" s="15">
        <v>81.010000000000005</v>
      </c>
      <c r="Q314" s="15">
        <v>262.89</v>
      </c>
      <c r="R314" s="15">
        <v>3598.52</v>
      </c>
      <c r="S314" s="15">
        <v>0.41</v>
      </c>
      <c r="T314" s="15">
        <v>35.32</v>
      </c>
      <c r="U314" s="15">
        <v>12.86</v>
      </c>
      <c r="V314" s="15">
        <v>808.34</v>
      </c>
      <c r="W314" s="16">
        <v>98.1</v>
      </c>
      <c r="X314" s="19" t="str">
        <f>TEXT(Table4_1[[#This Row],[date]], "hh:mm")</f>
        <v>00:30</v>
      </c>
      <c r="Y314" s="25" t="str">
        <f t="shared" si="4"/>
        <v/>
      </c>
      <c r="Z314" s="22">
        <v>0</v>
      </c>
    </row>
    <row r="315" spans="1:26">
      <c r="A315" s="13">
        <v>45856.041666666664</v>
      </c>
      <c r="B315" s="14">
        <v>-59.56</v>
      </c>
      <c r="C315" s="15">
        <v>0</v>
      </c>
      <c r="D315" s="15">
        <v>-143.83000000000001</v>
      </c>
      <c r="E315" s="15">
        <v>570.51</v>
      </c>
      <c r="F315" s="15">
        <v>7814.07</v>
      </c>
      <c r="G315" s="15">
        <v>-1.69</v>
      </c>
      <c r="H315" s="15">
        <v>189.83</v>
      </c>
      <c r="I315" s="15">
        <v>42.84</v>
      </c>
      <c r="J315" s="15">
        <v>0.1</v>
      </c>
      <c r="K315" s="15">
        <v>0</v>
      </c>
      <c r="L315" s="15">
        <v>353.75</v>
      </c>
      <c r="M315" s="15">
        <v>0.05</v>
      </c>
      <c r="N315" s="15">
        <v>0</v>
      </c>
      <c r="O315" s="15">
        <v>9.18</v>
      </c>
      <c r="P315" s="15">
        <v>61.06</v>
      </c>
      <c r="Q315" s="15">
        <v>208.47</v>
      </c>
      <c r="R315" s="15">
        <v>3528.49</v>
      </c>
      <c r="S315" s="15">
        <v>0.43</v>
      </c>
      <c r="T315" s="15">
        <v>35.29</v>
      </c>
      <c r="U315" s="15">
        <v>12.9</v>
      </c>
      <c r="V315" s="15">
        <v>816.13</v>
      </c>
      <c r="W315" s="16">
        <v>96.55</v>
      </c>
      <c r="X315" s="19" t="str">
        <f>TEXT(Table4_1[[#This Row],[date]], "hh:mm")</f>
        <v>01:00</v>
      </c>
      <c r="Y315" s="25" t="str">
        <f t="shared" si="4"/>
        <v/>
      </c>
      <c r="Z315" s="22">
        <v>0</v>
      </c>
    </row>
    <row r="316" spans="1:26">
      <c r="A316" s="13">
        <v>45856.0625</v>
      </c>
      <c r="B316" s="14">
        <v>-16.57</v>
      </c>
      <c r="C316" s="15">
        <v>-67.48</v>
      </c>
      <c r="D316" s="15">
        <v>-174.89</v>
      </c>
      <c r="E316" s="15">
        <v>567.84</v>
      </c>
      <c r="F316" s="15">
        <v>7627.58</v>
      </c>
      <c r="G316" s="15">
        <v>-1.04</v>
      </c>
      <c r="H316" s="15">
        <v>189.67</v>
      </c>
      <c r="I316" s="15">
        <v>42.78</v>
      </c>
      <c r="J316" s="15">
        <v>0.06</v>
      </c>
      <c r="K316" s="15">
        <v>0</v>
      </c>
      <c r="L316" s="15">
        <v>376.66</v>
      </c>
      <c r="M316" s="15">
        <v>0.05</v>
      </c>
      <c r="N316" s="15">
        <v>0</v>
      </c>
      <c r="O316" s="15">
        <v>9.0299999999999994</v>
      </c>
      <c r="P316" s="15">
        <v>73.39</v>
      </c>
      <c r="Q316" s="15">
        <v>211.86</v>
      </c>
      <c r="R316" s="15">
        <v>3446.4</v>
      </c>
      <c r="S316" s="15">
        <v>0.44</v>
      </c>
      <c r="T316" s="15">
        <v>35.26</v>
      </c>
      <c r="U316" s="15">
        <v>12.88</v>
      </c>
      <c r="V316" s="15">
        <v>818.05</v>
      </c>
      <c r="W316" s="16">
        <v>90.63</v>
      </c>
      <c r="X316" s="19" t="str">
        <f>TEXT(Table4_1[[#This Row],[date]], "hh:mm")</f>
        <v>01:30</v>
      </c>
      <c r="Y316" s="25" t="str">
        <f t="shared" si="4"/>
        <v/>
      </c>
      <c r="Z316" s="22">
        <v>0</v>
      </c>
    </row>
    <row r="317" spans="1:26">
      <c r="A317" s="13">
        <v>45856.083333333336</v>
      </c>
      <c r="B317" s="14">
        <v>-16.52</v>
      </c>
      <c r="C317" s="15">
        <v>-80.81</v>
      </c>
      <c r="D317" s="15">
        <v>-165.42</v>
      </c>
      <c r="E317" s="15">
        <v>523.20000000000005</v>
      </c>
      <c r="F317" s="15">
        <v>7425.33</v>
      </c>
      <c r="G317" s="15">
        <v>-1.43</v>
      </c>
      <c r="H317" s="15">
        <v>190</v>
      </c>
      <c r="I317" s="15">
        <v>42.9</v>
      </c>
      <c r="J317" s="15">
        <v>0.16</v>
      </c>
      <c r="K317" s="15">
        <v>0</v>
      </c>
      <c r="L317" s="15">
        <v>465.77</v>
      </c>
      <c r="M317" s="15">
        <v>0.05</v>
      </c>
      <c r="N317" s="15">
        <v>0</v>
      </c>
      <c r="O317" s="15">
        <v>9</v>
      </c>
      <c r="P317" s="15">
        <v>68.44</v>
      </c>
      <c r="Q317" s="15">
        <v>200.39</v>
      </c>
      <c r="R317" s="15">
        <v>3355.9</v>
      </c>
      <c r="S317" s="15">
        <v>0.45</v>
      </c>
      <c r="T317" s="15">
        <v>35.32</v>
      </c>
      <c r="U317" s="15">
        <v>12.92</v>
      </c>
      <c r="V317" s="15">
        <v>812.24</v>
      </c>
      <c r="W317" s="16">
        <v>84.85</v>
      </c>
      <c r="X317" s="19" t="str">
        <f>TEXT(Table4_1[[#This Row],[date]], "hh:mm")</f>
        <v>02:00</v>
      </c>
      <c r="Y317" s="25" t="str">
        <f t="shared" si="4"/>
        <v/>
      </c>
      <c r="Z317" s="22">
        <v>0</v>
      </c>
    </row>
    <row r="318" spans="1:26">
      <c r="A318" s="13">
        <v>45856.104166666664</v>
      </c>
      <c r="B318" s="14">
        <v>-50.46</v>
      </c>
      <c r="C318" s="15">
        <v>-80.709999999999994</v>
      </c>
      <c r="D318" s="15">
        <v>-156.04</v>
      </c>
      <c r="E318" s="15">
        <v>459.56</v>
      </c>
      <c r="F318" s="15">
        <v>7290</v>
      </c>
      <c r="G318" s="15">
        <v>-2.1800000000000002</v>
      </c>
      <c r="H318" s="15">
        <v>190.17</v>
      </c>
      <c r="I318" s="15">
        <v>43.32</v>
      </c>
      <c r="J318" s="15">
        <v>0.13</v>
      </c>
      <c r="K318" s="15">
        <v>0</v>
      </c>
      <c r="L318" s="15">
        <v>453.06</v>
      </c>
      <c r="M318" s="15">
        <v>0.05</v>
      </c>
      <c r="N318" s="15">
        <v>0</v>
      </c>
      <c r="O318" s="15">
        <v>8.99</v>
      </c>
      <c r="P318" s="15">
        <v>64.489999999999995</v>
      </c>
      <c r="Q318" s="15">
        <v>178.55</v>
      </c>
      <c r="R318" s="15">
        <v>3291.3</v>
      </c>
      <c r="S318" s="15">
        <v>0.43</v>
      </c>
      <c r="T318" s="15">
        <v>35.35</v>
      </c>
      <c r="U318" s="15">
        <v>13.04</v>
      </c>
      <c r="V318" s="15">
        <v>819.98</v>
      </c>
      <c r="W318" s="16">
        <v>90.36</v>
      </c>
      <c r="X318" s="19" t="str">
        <f>TEXT(Table4_1[[#This Row],[date]], "hh:mm")</f>
        <v>02:30</v>
      </c>
      <c r="Y318" s="25" t="str">
        <f t="shared" si="4"/>
        <v/>
      </c>
      <c r="Z318" s="22">
        <v>0</v>
      </c>
    </row>
    <row r="319" spans="1:26">
      <c r="A319" s="13">
        <v>45856.125</v>
      </c>
      <c r="B319" s="14">
        <v>-70.569999999999993</v>
      </c>
      <c r="C319" s="15">
        <v>-80.61</v>
      </c>
      <c r="D319" s="15">
        <v>-128.77000000000001</v>
      </c>
      <c r="E319" s="15">
        <v>457.41</v>
      </c>
      <c r="F319" s="15">
        <v>7203.53</v>
      </c>
      <c r="G319" s="15">
        <v>-2.29</v>
      </c>
      <c r="H319" s="15">
        <v>189.83</v>
      </c>
      <c r="I319" s="15">
        <v>43</v>
      </c>
      <c r="J319" s="15">
        <v>0.42</v>
      </c>
      <c r="K319" s="15">
        <v>0</v>
      </c>
      <c r="L319" s="15">
        <v>404.65</v>
      </c>
      <c r="M319" s="15">
        <v>0.05</v>
      </c>
      <c r="N319" s="15">
        <v>0</v>
      </c>
      <c r="O319" s="15">
        <v>8.91</v>
      </c>
      <c r="P319" s="15">
        <v>53.45</v>
      </c>
      <c r="Q319" s="15">
        <v>178.63</v>
      </c>
      <c r="R319" s="15">
        <v>3250.63</v>
      </c>
      <c r="S319" s="15">
        <v>0.43</v>
      </c>
      <c r="T319" s="15">
        <v>35.29</v>
      </c>
      <c r="U319" s="15">
        <v>12.95</v>
      </c>
      <c r="V319" s="15">
        <v>823.11</v>
      </c>
      <c r="W319" s="16">
        <v>81.17</v>
      </c>
      <c r="X319" s="19" t="str">
        <f>TEXT(Table4_1[[#This Row],[date]], "hh:mm")</f>
        <v>03:00</v>
      </c>
      <c r="Y319" s="25" t="str">
        <f t="shared" si="4"/>
        <v/>
      </c>
      <c r="Z319" s="22">
        <v>0</v>
      </c>
    </row>
    <row r="320" spans="1:26">
      <c r="A320" s="13">
        <v>45856.145833333336</v>
      </c>
      <c r="B320" s="14">
        <v>-67.290000000000006</v>
      </c>
      <c r="C320" s="15">
        <v>-80.709999999999994</v>
      </c>
      <c r="D320" s="15">
        <v>-150.55000000000001</v>
      </c>
      <c r="E320" s="15">
        <v>461.84</v>
      </c>
      <c r="F320" s="15">
        <v>7227.16</v>
      </c>
      <c r="G320" s="15">
        <v>-2.92</v>
      </c>
      <c r="H320" s="15">
        <v>189.67</v>
      </c>
      <c r="I320" s="15">
        <v>42.73</v>
      </c>
      <c r="J320" s="15">
        <v>0.75</v>
      </c>
      <c r="K320" s="15">
        <v>0</v>
      </c>
      <c r="L320" s="15">
        <v>332.93</v>
      </c>
      <c r="M320" s="15">
        <v>0.05</v>
      </c>
      <c r="N320" s="15">
        <v>0</v>
      </c>
      <c r="O320" s="15">
        <v>8.8000000000000007</v>
      </c>
      <c r="P320" s="15">
        <v>63.09</v>
      </c>
      <c r="Q320" s="15">
        <v>183.18</v>
      </c>
      <c r="R320" s="15">
        <v>3260.44</v>
      </c>
      <c r="S320" s="15">
        <v>0.41</v>
      </c>
      <c r="T320" s="15">
        <v>35.26</v>
      </c>
      <c r="U320" s="15">
        <v>12.87</v>
      </c>
      <c r="V320" s="15">
        <v>832.06</v>
      </c>
      <c r="W320" s="16">
        <v>102.32</v>
      </c>
      <c r="X320" s="19" t="str">
        <f>TEXT(Table4_1[[#This Row],[date]], "hh:mm")</f>
        <v>03:30</v>
      </c>
      <c r="Y320" s="25" t="str">
        <f t="shared" si="4"/>
        <v/>
      </c>
      <c r="Z320" s="22">
        <v>0</v>
      </c>
    </row>
    <row r="321" spans="1:26">
      <c r="A321" s="13">
        <v>45856.166666666664</v>
      </c>
      <c r="B321" s="14">
        <v>-77.040000000000006</v>
      </c>
      <c r="C321" s="15">
        <v>-80.73</v>
      </c>
      <c r="D321" s="15">
        <v>-134.76</v>
      </c>
      <c r="E321" s="15">
        <v>336.68</v>
      </c>
      <c r="F321" s="15">
        <v>7270.43</v>
      </c>
      <c r="G321" s="15">
        <v>-2.83</v>
      </c>
      <c r="H321" s="15">
        <v>190</v>
      </c>
      <c r="I321" s="15">
        <v>43.12</v>
      </c>
      <c r="J321" s="15">
        <v>0.44</v>
      </c>
      <c r="K321" s="15">
        <v>0</v>
      </c>
      <c r="L321" s="15">
        <v>337.84</v>
      </c>
      <c r="M321" s="15">
        <v>0.05</v>
      </c>
      <c r="N321" s="15">
        <v>0</v>
      </c>
      <c r="O321" s="15">
        <v>8.6300000000000008</v>
      </c>
      <c r="P321" s="15">
        <v>56.57</v>
      </c>
      <c r="Q321" s="15">
        <v>133.55000000000001</v>
      </c>
      <c r="R321" s="15">
        <v>3297.93</v>
      </c>
      <c r="S321" s="15">
        <v>0.42</v>
      </c>
      <c r="T321" s="15">
        <v>35.31</v>
      </c>
      <c r="U321" s="15">
        <v>12.98</v>
      </c>
      <c r="V321" s="15">
        <v>849.05</v>
      </c>
      <c r="W321" s="16">
        <v>85.84</v>
      </c>
      <c r="X321" s="19" t="str">
        <f>TEXT(Table4_1[[#This Row],[date]], "hh:mm")</f>
        <v>04:00</v>
      </c>
      <c r="Y321" s="25" t="str">
        <f t="shared" si="4"/>
        <v/>
      </c>
      <c r="Z321" s="22">
        <v>0</v>
      </c>
    </row>
    <row r="322" spans="1:26">
      <c r="A322" s="13">
        <v>45856.1875</v>
      </c>
      <c r="B322" s="14">
        <v>-76.790000000000006</v>
      </c>
      <c r="C322" s="15">
        <v>-80.75</v>
      </c>
      <c r="D322" s="15">
        <v>-91.01</v>
      </c>
      <c r="E322" s="15">
        <v>316.18</v>
      </c>
      <c r="F322" s="15">
        <v>7289.57</v>
      </c>
      <c r="G322" s="15">
        <v>-2.35</v>
      </c>
      <c r="H322" s="15">
        <v>189.83</v>
      </c>
      <c r="I322" s="15">
        <v>43.54</v>
      </c>
      <c r="J322" s="15">
        <v>0.42</v>
      </c>
      <c r="K322" s="15">
        <v>0</v>
      </c>
      <c r="L322" s="15">
        <v>327.20999999999998</v>
      </c>
      <c r="M322" s="15">
        <v>0.05</v>
      </c>
      <c r="N322" s="15">
        <v>0</v>
      </c>
      <c r="O322" s="15">
        <v>8.58</v>
      </c>
      <c r="P322" s="15">
        <v>38.18</v>
      </c>
      <c r="Q322" s="15">
        <v>126.7</v>
      </c>
      <c r="R322" s="15">
        <v>3270.58</v>
      </c>
      <c r="S322" s="15">
        <v>0.42</v>
      </c>
      <c r="T322" s="15">
        <v>35.31</v>
      </c>
      <c r="U322" s="15">
        <v>13.07</v>
      </c>
      <c r="V322" s="15">
        <v>838.66</v>
      </c>
      <c r="W322" s="16">
        <v>100.25</v>
      </c>
      <c r="X322" s="19" t="str">
        <f>TEXT(Table4_1[[#This Row],[date]], "hh:mm")</f>
        <v>04:30</v>
      </c>
      <c r="Y322" s="25" t="str">
        <f t="shared" ref="Y322:Y338" si="5">IF(AND(HOUR(A322)=0,MINUTE(A322)=0),TEXT(A322,"d mmm"),"")</f>
        <v/>
      </c>
      <c r="Z322" s="22">
        <v>0</v>
      </c>
    </row>
    <row r="323" spans="1:26">
      <c r="A323" s="13">
        <v>45856.208333333336</v>
      </c>
      <c r="B323" s="14">
        <v>-45.92</v>
      </c>
      <c r="C323" s="15">
        <v>-67.25</v>
      </c>
      <c r="D323" s="15">
        <v>-92.89</v>
      </c>
      <c r="E323" s="15">
        <v>316.49</v>
      </c>
      <c r="F323" s="15">
        <v>7449.21</v>
      </c>
      <c r="G323" s="15">
        <v>-3.22</v>
      </c>
      <c r="H323" s="15">
        <v>190.17</v>
      </c>
      <c r="I323" s="15">
        <v>43.19</v>
      </c>
      <c r="J323" s="15">
        <v>3</v>
      </c>
      <c r="K323" s="15">
        <v>0</v>
      </c>
      <c r="L323" s="15">
        <v>307.83</v>
      </c>
      <c r="M323" s="15">
        <v>0.05</v>
      </c>
      <c r="N323" s="15">
        <v>0</v>
      </c>
      <c r="O323" s="15">
        <v>8.43</v>
      </c>
      <c r="P323" s="15">
        <v>39.07</v>
      </c>
      <c r="Q323" s="15">
        <v>127.7</v>
      </c>
      <c r="R323" s="15">
        <v>3306.44</v>
      </c>
      <c r="S323" s="15">
        <v>0.42</v>
      </c>
      <c r="T323" s="15">
        <v>35.340000000000003</v>
      </c>
      <c r="U323" s="15">
        <v>13.02</v>
      </c>
      <c r="V323" s="15">
        <v>828.38</v>
      </c>
      <c r="W323" s="16">
        <v>112.24</v>
      </c>
      <c r="X323" s="19" t="str">
        <f>TEXT(Table4_1[[#This Row],[date]], "hh:mm")</f>
        <v>05:00</v>
      </c>
      <c r="Y323" s="25" t="str">
        <f t="shared" si="5"/>
        <v/>
      </c>
      <c r="Z323" s="22">
        <v>0</v>
      </c>
    </row>
    <row r="324" spans="1:26">
      <c r="A324" s="13">
        <v>45856.229166666664</v>
      </c>
      <c r="B324" s="14">
        <v>-78.44</v>
      </c>
      <c r="C324" s="15">
        <v>0</v>
      </c>
      <c r="D324" s="15">
        <v>-139.56</v>
      </c>
      <c r="E324" s="15">
        <v>279.83</v>
      </c>
      <c r="F324" s="15">
        <v>7844.03</v>
      </c>
      <c r="G324" s="15">
        <v>-0.92</v>
      </c>
      <c r="H324" s="15">
        <v>208.17</v>
      </c>
      <c r="I324" s="15">
        <v>43.6</v>
      </c>
      <c r="J324" s="15">
        <v>0.28999999999999998</v>
      </c>
      <c r="K324" s="15">
        <v>43.07</v>
      </c>
      <c r="L324" s="15">
        <v>289.05</v>
      </c>
      <c r="M324" s="15">
        <v>0.05</v>
      </c>
      <c r="N324" s="15">
        <v>0</v>
      </c>
      <c r="O324" s="15">
        <v>8.32</v>
      </c>
      <c r="P324" s="15">
        <v>59.34</v>
      </c>
      <c r="Q324" s="15">
        <v>113.94</v>
      </c>
      <c r="R324" s="15">
        <v>3470.37</v>
      </c>
      <c r="S324" s="15">
        <v>0.42</v>
      </c>
      <c r="T324" s="15">
        <v>37.01</v>
      </c>
      <c r="U324" s="15">
        <v>13.11</v>
      </c>
      <c r="V324" s="15">
        <v>829.51</v>
      </c>
      <c r="W324" s="16">
        <v>122.82</v>
      </c>
      <c r="X324" s="19" t="str">
        <f>TEXT(Table4_1[[#This Row],[date]], "hh:mm")</f>
        <v>05:30</v>
      </c>
      <c r="Y324" s="25" t="str">
        <f t="shared" si="5"/>
        <v/>
      </c>
      <c r="Z324" s="22">
        <v>0</v>
      </c>
    </row>
    <row r="325" spans="1:26">
      <c r="A325" s="13">
        <v>45856.25</v>
      </c>
      <c r="B325" s="14">
        <v>-95.53</v>
      </c>
      <c r="C325" s="15">
        <v>0</v>
      </c>
      <c r="D325" s="15">
        <v>-203.96</v>
      </c>
      <c r="E325" s="15">
        <v>217.05</v>
      </c>
      <c r="F325" s="15">
        <v>8092.69</v>
      </c>
      <c r="G325" s="15">
        <v>-1.32</v>
      </c>
      <c r="H325" s="15">
        <v>376.17</v>
      </c>
      <c r="I325" s="15">
        <v>43.57</v>
      </c>
      <c r="J325" s="15">
        <v>6.73</v>
      </c>
      <c r="K325" s="15">
        <v>250.05</v>
      </c>
      <c r="L325" s="15">
        <v>281.88</v>
      </c>
      <c r="M325" s="15">
        <v>0.05</v>
      </c>
      <c r="N325" s="15">
        <v>0</v>
      </c>
      <c r="O325" s="15">
        <v>8.36</v>
      </c>
      <c r="P325" s="15">
        <v>85.47</v>
      </c>
      <c r="Q325" s="15">
        <v>87.53</v>
      </c>
      <c r="R325" s="15">
        <v>3603.66</v>
      </c>
      <c r="S325" s="15">
        <v>0.42</v>
      </c>
      <c r="T325" s="15">
        <v>52.63</v>
      </c>
      <c r="U325" s="15">
        <v>13.14</v>
      </c>
      <c r="V325" s="15">
        <v>818.49</v>
      </c>
      <c r="W325" s="16">
        <v>120.89</v>
      </c>
      <c r="X325" s="19" t="str">
        <f>TEXT(Table4_1[[#This Row],[date]], "hh:mm")</f>
        <v>06:00</v>
      </c>
      <c r="Y325" s="25" t="str">
        <f t="shared" si="5"/>
        <v/>
      </c>
      <c r="Z325" s="22">
        <v>0</v>
      </c>
    </row>
    <row r="326" spans="1:26">
      <c r="A326" s="13">
        <v>45856.270833333336</v>
      </c>
      <c r="B326" s="14">
        <v>-32.76</v>
      </c>
      <c r="C326" s="15">
        <v>0</v>
      </c>
      <c r="D326" s="15">
        <v>-142.37</v>
      </c>
      <c r="E326" s="15">
        <v>340.96</v>
      </c>
      <c r="F326" s="15">
        <v>8143.84</v>
      </c>
      <c r="G326" s="15">
        <v>0.45</v>
      </c>
      <c r="H326" s="15">
        <v>457.92</v>
      </c>
      <c r="I326" s="15">
        <v>43.84</v>
      </c>
      <c r="J326" s="15">
        <v>0.49</v>
      </c>
      <c r="K326" s="15">
        <v>288.27999999999997</v>
      </c>
      <c r="L326" s="15">
        <v>290.02999999999997</v>
      </c>
      <c r="M326" s="15">
        <v>0.05</v>
      </c>
      <c r="N326" s="15">
        <v>0.01</v>
      </c>
      <c r="O326" s="15">
        <v>8.16</v>
      </c>
      <c r="P326" s="15">
        <v>59.39</v>
      </c>
      <c r="Q326" s="15">
        <v>133.6</v>
      </c>
      <c r="R326" s="15">
        <v>3616.08</v>
      </c>
      <c r="S326" s="15">
        <v>0.43</v>
      </c>
      <c r="T326" s="15">
        <v>60.81</v>
      </c>
      <c r="U326" s="15">
        <v>13.18</v>
      </c>
      <c r="V326" s="15">
        <v>785.99</v>
      </c>
      <c r="W326" s="16">
        <v>162.19</v>
      </c>
      <c r="X326" s="19" t="str">
        <f>TEXT(Table4_1[[#This Row],[date]], "hh:mm")</f>
        <v>06:30</v>
      </c>
      <c r="Y326" s="25" t="str">
        <f t="shared" si="5"/>
        <v/>
      </c>
      <c r="Z326" s="22">
        <v>0</v>
      </c>
    </row>
    <row r="327" spans="1:26">
      <c r="A327" s="13">
        <v>45856.291666666664</v>
      </c>
      <c r="B327" s="14">
        <v>-6.85</v>
      </c>
      <c r="C327" s="15">
        <v>0</v>
      </c>
      <c r="D327" s="15">
        <v>-72.849999999999994</v>
      </c>
      <c r="E327" s="15">
        <v>431.06</v>
      </c>
      <c r="F327" s="15">
        <v>8100.52</v>
      </c>
      <c r="G327" s="15">
        <v>-0.76</v>
      </c>
      <c r="H327" s="15">
        <v>534.85</v>
      </c>
      <c r="I327" s="15">
        <v>43.74</v>
      </c>
      <c r="J327" s="15">
        <v>125</v>
      </c>
      <c r="K327" s="15">
        <v>328.44</v>
      </c>
      <c r="L327" s="15">
        <v>310.75</v>
      </c>
      <c r="M327" s="15">
        <v>1.51</v>
      </c>
      <c r="N327" s="15">
        <v>4.3099999999999996</v>
      </c>
      <c r="O327" s="15">
        <v>8.18</v>
      </c>
      <c r="P327" s="15">
        <v>30.05</v>
      </c>
      <c r="Q327" s="15">
        <v>166.08</v>
      </c>
      <c r="R327" s="15">
        <v>3605.06</v>
      </c>
      <c r="S327" s="15">
        <v>0.43</v>
      </c>
      <c r="T327" s="15">
        <v>74.45</v>
      </c>
      <c r="U327" s="15">
        <v>13.16</v>
      </c>
      <c r="V327" s="15">
        <v>753.72</v>
      </c>
      <c r="W327" s="16">
        <v>202.46</v>
      </c>
      <c r="X327" s="19" t="str">
        <f>TEXT(Table4_1[[#This Row],[date]], "hh:mm")</f>
        <v>07:00</v>
      </c>
      <c r="Y327" s="25" t="str">
        <f t="shared" si="5"/>
        <v/>
      </c>
      <c r="Z327" s="22">
        <v>0</v>
      </c>
    </row>
    <row r="328" spans="1:26">
      <c r="A328" s="13">
        <v>45856.3125</v>
      </c>
      <c r="B328" s="14">
        <v>-6.86</v>
      </c>
      <c r="C328" s="15">
        <v>0</v>
      </c>
      <c r="D328" s="15">
        <v>0</v>
      </c>
      <c r="E328" s="15">
        <v>514.67999999999995</v>
      </c>
      <c r="F328" s="15">
        <v>8064.88</v>
      </c>
      <c r="G328" s="15">
        <v>-0.59</v>
      </c>
      <c r="H328" s="15">
        <v>576.74</v>
      </c>
      <c r="I328" s="15">
        <v>43.56</v>
      </c>
      <c r="J328" s="15">
        <v>159.91</v>
      </c>
      <c r="K328" s="15">
        <v>402.95</v>
      </c>
      <c r="L328" s="15">
        <v>309.8</v>
      </c>
      <c r="M328" s="15">
        <v>70.709999999999994</v>
      </c>
      <c r="N328" s="15">
        <v>62.82</v>
      </c>
      <c r="O328" s="15">
        <v>8.23</v>
      </c>
      <c r="P328" s="15">
        <v>0</v>
      </c>
      <c r="Q328" s="15">
        <v>197.8</v>
      </c>
      <c r="R328" s="15">
        <v>3596.15</v>
      </c>
      <c r="S328" s="15">
        <v>0.43</v>
      </c>
      <c r="T328" s="15">
        <v>81.89</v>
      </c>
      <c r="U328" s="15">
        <v>13.14</v>
      </c>
      <c r="V328" s="15">
        <v>723.94</v>
      </c>
      <c r="W328" s="16">
        <v>299.98</v>
      </c>
      <c r="X328" s="19" t="str">
        <f>TEXT(Table4_1[[#This Row],[date]], "hh:mm")</f>
        <v>07:30</v>
      </c>
      <c r="Y328" s="25" t="str">
        <f t="shared" si="5"/>
        <v/>
      </c>
      <c r="Z328" s="22">
        <v>0</v>
      </c>
    </row>
    <row r="329" spans="1:26">
      <c r="A329" s="13">
        <v>45856.333333333336</v>
      </c>
      <c r="B329" s="14">
        <v>-7.68</v>
      </c>
      <c r="C329" s="15">
        <v>0</v>
      </c>
      <c r="D329" s="15">
        <v>-60.3</v>
      </c>
      <c r="E329" s="15">
        <v>380.35</v>
      </c>
      <c r="F329" s="15">
        <v>8133.81</v>
      </c>
      <c r="G329" s="15">
        <v>-0.13</v>
      </c>
      <c r="H329" s="15">
        <v>568.51</v>
      </c>
      <c r="I329" s="15">
        <v>43.51</v>
      </c>
      <c r="J329" s="15">
        <v>118.35</v>
      </c>
      <c r="K329" s="15">
        <v>590.59</v>
      </c>
      <c r="L329" s="15">
        <v>331.23</v>
      </c>
      <c r="M329" s="15">
        <v>451.78</v>
      </c>
      <c r="N329" s="15">
        <v>284.2</v>
      </c>
      <c r="O329" s="15">
        <v>8.52</v>
      </c>
      <c r="P329" s="15">
        <v>23.62</v>
      </c>
      <c r="Q329" s="15">
        <v>146.85</v>
      </c>
      <c r="R329" s="15">
        <v>3613.21</v>
      </c>
      <c r="S329" s="15">
        <v>0.43</v>
      </c>
      <c r="T329" s="15">
        <v>81.08</v>
      </c>
      <c r="U329" s="15">
        <v>13.13</v>
      </c>
      <c r="V329" s="15">
        <v>684.47</v>
      </c>
      <c r="W329" s="16">
        <v>291.7</v>
      </c>
      <c r="X329" s="19" t="str">
        <f>TEXT(Table4_1[[#This Row],[date]], "hh:mm")</f>
        <v>08:00</v>
      </c>
      <c r="Y329" s="25" t="str">
        <f t="shared" si="5"/>
        <v/>
      </c>
      <c r="Z329" s="22">
        <v>0</v>
      </c>
    </row>
    <row r="330" spans="1:26">
      <c r="A330" s="13">
        <v>45856.354166666664</v>
      </c>
      <c r="B330" s="14">
        <v>-6.08</v>
      </c>
      <c r="C330" s="15">
        <v>0</v>
      </c>
      <c r="D330" s="15">
        <v>-180.12</v>
      </c>
      <c r="E330" s="15">
        <v>352.23</v>
      </c>
      <c r="F330" s="15">
        <v>8086.29</v>
      </c>
      <c r="G330" s="15">
        <v>2.06</v>
      </c>
      <c r="H330" s="15">
        <v>373.48</v>
      </c>
      <c r="I330" s="15">
        <v>43.92</v>
      </c>
      <c r="J330" s="15">
        <v>89.09</v>
      </c>
      <c r="K330" s="15">
        <v>483.07</v>
      </c>
      <c r="L330" s="15">
        <v>340.28</v>
      </c>
      <c r="M330" s="15">
        <v>1086.8599999999999</v>
      </c>
      <c r="N330" s="15">
        <v>607.22</v>
      </c>
      <c r="O330" s="15">
        <v>9.42</v>
      </c>
      <c r="P330" s="15">
        <v>66.92</v>
      </c>
      <c r="Q330" s="15">
        <v>132.28</v>
      </c>
      <c r="R330" s="15">
        <v>3615.6</v>
      </c>
      <c r="S330" s="15">
        <v>0.44</v>
      </c>
      <c r="T330" s="15">
        <v>69.010000000000005</v>
      </c>
      <c r="U330" s="15">
        <v>13.19</v>
      </c>
      <c r="V330" s="15">
        <v>655.82</v>
      </c>
      <c r="W330" s="16">
        <v>263.02</v>
      </c>
      <c r="X330" s="19" t="str">
        <f>TEXT(Table4_1[[#This Row],[date]], "hh:mm")</f>
        <v>08:30</v>
      </c>
      <c r="Y330" s="25" t="str">
        <f t="shared" si="5"/>
        <v/>
      </c>
      <c r="Z330" s="22">
        <v>0</v>
      </c>
    </row>
    <row r="331" spans="1:26">
      <c r="A331" s="13">
        <v>45856.375</v>
      </c>
      <c r="B331" s="14">
        <v>-25.04</v>
      </c>
      <c r="C331" s="15">
        <v>0</v>
      </c>
      <c r="D331" s="15">
        <v>-274.92</v>
      </c>
      <c r="E331" s="15">
        <v>421.08</v>
      </c>
      <c r="F331" s="15">
        <v>7942.53</v>
      </c>
      <c r="G331" s="15">
        <v>12.36</v>
      </c>
      <c r="H331" s="15">
        <v>9.67</v>
      </c>
      <c r="I331" s="15">
        <v>43.94</v>
      </c>
      <c r="J331" s="15">
        <v>41.4</v>
      </c>
      <c r="K331" s="15">
        <v>335.99</v>
      </c>
      <c r="L331" s="15">
        <v>293.14</v>
      </c>
      <c r="M331" s="15">
        <v>1599.19</v>
      </c>
      <c r="N331" s="15">
        <v>1041.28</v>
      </c>
      <c r="O331" s="15">
        <v>11.24</v>
      </c>
      <c r="P331" s="15">
        <v>97.07</v>
      </c>
      <c r="Q331" s="15">
        <v>151.81</v>
      </c>
      <c r="R331" s="15">
        <v>3608.63</v>
      </c>
      <c r="S331" s="15">
        <v>0.45</v>
      </c>
      <c r="T331" s="15">
        <v>42.14</v>
      </c>
      <c r="U331" s="15">
        <v>13.18</v>
      </c>
      <c r="V331" s="15">
        <v>640.59</v>
      </c>
      <c r="W331" s="16">
        <v>168.06</v>
      </c>
      <c r="X331" s="19" t="str">
        <f>TEXT(Table4_1[[#This Row],[date]], "hh:mm")</f>
        <v>09:00</v>
      </c>
      <c r="Y331" s="25" t="str">
        <f t="shared" si="5"/>
        <v/>
      </c>
      <c r="Z331" s="22">
        <v>0</v>
      </c>
    </row>
    <row r="332" spans="1:26">
      <c r="A332" s="13">
        <v>45856.395833333336</v>
      </c>
      <c r="B332" s="14">
        <v>-15.09</v>
      </c>
      <c r="C332" s="15">
        <v>0</v>
      </c>
      <c r="D332" s="15">
        <v>-277.29000000000002</v>
      </c>
      <c r="E332" s="15">
        <v>503.39</v>
      </c>
      <c r="F332" s="15">
        <v>7744.28</v>
      </c>
      <c r="G332" s="15">
        <v>12.89</v>
      </c>
      <c r="H332" s="15">
        <v>0</v>
      </c>
      <c r="I332" s="15">
        <v>43.91</v>
      </c>
      <c r="J332" s="15">
        <v>0.19</v>
      </c>
      <c r="K332" s="15">
        <v>0.08</v>
      </c>
      <c r="L332" s="15">
        <v>251.66</v>
      </c>
      <c r="M332" s="15">
        <v>1745.82</v>
      </c>
      <c r="N332" s="15">
        <v>1387.69</v>
      </c>
      <c r="O332" s="15">
        <v>12.41</v>
      </c>
      <c r="P332" s="15">
        <v>101.25</v>
      </c>
      <c r="Q332" s="15">
        <v>178.59</v>
      </c>
      <c r="R332" s="15">
        <v>3561.32</v>
      </c>
      <c r="S332" s="15">
        <v>0.45</v>
      </c>
      <c r="T332" s="15">
        <v>41.24</v>
      </c>
      <c r="U332" s="15">
        <v>13.17</v>
      </c>
      <c r="V332" s="15">
        <v>634.54999999999995</v>
      </c>
      <c r="W332" s="16">
        <v>122.8</v>
      </c>
      <c r="X332" s="19" t="str">
        <f>TEXT(Table4_1[[#This Row],[date]], "hh:mm")</f>
        <v>09:30</v>
      </c>
      <c r="Y332" s="25" t="str">
        <f t="shared" si="5"/>
        <v/>
      </c>
      <c r="Z332" s="22">
        <v>0</v>
      </c>
    </row>
    <row r="333" spans="1:26">
      <c r="A333" s="13">
        <v>45856.416666666664</v>
      </c>
      <c r="B333" s="14">
        <v>-232.19</v>
      </c>
      <c r="C333" s="15">
        <v>0</v>
      </c>
      <c r="D333" s="15">
        <v>-264.02999999999997</v>
      </c>
      <c r="E333" s="15">
        <v>589.14</v>
      </c>
      <c r="F333" s="15">
        <v>7298.85</v>
      </c>
      <c r="G333" s="15">
        <v>10.83</v>
      </c>
      <c r="H333" s="15">
        <v>0</v>
      </c>
      <c r="I333" s="15">
        <v>43.76</v>
      </c>
      <c r="J333" s="15">
        <v>2.9</v>
      </c>
      <c r="K333" s="15">
        <v>0</v>
      </c>
      <c r="L333" s="15">
        <v>209.68</v>
      </c>
      <c r="M333" s="15">
        <v>1869.52</v>
      </c>
      <c r="N333" s="15">
        <v>1629.2</v>
      </c>
      <c r="O333" s="15">
        <v>12.49</v>
      </c>
      <c r="P333" s="15">
        <v>95.76</v>
      </c>
      <c r="Q333" s="15">
        <v>204.69</v>
      </c>
      <c r="R333" s="15">
        <v>3460.31</v>
      </c>
      <c r="S333" s="15">
        <v>0.43</v>
      </c>
      <c r="T333" s="15">
        <v>41.24</v>
      </c>
      <c r="U333" s="15">
        <v>13.15</v>
      </c>
      <c r="V333" s="15">
        <v>630.08000000000004</v>
      </c>
      <c r="W333" s="16">
        <v>128.81</v>
      </c>
      <c r="X333" s="19" t="str">
        <f>TEXT(Table4_1[[#This Row],[date]], "hh:mm")</f>
        <v>10:00</v>
      </c>
      <c r="Y333" s="25" t="str">
        <f t="shared" si="5"/>
        <v/>
      </c>
      <c r="Z333" s="22">
        <v>0</v>
      </c>
    </row>
    <row r="334" spans="1:26">
      <c r="A334" s="13">
        <v>45856.4375</v>
      </c>
      <c r="B334" s="14">
        <v>-140.24</v>
      </c>
      <c r="C334" s="15">
        <v>0</v>
      </c>
      <c r="D334" s="15">
        <v>-152.61000000000001</v>
      </c>
      <c r="E334" s="15">
        <v>527.89</v>
      </c>
      <c r="F334" s="15">
        <v>6846.27</v>
      </c>
      <c r="G334" s="15">
        <v>10.45</v>
      </c>
      <c r="H334" s="15">
        <v>0</v>
      </c>
      <c r="I334" s="15">
        <v>42.91</v>
      </c>
      <c r="J334" s="15">
        <v>1.58</v>
      </c>
      <c r="K334" s="15">
        <v>0</v>
      </c>
      <c r="L334" s="15">
        <v>172.27</v>
      </c>
      <c r="M334" s="15">
        <v>1960.16</v>
      </c>
      <c r="N334" s="15">
        <v>1810</v>
      </c>
      <c r="O334" s="15">
        <v>12.29</v>
      </c>
      <c r="P334" s="15">
        <v>54.89</v>
      </c>
      <c r="Q334" s="15">
        <v>185.74</v>
      </c>
      <c r="R334" s="15">
        <v>3359.77</v>
      </c>
      <c r="S334" s="15">
        <v>0.43</v>
      </c>
      <c r="T334" s="15">
        <v>41.24</v>
      </c>
      <c r="U334" s="15">
        <v>13.02</v>
      </c>
      <c r="V334" s="15">
        <v>616.4</v>
      </c>
      <c r="W334" s="16">
        <v>123.83</v>
      </c>
      <c r="X334" s="19" t="str">
        <f>TEXT(Table4_1[[#This Row],[date]], "hh:mm")</f>
        <v>10:30</v>
      </c>
      <c r="Y334" s="25" t="str">
        <f t="shared" si="5"/>
        <v/>
      </c>
      <c r="Z334" s="22">
        <v>0</v>
      </c>
    </row>
    <row r="335" spans="1:26">
      <c r="A335" s="13">
        <v>45856.458333333336</v>
      </c>
      <c r="B335" s="14">
        <v>-31.11</v>
      </c>
      <c r="C335" s="15">
        <v>-67.319999999999993</v>
      </c>
      <c r="D335" s="15">
        <v>-30.38</v>
      </c>
      <c r="E335" s="15">
        <v>445.49</v>
      </c>
      <c r="F335" s="15">
        <v>6486.45</v>
      </c>
      <c r="G335" s="15">
        <v>10.32</v>
      </c>
      <c r="H335" s="15">
        <v>0</v>
      </c>
      <c r="I335" s="15">
        <v>42.78</v>
      </c>
      <c r="J335" s="15">
        <v>30.87</v>
      </c>
      <c r="K335" s="15">
        <v>0</v>
      </c>
      <c r="L335" s="15">
        <v>131.25</v>
      </c>
      <c r="M335" s="15">
        <v>2070.46</v>
      </c>
      <c r="N335" s="15">
        <v>1888.35</v>
      </c>
      <c r="O335" s="15">
        <v>12.72</v>
      </c>
      <c r="P335" s="15">
        <v>10.87</v>
      </c>
      <c r="Q335" s="15">
        <v>158.21</v>
      </c>
      <c r="R335" s="15">
        <v>3281.08</v>
      </c>
      <c r="S335" s="15">
        <v>0.43</v>
      </c>
      <c r="T335" s="15">
        <v>41.24</v>
      </c>
      <c r="U335" s="15">
        <v>13</v>
      </c>
      <c r="V335" s="15">
        <v>607.76</v>
      </c>
      <c r="W335" s="16">
        <v>94.8</v>
      </c>
      <c r="X335" s="19" t="str">
        <f>TEXT(Table4_1[[#This Row],[date]], "hh:mm")</f>
        <v>11:00</v>
      </c>
      <c r="Y335" s="25" t="str">
        <f t="shared" si="5"/>
        <v/>
      </c>
      <c r="Z335" s="22">
        <v>0</v>
      </c>
    </row>
    <row r="336" spans="1:26">
      <c r="A336" s="13">
        <v>45856.479166666664</v>
      </c>
      <c r="B336" s="14">
        <v>-134.41</v>
      </c>
      <c r="C336" s="15">
        <v>-80.92</v>
      </c>
      <c r="D336" s="15">
        <v>0</v>
      </c>
      <c r="E336" s="15">
        <v>743.35</v>
      </c>
      <c r="F336" s="15">
        <v>5928.26</v>
      </c>
      <c r="G336" s="15">
        <v>10.49</v>
      </c>
      <c r="H336" s="15">
        <v>0</v>
      </c>
      <c r="I336" s="15">
        <v>43.28</v>
      </c>
      <c r="J336" s="15">
        <v>0.2</v>
      </c>
      <c r="K336" s="15">
        <v>0</v>
      </c>
      <c r="L336" s="15">
        <v>108.99</v>
      </c>
      <c r="M336" s="15">
        <v>2085.91</v>
      </c>
      <c r="N336" s="15">
        <v>2083.17</v>
      </c>
      <c r="O336" s="15">
        <v>13.8</v>
      </c>
      <c r="P336" s="15">
        <v>0</v>
      </c>
      <c r="Q336" s="15">
        <v>270.67</v>
      </c>
      <c r="R336" s="15">
        <v>3068.8</v>
      </c>
      <c r="S336" s="15">
        <v>0.42</v>
      </c>
      <c r="T336" s="15">
        <v>34.369999999999997</v>
      </c>
      <c r="U336" s="15">
        <v>13.08</v>
      </c>
      <c r="V336" s="15">
        <v>577.79</v>
      </c>
      <c r="W336" s="16">
        <v>91.02</v>
      </c>
      <c r="X336" s="19" t="str">
        <f>TEXT(Table4_1[[#This Row],[date]], "hh:mm")</f>
        <v>11:30</v>
      </c>
      <c r="Y336" s="25" t="str">
        <f t="shared" si="5"/>
        <v/>
      </c>
      <c r="Z336" s="22">
        <v>0</v>
      </c>
    </row>
    <row r="337" spans="1:26">
      <c r="A337" s="13">
        <v>45856.5</v>
      </c>
      <c r="B337" s="14">
        <v>-217.25</v>
      </c>
      <c r="C337" s="15">
        <v>-80.709999999999994</v>
      </c>
      <c r="D337" s="15">
        <v>0</v>
      </c>
      <c r="E337" s="15">
        <v>1170.92</v>
      </c>
      <c r="F337" s="15">
        <v>5705.43</v>
      </c>
      <c r="G337" s="15">
        <v>10.53</v>
      </c>
      <c r="H337" s="15">
        <v>0</v>
      </c>
      <c r="I337" s="15">
        <v>43.43</v>
      </c>
      <c r="J337" s="15">
        <v>65.849999999999994</v>
      </c>
      <c r="K337" s="15">
        <v>0</v>
      </c>
      <c r="L337" s="15">
        <v>84.04</v>
      </c>
      <c r="M337" s="15">
        <v>2225.7800000000002</v>
      </c>
      <c r="N337" s="15">
        <v>2323.2600000000002</v>
      </c>
      <c r="O337" s="15">
        <v>14.95</v>
      </c>
      <c r="P337" s="15">
        <v>0</v>
      </c>
      <c r="Q337" s="15">
        <v>439.94</v>
      </c>
      <c r="R337" s="15">
        <v>2576.42</v>
      </c>
      <c r="S337" s="15">
        <v>0.4</v>
      </c>
      <c r="T337" s="15">
        <v>0</v>
      </c>
      <c r="U337" s="15">
        <v>13.14</v>
      </c>
      <c r="V337" s="15">
        <v>457.13</v>
      </c>
      <c r="W337" s="16">
        <v>88.28</v>
      </c>
      <c r="X337" s="19" t="str">
        <f>TEXT(Table4_1[[#This Row],[date]], "hh:mm")</f>
        <v>12:00</v>
      </c>
      <c r="Y337" s="25" t="str">
        <f t="shared" si="5"/>
        <v/>
      </c>
      <c r="Z337" s="22">
        <v>0</v>
      </c>
    </row>
    <row r="338" spans="1:26">
      <c r="A338" s="17">
        <v>45856.520833333336</v>
      </c>
      <c r="B338" s="18">
        <v>-224.94</v>
      </c>
      <c r="C338" s="19">
        <v>-80.709999999999994</v>
      </c>
      <c r="D338" s="19">
        <v>0</v>
      </c>
      <c r="E338" s="19">
        <v>1156.31</v>
      </c>
      <c r="F338" s="19">
        <v>5653.77</v>
      </c>
      <c r="G338" s="19">
        <v>9.66</v>
      </c>
      <c r="H338" s="19">
        <v>0</v>
      </c>
      <c r="I338" s="19">
        <v>43.58</v>
      </c>
      <c r="J338" s="19">
        <v>67.41</v>
      </c>
      <c r="K338" s="19">
        <v>0</v>
      </c>
      <c r="L338" s="19">
        <v>40.29</v>
      </c>
      <c r="M338" s="19">
        <v>2169.0700000000002</v>
      </c>
      <c r="N338" s="19">
        <v>2342.9499999999998</v>
      </c>
      <c r="O338" s="19">
        <v>15.55</v>
      </c>
      <c r="P338" s="19">
        <v>0</v>
      </c>
      <c r="Q338" s="19">
        <v>431.15</v>
      </c>
      <c r="R338" s="19">
        <v>2564.1</v>
      </c>
      <c r="S338" s="19">
        <v>0.4</v>
      </c>
      <c r="T338" s="19">
        <v>0</v>
      </c>
      <c r="U338" s="19">
        <v>13.16</v>
      </c>
      <c r="V338" s="19">
        <v>461.23</v>
      </c>
      <c r="W338" s="8">
        <v>59.52</v>
      </c>
      <c r="X338" s="15" t="str">
        <f>TEXT(Table4_1[[#This Row],[date]], "hh:mm")</f>
        <v>12:30</v>
      </c>
      <c r="Y338" s="25" t="str">
        <f t="shared" si="5"/>
        <v/>
      </c>
      <c r="Z338" s="22">
        <v>0</v>
      </c>
    </row>
    <row r="342" spans="1:26">
      <c r="A342" s="7" t="s">
        <v>76</v>
      </c>
      <c r="B342" t="s">
        <v>26</v>
      </c>
    </row>
    <row r="343" spans="1:26">
      <c r="A343" s="23" t="s">
        <v>28</v>
      </c>
      <c r="B343">
        <v>86.982857142857142</v>
      </c>
    </row>
    <row r="344" spans="1:26">
      <c r="A344" s="23" t="s">
        <v>29</v>
      </c>
      <c r="B344">
        <v>81.675714285714292</v>
      </c>
    </row>
    <row r="345" spans="1:26">
      <c r="A345" s="23" t="s">
        <v>30</v>
      </c>
      <c r="B345">
        <v>81.991428571428557</v>
      </c>
    </row>
    <row r="346" spans="1:26">
      <c r="A346" s="23" t="s">
        <v>31</v>
      </c>
      <c r="B346">
        <v>80.155714285714268</v>
      </c>
    </row>
    <row r="347" spans="1:26">
      <c r="A347" s="23" t="s">
        <v>32</v>
      </c>
      <c r="B347">
        <v>74.835714285714289</v>
      </c>
    </row>
    <row r="348" spans="1:26">
      <c r="A348" s="23" t="s">
        <v>33</v>
      </c>
      <c r="B348">
        <v>76.22571428571429</v>
      </c>
    </row>
    <row r="349" spans="1:26">
      <c r="A349" s="23" t="s">
        <v>34</v>
      </c>
      <c r="B349">
        <v>75.285714285714292</v>
      </c>
    </row>
    <row r="350" spans="1:26">
      <c r="A350" s="23" t="s">
        <v>35</v>
      </c>
      <c r="B350">
        <v>77.419999999999987</v>
      </c>
    </row>
    <row r="351" spans="1:26">
      <c r="A351" s="23" t="s">
        <v>36</v>
      </c>
      <c r="B351">
        <v>76.872857142857143</v>
      </c>
    </row>
    <row r="352" spans="1:26">
      <c r="A352" s="23" t="s">
        <v>37</v>
      </c>
      <c r="B352">
        <v>80.895714285714277</v>
      </c>
    </row>
    <row r="353" spans="1:2">
      <c r="A353" s="23" t="s">
        <v>38</v>
      </c>
      <c r="B353">
        <v>81.535714285714292</v>
      </c>
    </row>
    <row r="354" spans="1:2">
      <c r="A354" s="23" t="s">
        <v>39</v>
      </c>
      <c r="B354">
        <v>87.502857142857138</v>
      </c>
    </row>
    <row r="355" spans="1:2">
      <c r="A355" s="23" t="s">
        <v>40</v>
      </c>
      <c r="B355">
        <v>96.751428571428576</v>
      </c>
    </row>
    <row r="356" spans="1:2">
      <c r="A356" s="23" t="s">
        <v>41</v>
      </c>
      <c r="B356">
        <v>119.34142857142858</v>
      </c>
    </row>
    <row r="357" spans="1:2">
      <c r="A357" s="23" t="s">
        <v>42</v>
      </c>
      <c r="B357">
        <v>147.88428571428571</v>
      </c>
    </row>
    <row r="358" spans="1:2">
      <c r="A358" s="23" t="s">
        <v>43</v>
      </c>
      <c r="B358">
        <v>156.35142857142858</v>
      </c>
    </row>
    <row r="359" spans="1:2">
      <c r="A359" s="23" t="s">
        <v>44</v>
      </c>
      <c r="B359">
        <v>141.87285714285713</v>
      </c>
    </row>
    <row r="360" spans="1:2">
      <c r="A360" s="23" t="s">
        <v>45</v>
      </c>
      <c r="B360">
        <v>97.867142857142852</v>
      </c>
    </row>
    <row r="361" spans="1:2">
      <c r="A361" s="23" t="s">
        <v>46</v>
      </c>
      <c r="B361">
        <v>81.771428571428586</v>
      </c>
    </row>
    <row r="362" spans="1:2">
      <c r="A362" s="23" t="s">
        <v>47</v>
      </c>
      <c r="B362">
        <v>85.148571428571429</v>
      </c>
    </row>
    <row r="363" spans="1:2">
      <c r="A363" s="23" t="s">
        <v>48</v>
      </c>
      <c r="B363">
        <v>70.944285714285712</v>
      </c>
    </row>
    <row r="364" spans="1:2">
      <c r="A364" s="23" t="s">
        <v>49</v>
      </c>
      <c r="B364">
        <v>60.154285714285713</v>
      </c>
    </row>
    <row r="365" spans="1:2">
      <c r="A365" s="23" t="s">
        <v>50</v>
      </c>
      <c r="B365">
        <v>31.034285714285716</v>
      </c>
    </row>
    <row r="366" spans="1:2">
      <c r="A366" s="23" t="s">
        <v>51</v>
      </c>
      <c r="B366">
        <v>32.019999999999996</v>
      </c>
    </row>
    <row r="367" spans="1:2">
      <c r="A367" s="23" t="s">
        <v>52</v>
      </c>
      <c r="B367">
        <v>25.745714285714286</v>
      </c>
    </row>
    <row r="368" spans="1:2">
      <c r="A368" s="23" t="s">
        <v>53</v>
      </c>
      <c r="B368">
        <v>22.828750000000003</v>
      </c>
    </row>
    <row r="369" spans="1:2">
      <c r="A369" s="23" t="s">
        <v>54</v>
      </c>
      <c r="B369">
        <v>5.3885714285714297</v>
      </c>
    </row>
    <row r="370" spans="1:2">
      <c r="A370" s="23" t="s">
        <v>55</v>
      </c>
      <c r="B370">
        <v>14.288571428571428</v>
      </c>
    </row>
    <row r="371" spans="1:2">
      <c r="A371" s="23" t="s">
        <v>56</v>
      </c>
      <c r="B371">
        <v>4.0828571428571436</v>
      </c>
    </row>
    <row r="372" spans="1:2">
      <c r="A372" s="23" t="s">
        <v>57</v>
      </c>
      <c r="B372">
        <v>20.804285714285715</v>
      </c>
    </row>
    <row r="373" spans="1:2">
      <c r="A373" s="23" t="s">
        <v>58</v>
      </c>
      <c r="B373">
        <v>45.08428571428572</v>
      </c>
    </row>
    <row r="374" spans="1:2">
      <c r="A374" s="23" t="s">
        <v>59</v>
      </c>
      <c r="B374">
        <v>13.794285714285715</v>
      </c>
    </row>
    <row r="375" spans="1:2">
      <c r="A375" s="23" t="s">
        <v>60</v>
      </c>
      <c r="B375">
        <v>68.755714285714276</v>
      </c>
    </row>
    <row r="376" spans="1:2">
      <c r="A376" s="23" t="s">
        <v>61</v>
      </c>
      <c r="B376">
        <v>91.742857142857147</v>
      </c>
    </row>
    <row r="377" spans="1:2">
      <c r="A377" s="23" t="s">
        <v>62</v>
      </c>
      <c r="B377">
        <v>158.11142857142858</v>
      </c>
    </row>
    <row r="378" spans="1:2">
      <c r="A378" s="23" t="s">
        <v>63</v>
      </c>
      <c r="B378">
        <v>171.86142857142858</v>
      </c>
    </row>
    <row r="379" spans="1:2">
      <c r="A379" s="23" t="s">
        <v>64</v>
      </c>
      <c r="B379">
        <v>230.89000000000001</v>
      </c>
    </row>
    <row r="380" spans="1:2">
      <c r="A380" s="23" t="s">
        <v>65</v>
      </c>
      <c r="B380">
        <v>191.43714285714285</v>
      </c>
    </row>
    <row r="381" spans="1:2">
      <c r="A381" s="23" t="s">
        <v>66</v>
      </c>
      <c r="B381">
        <v>188.42285714285714</v>
      </c>
    </row>
    <row r="382" spans="1:2">
      <c r="A382" s="23" t="s">
        <v>67</v>
      </c>
      <c r="B382">
        <v>175.25285714285715</v>
      </c>
    </row>
    <row r="383" spans="1:2">
      <c r="A383" s="23" t="s">
        <v>68</v>
      </c>
      <c r="B383">
        <v>141.87285714285716</v>
      </c>
    </row>
    <row r="384" spans="1:2">
      <c r="A384" s="23" t="s">
        <v>69</v>
      </c>
      <c r="B384">
        <v>134.85285714285715</v>
      </c>
    </row>
    <row r="385" spans="1:2">
      <c r="A385" s="23" t="s">
        <v>70</v>
      </c>
      <c r="B385">
        <v>140.27714285714288</v>
      </c>
    </row>
    <row r="386" spans="1:2">
      <c r="A386" s="23" t="s">
        <v>71</v>
      </c>
      <c r="B386">
        <v>121.51428571428572</v>
      </c>
    </row>
    <row r="387" spans="1:2">
      <c r="A387" s="23" t="s">
        <v>72</v>
      </c>
      <c r="B387">
        <v>104.76285714285713</v>
      </c>
    </row>
    <row r="388" spans="1:2">
      <c r="A388" s="23" t="s">
        <v>73</v>
      </c>
      <c r="B388">
        <v>123.64571428571428</v>
      </c>
    </row>
    <row r="389" spans="1:2">
      <c r="A389" s="23" t="s">
        <v>74</v>
      </c>
      <c r="B389">
        <v>108.54571428571428</v>
      </c>
    </row>
    <row r="390" spans="1:2">
      <c r="A390" s="23" t="s">
        <v>75</v>
      </c>
      <c r="B390">
        <v>93.054285714285712</v>
      </c>
    </row>
    <row r="391" spans="1:2">
      <c r="A391" s="23" t="s">
        <v>25</v>
      </c>
      <c r="B391">
        <v>93.114540059347149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F8A0-58FA-B348-8BEB-1FB5D5D2B415}">
  <dimension ref="A1:AI405"/>
  <sheetViews>
    <sheetView topLeftCell="T1" zoomScale="117" zoomScaleNormal="90" workbookViewId="0">
      <selection activeCell="AB3" sqref="AB3"/>
    </sheetView>
  </sheetViews>
  <sheetFormatPr baseColWidth="10" defaultRowHeight="13"/>
  <cols>
    <col min="1" max="1" width="15.796875" bestFit="1" customWidth="1"/>
    <col min="2" max="2" width="25.796875" bestFit="1" customWidth="1"/>
    <col min="3" max="3" width="25.19921875" bestFit="1" customWidth="1"/>
    <col min="4" max="4" width="29.796875" bestFit="1" customWidth="1"/>
    <col min="5" max="5" width="18.3984375" customWidth="1"/>
    <col min="6" max="6" width="22.3984375" customWidth="1"/>
    <col min="7" max="7" width="29.796875" customWidth="1"/>
    <col min="8" max="9" width="22.59765625" customWidth="1"/>
    <col min="10" max="10" width="31.19921875" customWidth="1"/>
    <col min="11" max="11" width="16.796875" customWidth="1"/>
    <col min="12" max="12" width="15.796875" customWidth="1"/>
    <col min="13" max="13" width="23.796875" customWidth="1"/>
    <col min="14" max="14" width="25.59765625" customWidth="1"/>
    <col min="15" max="15" width="20.19921875" customWidth="1"/>
    <col min="16" max="16" width="32.19921875" customWidth="1"/>
    <col min="17" max="17" width="32.59765625" customWidth="1"/>
    <col min="18" max="18" width="36.59765625" customWidth="1"/>
    <col min="19" max="19" width="44" customWidth="1"/>
    <col min="20" max="21" width="36.796875" customWidth="1"/>
    <col min="22" max="22" width="36.59765625" customWidth="1"/>
    <col min="23" max="23" width="21.796875" customWidth="1"/>
    <col min="24" max="24" width="37.59765625" style="33" customWidth="1"/>
  </cols>
  <sheetData>
    <row r="1" spans="1:28" ht="70">
      <c r="A1" s="20" t="s">
        <v>2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20" t="s">
        <v>22</v>
      </c>
      <c r="V1" s="20" t="s">
        <v>23</v>
      </c>
      <c r="W1" s="21" t="s">
        <v>24</v>
      </c>
      <c r="X1" s="29" t="s">
        <v>27</v>
      </c>
      <c r="Y1" s="24" t="s">
        <v>77</v>
      </c>
      <c r="Z1" s="21" t="s">
        <v>78</v>
      </c>
      <c r="AA1" s="21" t="s">
        <v>144</v>
      </c>
      <c r="AB1" s="21" t="s">
        <v>145</v>
      </c>
    </row>
    <row r="2" spans="1:28">
      <c r="A2" s="9">
        <v>45849.520833333336</v>
      </c>
      <c r="B2" s="10">
        <v>-190.82</v>
      </c>
      <c r="C2" s="11">
        <v>-469.14</v>
      </c>
      <c r="D2" s="11">
        <v>-255.91</v>
      </c>
      <c r="E2" s="11">
        <v>913.45</v>
      </c>
      <c r="F2" s="11">
        <v>3381.98</v>
      </c>
      <c r="G2" s="11">
        <v>28.92</v>
      </c>
      <c r="H2" s="11">
        <v>0</v>
      </c>
      <c r="I2" s="11">
        <v>37.35</v>
      </c>
      <c r="J2" s="11">
        <v>353.88</v>
      </c>
      <c r="K2" s="11">
        <v>0</v>
      </c>
      <c r="L2" s="11">
        <v>1569.25</v>
      </c>
      <c r="M2" s="11">
        <v>1561.96</v>
      </c>
      <c r="N2" s="11">
        <v>0</v>
      </c>
      <c r="O2" s="11">
        <v>17.7</v>
      </c>
      <c r="P2" s="11">
        <v>9.02</v>
      </c>
      <c r="Q2" s="11">
        <v>41.99</v>
      </c>
      <c r="R2" s="11">
        <v>254.19</v>
      </c>
      <c r="S2" s="11">
        <v>0.08</v>
      </c>
      <c r="T2" s="11">
        <v>0</v>
      </c>
      <c r="U2" s="11">
        <v>1.87</v>
      </c>
      <c r="V2" s="11">
        <v>443.49</v>
      </c>
      <c r="W2" s="12">
        <v>-22.01</v>
      </c>
      <c r="X2" s="30">
        <f>MOD(general_price[[#This Row],[date]], 1)</f>
        <v>0.52083333333575865</v>
      </c>
      <c r="Y2" s="25" t="str">
        <f t="shared" ref="Y2:Y65" si="0">IF(AND(HOUR(A2)=0,MINUTE(A2)=0),TEXT(A2,"d mmm"),"")</f>
        <v/>
      </c>
      <c r="Z2" s="22">
        <v>0</v>
      </c>
      <c r="AA2" s="48">
        <f>general_price[[#This Row],[Battery (Charging) -  MW]]+general_price[[#This Row],[Battery (Discharging) -  MW]]</f>
        <v>163.06</v>
      </c>
      <c r="AB2" s="48">
        <f>general_price[[#This Row],[Pumps -  MW]]+general_price[[#This Row],[Hydro -  MW]]</f>
        <v>-469.14</v>
      </c>
    </row>
    <row r="3" spans="1:28">
      <c r="A3" s="13">
        <v>45849.541666666664</v>
      </c>
      <c r="B3" s="14">
        <v>-401.87</v>
      </c>
      <c r="C3" s="15">
        <v>-468.66</v>
      </c>
      <c r="D3" s="15">
        <v>-132.59</v>
      </c>
      <c r="E3" s="15">
        <v>873.89</v>
      </c>
      <c r="F3" s="15">
        <v>3430.37</v>
      </c>
      <c r="G3" s="15">
        <v>29.64</v>
      </c>
      <c r="H3" s="15">
        <v>0</v>
      </c>
      <c r="I3" s="15">
        <v>37.369999999999997</v>
      </c>
      <c r="J3" s="15">
        <v>152.37</v>
      </c>
      <c r="K3" s="15">
        <v>0</v>
      </c>
      <c r="L3" s="15">
        <v>1626.93</v>
      </c>
      <c r="M3" s="15">
        <v>1760.86</v>
      </c>
      <c r="N3" s="15">
        <v>1653.29</v>
      </c>
      <c r="O3" s="15">
        <v>17.86</v>
      </c>
      <c r="P3" s="15">
        <v>27.69</v>
      </c>
      <c r="Q3" s="15">
        <v>251.17</v>
      </c>
      <c r="R3" s="15">
        <v>1547.5</v>
      </c>
      <c r="S3" s="15">
        <v>0.51</v>
      </c>
      <c r="T3" s="15">
        <v>0</v>
      </c>
      <c r="U3" s="15">
        <v>11.25</v>
      </c>
      <c r="V3" s="15">
        <v>364.25</v>
      </c>
      <c r="W3" s="16">
        <v>-14.01</v>
      </c>
      <c r="X3" s="31">
        <f>MOD(general_price[[#This Row],[date]], 1)</f>
        <v>0.54166666666424135</v>
      </c>
      <c r="Y3" s="25" t="str">
        <f t="shared" si="0"/>
        <v/>
      </c>
      <c r="Z3" s="22">
        <v>0</v>
      </c>
      <c r="AA3" s="48">
        <f>general_price[[#This Row],[Battery (Charging) -  MW]]+general_price[[#This Row],[Battery (Discharging) -  MW]]</f>
        <v>-249.5</v>
      </c>
      <c r="AB3" s="48">
        <f>general_price[[#This Row],[Pumps -  MW]]+general_price[[#This Row],[Hydro -  MW]]</f>
        <v>-468.66</v>
      </c>
    </row>
    <row r="4" spans="1:28">
      <c r="A4" s="13">
        <v>45849.5625</v>
      </c>
      <c r="B4" s="14">
        <v>-649.61</v>
      </c>
      <c r="C4" s="15">
        <v>-468.04</v>
      </c>
      <c r="D4" s="15">
        <v>-10.54</v>
      </c>
      <c r="E4" s="15">
        <v>886.3</v>
      </c>
      <c r="F4" s="15">
        <v>3463.22</v>
      </c>
      <c r="G4" s="15">
        <v>20.71</v>
      </c>
      <c r="H4" s="15">
        <v>0</v>
      </c>
      <c r="I4" s="15">
        <v>37.19</v>
      </c>
      <c r="J4" s="15">
        <v>1.82</v>
      </c>
      <c r="K4" s="15">
        <v>0</v>
      </c>
      <c r="L4" s="15">
        <v>1717.61</v>
      </c>
      <c r="M4" s="15">
        <v>1879.89</v>
      </c>
      <c r="N4" s="15">
        <v>3109.92</v>
      </c>
      <c r="O4" s="15">
        <v>17.98</v>
      </c>
      <c r="P4" s="15">
        <v>2.2000000000000002</v>
      </c>
      <c r="Q4" s="15">
        <v>254.96</v>
      </c>
      <c r="R4" s="15">
        <v>1562.28</v>
      </c>
      <c r="S4" s="15">
        <v>0.45</v>
      </c>
      <c r="T4" s="15">
        <v>0</v>
      </c>
      <c r="U4" s="15">
        <v>11.2</v>
      </c>
      <c r="V4" s="15">
        <v>315.14999999999998</v>
      </c>
      <c r="W4" s="16">
        <v>13.96</v>
      </c>
      <c r="X4" s="31">
        <f>MOD(general_price[[#This Row],[date]], 1)</f>
        <v>0.5625</v>
      </c>
      <c r="Y4" s="25" t="str">
        <f t="shared" si="0"/>
        <v/>
      </c>
      <c r="Z4" s="22">
        <v>0</v>
      </c>
      <c r="AA4" s="48">
        <f>general_price[[#This Row],[Battery (Charging) -  MW]]+general_price[[#This Row],[Battery (Discharging) -  MW]]</f>
        <v>-647.79</v>
      </c>
      <c r="AB4" s="48">
        <f>general_price[[#This Row],[Pumps -  MW]]+general_price[[#This Row],[Hydro -  MW]]</f>
        <v>-468.04</v>
      </c>
    </row>
    <row r="5" spans="1:28">
      <c r="A5" s="13">
        <v>45849.583333333336</v>
      </c>
      <c r="B5" s="14">
        <v>-162.4</v>
      </c>
      <c r="C5" s="15">
        <v>-467.76</v>
      </c>
      <c r="D5" s="15">
        <v>-159.88999999999999</v>
      </c>
      <c r="E5" s="15">
        <v>897.81</v>
      </c>
      <c r="F5" s="15">
        <v>3444.6</v>
      </c>
      <c r="G5" s="15">
        <v>11.93</v>
      </c>
      <c r="H5" s="15">
        <v>1.17</v>
      </c>
      <c r="I5" s="15">
        <v>38.090000000000003</v>
      </c>
      <c r="J5" s="15">
        <v>97.38</v>
      </c>
      <c r="K5" s="15">
        <v>0</v>
      </c>
      <c r="L5" s="15">
        <v>1735.37</v>
      </c>
      <c r="M5" s="15">
        <v>1686.57</v>
      </c>
      <c r="N5" s="15">
        <v>2800.7</v>
      </c>
      <c r="O5" s="15">
        <v>17.87</v>
      </c>
      <c r="P5" s="15">
        <v>34.130000000000003</v>
      </c>
      <c r="Q5" s="15">
        <v>246.76</v>
      </c>
      <c r="R5" s="15">
        <v>1554.06</v>
      </c>
      <c r="S5" s="15">
        <v>0.38</v>
      </c>
      <c r="T5" s="15">
        <v>0.22</v>
      </c>
      <c r="U5" s="15">
        <v>11.47</v>
      </c>
      <c r="V5" s="15">
        <v>315.64</v>
      </c>
      <c r="W5" s="16">
        <v>0.04</v>
      </c>
      <c r="X5" s="31">
        <f>MOD(general_price[[#This Row],[date]], 1)</f>
        <v>0.58333333333575865</v>
      </c>
      <c r="Y5" s="25" t="str">
        <f t="shared" si="0"/>
        <v/>
      </c>
      <c r="Z5" s="22">
        <v>0</v>
      </c>
      <c r="AA5" s="48">
        <f>general_price[[#This Row],[Battery (Charging) -  MW]]+general_price[[#This Row],[Battery (Discharging) -  MW]]</f>
        <v>-65.02000000000001</v>
      </c>
      <c r="AB5" s="48">
        <f>general_price[[#This Row],[Pumps -  MW]]+general_price[[#This Row],[Hydro -  MW]]</f>
        <v>-467.76</v>
      </c>
    </row>
    <row r="6" spans="1:28">
      <c r="A6" s="13">
        <v>45849.604166666664</v>
      </c>
      <c r="B6" s="14">
        <v>-22.51</v>
      </c>
      <c r="C6" s="15">
        <v>-468.28</v>
      </c>
      <c r="D6" s="15">
        <v>-151.47999999999999</v>
      </c>
      <c r="E6" s="15">
        <v>917.95</v>
      </c>
      <c r="F6" s="15">
        <v>3513.54</v>
      </c>
      <c r="G6" s="15">
        <v>11.22</v>
      </c>
      <c r="H6" s="15">
        <v>52.33</v>
      </c>
      <c r="I6" s="15">
        <v>38.33</v>
      </c>
      <c r="J6" s="15">
        <v>241.68</v>
      </c>
      <c r="K6" s="15">
        <v>0</v>
      </c>
      <c r="L6" s="15">
        <v>1759.84</v>
      </c>
      <c r="M6" s="15">
        <v>1445.08</v>
      </c>
      <c r="N6" s="15">
        <v>2425.0500000000002</v>
      </c>
      <c r="O6" s="15">
        <v>17.37</v>
      </c>
      <c r="P6" s="15">
        <v>32.479999999999997</v>
      </c>
      <c r="Q6" s="15">
        <v>239.86</v>
      </c>
      <c r="R6" s="15">
        <v>1584.67</v>
      </c>
      <c r="S6" s="15">
        <v>0.37</v>
      </c>
      <c r="T6" s="15">
        <v>9.73</v>
      </c>
      <c r="U6" s="15">
        <v>11.54</v>
      </c>
      <c r="V6" s="15">
        <v>329.07</v>
      </c>
      <c r="W6" s="16">
        <v>20.3</v>
      </c>
      <c r="X6" s="31">
        <f>MOD(general_price[[#This Row],[date]], 1)</f>
        <v>0.60416666666424135</v>
      </c>
      <c r="Y6" s="25" t="str">
        <f t="shared" si="0"/>
        <v/>
      </c>
      <c r="Z6" s="22">
        <v>0</v>
      </c>
      <c r="AA6" s="48">
        <f>general_price[[#This Row],[Battery (Charging) -  MW]]+general_price[[#This Row],[Battery (Discharging) -  MW]]</f>
        <v>219.17000000000002</v>
      </c>
      <c r="AB6" s="48">
        <f>general_price[[#This Row],[Pumps -  MW]]+general_price[[#This Row],[Hydro -  MW]]</f>
        <v>-468.28</v>
      </c>
    </row>
    <row r="7" spans="1:28">
      <c r="A7" s="13">
        <v>45849.625</v>
      </c>
      <c r="B7" s="14">
        <v>-379.85</v>
      </c>
      <c r="C7" s="15">
        <v>-467.17</v>
      </c>
      <c r="D7" s="15">
        <v>-0.59</v>
      </c>
      <c r="E7" s="15">
        <v>919.42</v>
      </c>
      <c r="F7" s="15">
        <v>3972.11</v>
      </c>
      <c r="G7" s="15">
        <v>12.25</v>
      </c>
      <c r="H7" s="15">
        <v>179.83</v>
      </c>
      <c r="I7" s="15">
        <v>37.979999999999997</v>
      </c>
      <c r="J7" s="15">
        <v>78.8</v>
      </c>
      <c r="K7" s="15">
        <v>0</v>
      </c>
      <c r="L7" s="15">
        <v>1832.99</v>
      </c>
      <c r="M7" s="15">
        <v>1392.68</v>
      </c>
      <c r="N7" s="15">
        <v>1963.82</v>
      </c>
      <c r="O7" s="15">
        <v>16.97</v>
      </c>
      <c r="P7" s="15">
        <v>0.14000000000000001</v>
      </c>
      <c r="Q7" s="15">
        <v>239.01</v>
      </c>
      <c r="R7" s="15">
        <v>1788.98</v>
      </c>
      <c r="S7" s="15">
        <v>0.39</v>
      </c>
      <c r="T7" s="15">
        <v>33.43</v>
      </c>
      <c r="U7" s="15">
        <v>11.44</v>
      </c>
      <c r="V7" s="15">
        <v>384.44</v>
      </c>
      <c r="W7" s="16">
        <v>46.74</v>
      </c>
      <c r="X7" s="31">
        <f>MOD(general_price[[#This Row],[date]], 1)</f>
        <v>0.625</v>
      </c>
      <c r="Y7" s="25" t="str">
        <f t="shared" si="0"/>
        <v/>
      </c>
      <c r="Z7" s="22">
        <v>0</v>
      </c>
      <c r="AA7" s="48">
        <f>general_price[[#This Row],[Battery (Charging) -  MW]]+general_price[[#This Row],[Battery (Discharging) -  MW]]</f>
        <v>-301.05</v>
      </c>
      <c r="AB7" s="48">
        <f>general_price[[#This Row],[Pumps -  MW]]+general_price[[#This Row],[Hydro -  MW]]</f>
        <v>-467.17</v>
      </c>
    </row>
    <row r="8" spans="1:28">
      <c r="A8" s="13">
        <v>45849.645833333336</v>
      </c>
      <c r="B8" s="14">
        <v>-100.81</v>
      </c>
      <c r="C8" s="15">
        <v>-436.42</v>
      </c>
      <c r="D8" s="15">
        <v>-125.35</v>
      </c>
      <c r="E8" s="15">
        <v>885.51</v>
      </c>
      <c r="F8" s="15">
        <v>4521.03</v>
      </c>
      <c r="G8" s="15">
        <v>11.73</v>
      </c>
      <c r="H8" s="15">
        <v>190</v>
      </c>
      <c r="I8" s="15">
        <v>38.64</v>
      </c>
      <c r="J8" s="15">
        <v>235.41</v>
      </c>
      <c r="K8" s="15">
        <v>0</v>
      </c>
      <c r="L8" s="15">
        <v>1820.41</v>
      </c>
      <c r="M8" s="15">
        <v>1220.54</v>
      </c>
      <c r="N8" s="15">
        <v>1440.64</v>
      </c>
      <c r="O8" s="15">
        <v>16.91</v>
      </c>
      <c r="P8" s="15">
        <v>31.3</v>
      </c>
      <c r="Q8" s="15">
        <v>207.77</v>
      </c>
      <c r="R8" s="15">
        <v>2041.49</v>
      </c>
      <c r="S8" s="15">
        <v>0.37</v>
      </c>
      <c r="T8" s="15">
        <v>35.32</v>
      </c>
      <c r="U8" s="15">
        <v>11.63</v>
      </c>
      <c r="V8" s="15">
        <v>430.63</v>
      </c>
      <c r="W8" s="16">
        <v>-11.05</v>
      </c>
      <c r="X8" s="31">
        <f>MOD(general_price[[#This Row],[date]], 1)</f>
        <v>0.64583333333575865</v>
      </c>
      <c r="Y8" s="25" t="str">
        <f t="shared" si="0"/>
        <v/>
      </c>
      <c r="Z8" s="22">
        <v>0</v>
      </c>
      <c r="AA8" s="48">
        <f>general_price[[#This Row],[Battery (Charging) -  MW]]+general_price[[#This Row],[Battery (Discharging) -  MW]]</f>
        <v>134.6</v>
      </c>
      <c r="AB8" s="48">
        <f>general_price[[#This Row],[Pumps -  MW]]+general_price[[#This Row],[Hydro -  MW]]</f>
        <v>-436.42</v>
      </c>
    </row>
    <row r="9" spans="1:28">
      <c r="A9" s="13">
        <v>45849.666666666664</v>
      </c>
      <c r="B9" s="14">
        <v>-84.16</v>
      </c>
      <c r="C9" s="15">
        <v>-230.55</v>
      </c>
      <c r="D9" s="15">
        <v>-105.76</v>
      </c>
      <c r="E9" s="15">
        <v>751.42</v>
      </c>
      <c r="F9" s="15">
        <v>5370.25</v>
      </c>
      <c r="G9" s="15">
        <v>13.43</v>
      </c>
      <c r="H9" s="15">
        <v>199.67</v>
      </c>
      <c r="I9" s="15">
        <v>40.81</v>
      </c>
      <c r="J9" s="15">
        <v>60.13</v>
      </c>
      <c r="K9" s="15">
        <v>11.96</v>
      </c>
      <c r="L9" s="15">
        <v>1870.99</v>
      </c>
      <c r="M9" s="15">
        <v>1049.7</v>
      </c>
      <c r="N9" s="15">
        <v>914.26</v>
      </c>
      <c r="O9" s="15">
        <v>16.22</v>
      </c>
      <c r="P9" s="15">
        <v>29.46</v>
      </c>
      <c r="Q9" s="15">
        <v>200.61</v>
      </c>
      <c r="R9" s="15">
        <v>2430.58</v>
      </c>
      <c r="S9" s="15">
        <v>0.42</v>
      </c>
      <c r="T9" s="15">
        <v>37.119999999999997</v>
      </c>
      <c r="U9" s="15">
        <v>12.29</v>
      </c>
      <c r="V9" s="15">
        <v>503.02</v>
      </c>
      <c r="W9" s="16">
        <v>37.74</v>
      </c>
      <c r="X9" s="31">
        <f>MOD(general_price[[#This Row],[date]], 1)</f>
        <v>0.66666666666424135</v>
      </c>
      <c r="Y9" s="25" t="str">
        <f t="shared" si="0"/>
        <v/>
      </c>
      <c r="Z9" s="22">
        <v>0</v>
      </c>
      <c r="AA9" s="48">
        <f>general_price[[#This Row],[Battery (Charging) -  MW]]+general_price[[#This Row],[Battery (Discharging) -  MW]]</f>
        <v>-24.029999999999994</v>
      </c>
      <c r="AB9" s="48">
        <f>general_price[[#This Row],[Pumps -  MW]]+general_price[[#This Row],[Hydro -  MW]]</f>
        <v>-218.59</v>
      </c>
    </row>
    <row r="10" spans="1:28">
      <c r="A10" s="13">
        <v>45849.6875</v>
      </c>
      <c r="B10" s="14">
        <v>-307.23</v>
      </c>
      <c r="C10" s="15">
        <v>0</v>
      </c>
      <c r="D10" s="15">
        <v>-157.65</v>
      </c>
      <c r="E10" s="15">
        <v>754.07</v>
      </c>
      <c r="F10" s="15">
        <v>6233.9</v>
      </c>
      <c r="G10" s="15">
        <v>1.38</v>
      </c>
      <c r="H10" s="15">
        <v>345.83</v>
      </c>
      <c r="I10" s="15">
        <v>41.5</v>
      </c>
      <c r="J10" s="15">
        <v>186.7</v>
      </c>
      <c r="K10" s="15">
        <v>76.8</v>
      </c>
      <c r="L10" s="15">
        <v>1904.08</v>
      </c>
      <c r="M10" s="15">
        <v>592.71</v>
      </c>
      <c r="N10" s="15">
        <v>440.91</v>
      </c>
      <c r="O10" s="15">
        <v>15.82</v>
      </c>
      <c r="P10" s="15">
        <v>48.61</v>
      </c>
      <c r="Q10" s="15">
        <v>237.38</v>
      </c>
      <c r="R10" s="15">
        <v>2824.61</v>
      </c>
      <c r="S10" s="15">
        <v>0.46</v>
      </c>
      <c r="T10" s="15">
        <v>64.290000000000006</v>
      </c>
      <c r="U10" s="15">
        <v>12.7</v>
      </c>
      <c r="V10" s="15">
        <v>573.92999999999995</v>
      </c>
      <c r="W10" s="16">
        <v>63.4</v>
      </c>
      <c r="X10" s="31">
        <f>MOD(general_price[[#This Row],[date]], 1)</f>
        <v>0.6875</v>
      </c>
      <c r="Y10" s="25" t="str">
        <f t="shared" si="0"/>
        <v/>
      </c>
      <c r="Z10" s="22">
        <v>0</v>
      </c>
      <c r="AA10" s="48">
        <f>general_price[[#This Row],[Battery (Charging) -  MW]]+general_price[[#This Row],[Battery (Discharging) -  MW]]</f>
        <v>-120.53000000000003</v>
      </c>
      <c r="AB10" s="48">
        <f>general_price[[#This Row],[Pumps -  MW]]+general_price[[#This Row],[Hydro -  MW]]</f>
        <v>76.8</v>
      </c>
    </row>
    <row r="11" spans="1:28">
      <c r="A11" s="13">
        <v>45849.708333333336</v>
      </c>
      <c r="B11" s="14">
        <v>-300.85000000000002</v>
      </c>
      <c r="C11" s="15">
        <v>0</v>
      </c>
      <c r="D11" s="15">
        <v>-200.52</v>
      </c>
      <c r="E11" s="15">
        <v>638.88</v>
      </c>
      <c r="F11" s="15">
        <v>6792.19</v>
      </c>
      <c r="G11" s="15">
        <v>-0.54</v>
      </c>
      <c r="H11" s="15">
        <v>447.33</v>
      </c>
      <c r="I11" s="15">
        <v>159.38</v>
      </c>
      <c r="J11" s="15">
        <v>279.3</v>
      </c>
      <c r="K11" s="15">
        <v>506.54</v>
      </c>
      <c r="L11" s="15">
        <v>1924.31</v>
      </c>
      <c r="M11" s="15">
        <v>166.79</v>
      </c>
      <c r="N11" s="15">
        <v>116.99</v>
      </c>
      <c r="O11" s="15">
        <v>15.44</v>
      </c>
      <c r="P11" s="15">
        <v>62.35</v>
      </c>
      <c r="Q11" s="15">
        <v>223.1</v>
      </c>
      <c r="R11" s="15">
        <v>3078.15</v>
      </c>
      <c r="S11" s="15">
        <v>0.45</v>
      </c>
      <c r="T11" s="15">
        <v>83.16</v>
      </c>
      <c r="U11" s="15">
        <v>45.76</v>
      </c>
      <c r="V11" s="15">
        <v>609.23</v>
      </c>
      <c r="W11" s="16">
        <v>100.59</v>
      </c>
      <c r="X11" s="31">
        <f>MOD(general_price[[#This Row],[date]], 1)</f>
        <v>0.70833333333575865</v>
      </c>
      <c r="Y11" s="25" t="str">
        <f t="shared" si="0"/>
        <v/>
      </c>
      <c r="Z11" s="22">
        <v>0</v>
      </c>
      <c r="AA11" s="48">
        <f>general_price[[#This Row],[Battery (Charging) -  MW]]+general_price[[#This Row],[Battery (Discharging) -  MW]]</f>
        <v>-21.550000000000011</v>
      </c>
      <c r="AB11" s="48">
        <f>general_price[[#This Row],[Pumps -  MW]]+general_price[[#This Row],[Hydro -  MW]]</f>
        <v>506.54</v>
      </c>
    </row>
    <row r="12" spans="1:28">
      <c r="A12" s="13">
        <v>45849.729166666664</v>
      </c>
      <c r="B12" s="14">
        <v>-60.4</v>
      </c>
      <c r="C12" s="15">
        <v>0</v>
      </c>
      <c r="D12" s="15">
        <v>-208.53</v>
      </c>
      <c r="E12" s="15">
        <v>614.17999999999995</v>
      </c>
      <c r="F12" s="15">
        <v>7173.65</v>
      </c>
      <c r="G12" s="15">
        <v>-1.78</v>
      </c>
      <c r="H12" s="15">
        <v>445.5</v>
      </c>
      <c r="I12" s="15">
        <v>207.84</v>
      </c>
      <c r="J12" s="15">
        <v>202.42</v>
      </c>
      <c r="K12" s="15">
        <v>692.02</v>
      </c>
      <c r="L12" s="15">
        <v>1944.45</v>
      </c>
      <c r="M12" s="15">
        <v>8.5399999999999991</v>
      </c>
      <c r="N12" s="15">
        <v>12.03</v>
      </c>
      <c r="O12" s="15">
        <v>15.12</v>
      </c>
      <c r="P12" s="15">
        <v>65.650000000000006</v>
      </c>
      <c r="Q12" s="15">
        <v>219.51</v>
      </c>
      <c r="R12" s="15">
        <v>3248.93</v>
      </c>
      <c r="S12" s="15">
        <v>0.44</v>
      </c>
      <c r="T12" s="15">
        <v>82.82</v>
      </c>
      <c r="U12" s="15">
        <v>59.43</v>
      </c>
      <c r="V12" s="15">
        <v>614.98</v>
      </c>
      <c r="W12" s="16">
        <v>135.19999999999999</v>
      </c>
      <c r="X12" s="31">
        <f>MOD(general_price[[#This Row],[date]], 1)</f>
        <v>0.72916666666424135</v>
      </c>
      <c r="Y12" s="25" t="str">
        <f t="shared" si="0"/>
        <v/>
      </c>
      <c r="Z12" s="22">
        <v>0</v>
      </c>
      <c r="AA12" s="48">
        <f>general_price[[#This Row],[Battery (Charging) -  MW]]+general_price[[#This Row],[Battery (Discharging) -  MW]]</f>
        <v>142.01999999999998</v>
      </c>
      <c r="AB12" s="48">
        <f>general_price[[#This Row],[Pumps -  MW]]+general_price[[#This Row],[Hydro -  MW]]</f>
        <v>692.02</v>
      </c>
    </row>
    <row r="13" spans="1:28">
      <c r="A13" s="13">
        <v>45849.75</v>
      </c>
      <c r="B13" s="14">
        <v>-2.2799999999999998</v>
      </c>
      <c r="C13" s="15">
        <v>0</v>
      </c>
      <c r="D13" s="15">
        <v>-487.92</v>
      </c>
      <c r="E13" s="15">
        <v>372.96</v>
      </c>
      <c r="F13" s="15">
        <v>7371.04</v>
      </c>
      <c r="G13" s="15">
        <v>-1.23</v>
      </c>
      <c r="H13" s="15">
        <v>445.5</v>
      </c>
      <c r="I13" s="15">
        <v>208.9</v>
      </c>
      <c r="J13" s="15">
        <v>204.59</v>
      </c>
      <c r="K13" s="15">
        <v>993.21</v>
      </c>
      <c r="L13" s="15">
        <v>1999.15</v>
      </c>
      <c r="M13" s="15">
        <v>0.02</v>
      </c>
      <c r="N13" s="15">
        <v>0.09</v>
      </c>
      <c r="O13" s="15">
        <v>14.85</v>
      </c>
      <c r="P13" s="15">
        <v>150.97</v>
      </c>
      <c r="Q13" s="15">
        <v>131.74</v>
      </c>
      <c r="R13" s="15">
        <v>3337.58</v>
      </c>
      <c r="S13" s="15">
        <v>0.44</v>
      </c>
      <c r="T13" s="15">
        <v>82.82</v>
      </c>
      <c r="U13" s="15">
        <v>59.74</v>
      </c>
      <c r="V13" s="15">
        <v>626.9</v>
      </c>
      <c r="W13" s="16">
        <v>163.44999999999999</v>
      </c>
      <c r="X13" s="31">
        <f>MOD(general_price[[#This Row],[date]], 1)</f>
        <v>0.75</v>
      </c>
      <c r="Y13" s="25" t="str">
        <f t="shared" si="0"/>
        <v/>
      </c>
      <c r="Z13" s="22">
        <v>0</v>
      </c>
      <c r="AA13" s="48">
        <f>general_price[[#This Row],[Battery (Charging) -  MW]]+general_price[[#This Row],[Battery (Discharging) -  MW]]</f>
        <v>202.31</v>
      </c>
      <c r="AB13" s="48">
        <f>general_price[[#This Row],[Pumps -  MW]]+general_price[[#This Row],[Hydro -  MW]]</f>
        <v>993.21</v>
      </c>
    </row>
    <row r="14" spans="1:28">
      <c r="A14" s="13">
        <v>45849.770833333336</v>
      </c>
      <c r="B14" s="14">
        <v>-2.2000000000000002</v>
      </c>
      <c r="C14" s="15">
        <v>0</v>
      </c>
      <c r="D14" s="15">
        <v>-510.44</v>
      </c>
      <c r="E14" s="15">
        <v>358.28</v>
      </c>
      <c r="F14" s="15">
        <v>7404.26</v>
      </c>
      <c r="G14" s="15">
        <v>-0.77</v>
      </c>
      <c r="H14" s="15">
        <v>445.33</v>
      </c>
      <c r="I14" s="15">
        <v>208.73</v>
      </c>
      <c r="J14" s="15">
        <v>254.8</v>
      </c>
      <c r="K14" s="15">
        <v>941.37</v>
      </c>
      <c r="L14" s="15">
        <v>2028.92</v>
      </c>
      <c r="M14" s="15">
        <v>0.02</v>
      </c>
      <c r="N14" s="15">
        <v>0</v>
      </c>
      <c r="O14" s="15">
        <v>14.73</v>
      </c>
      <c r="P14" s="15">
        <v>157.80000000000001</v>
      </c>
      <c r="Q14" s="15">
        <v>125.88</v>
      </c>
      <c r="R14" s="15">
        <v>3352.88</v>
      </c>
      <c r="S14" s="15">
        <v>0.44</v>
      </c>
      <c r="T14" s="15">
        <v>82.79</v>
      </c>
      <c r="U14" s="15">
        <v>59.68</v>
      </c>
      <c r="V14" s="15">
        <v>628.27</v>
      </c>
      <c r="W14" s="16">
        <v>129.05000000000001</v>
      </c>
      <c r="X14" s="31">
        <f>MOD(general_price[[#This Row],[date]], 1)</f>
        <v>0.77083333333575865</v>
      </c>
      <c r="Y14" s="25" t="str">
        <f t="shared" si="0"/>
        <v/>
      </c>
      <c r="Z14" s="22">
        <v>0</v>
      </c>
      <c r="AA14" s="48">
        <f>general_price[[#This Row],[Battery (Charging) -  MW]]+general_price[[#This Row],[Battery (Discharging) -  MW]]</f>
        <v>252.60000000000002</v>
      </c>
      <c r="AB14" s="48">
        <f>general_price[[#This Row],[Pumps -  MW]]+general_price[[#This Row],[Hydro -  MW]]</f>
        <v>941.37</v>
      </c>
    </row>
    <row r="15" spans="1:28">
      <c r="A15" s="13">
        <v>45849.791666666664</v>
      </c>
      <c r="B15" s="14">
        <v>-3.18</v>
      </c>
      <c r="C15" s="15">
        <v>0</v>
      </c>
      <c r="D15" s="15">
        <v>-501.92</v>
      </c>
      <c r="E15" s="15">
        <v>369.47</v>
      </c>
      <c r="F15" s="15">
        <v>7406.87</v>
      </c>
      <c r="G15" s="15">
        <v>-0.91</v>
      </c>
      <c r="H15" s="15">
        <v>446</v>
      </c>
      <c r="I15" s="15">
        <v>207.75</v>
      </c>
      <c r="J15" s="15">
        <v>132.97999999999999</v>
      </c>
      <c r="K15" s="15">
        <v>961.9</v>
      </c>
      <c r="L15" s="15">
        <v>1986.17</v>
      </c>
      <c r="M15" s="15">
        <v>0.02</v>
      </c>
      <c r="N15" s="15">
        <v>0</v>
      </c>
      <c r="O15" s="15">
        <v>13.97</v>
      </c>
      <c r="P15" s="15">
        <v>157.35</v>
      </c>
      <c r="Q15" s="15">
        <v>129.35</v>
      </c>
      <c r="R15" s="15">
        <v>3354</v>
      </c>
      <c r="S15" s="15">
        <v>0.44</v>
      </c>
      <c r="T15" s="15">
        <v>82.91</v>
      </c>
      <c r="U15" s="15">
        <v>59.38</v>
      </c>
      <c r="V15" s="15">
        <v>635.47</v>
      </c>
      <c r="W15" s="16">
        <v>133.6</v>
      </c>
      <c r="X15" s="31">
        <f>MOD(general_price[[#This Row],[date]], 1)</f>
        <v>0.79166666666424135</v>
      </c>
      <c r="Y15" s="25" t="str">
        <f t="shared" si="0"/>
        <v/>
      </c>
      <c r="Z15" s="22">
        <v>0</v>
      </c>
      <c r="AA15" s="48">
        <f>general_price[[#This Row],[Battery (Charging) -  MW]]+general_price[[#This Row],[Battery (Discharging) -  MW]]</f>
        <v>129.79999999999998</v>
      </c>
      <c r="AB15" s="48">
        <f>general_price[[#This Row],[Pumps -  MW]]+general_price[[#This Row],[Hydro -  MW]]</f>
        <v>961.9</v>
      </c>
    </row>
    <row r="16" spans="1:28">
      <c r="A16" s="13">
        <v>45849.8125</v>
      </c>
      <c r="B16" s="14">
        <v>-4.08</v>
      </c>
      <c r="C16" s="15">
        <v>0</v>
      </c>
      <c r="D16" s="15">
        <v>-551.23</v>
      </c>
      <c r="E16" s="15">
        <v>423.87</v>
      </c>
      <c r="F16" s="15">
        <v>7405.12</v>
      </c>
      <c r="G16" s="15">
        <v>-0.89</v>
      </c>
      <c r="H16" s="15">
        <v>445.83</v>
      </c>
      <c r="I16" s="15">
        <v>208.19</v>
      </c>
      <c r="J16" s="15">
        <v>61.78</v>
      </c>
      <c r="K16" s="15">
        <v>967.99</v>
      </c>
      <c r="L16" s="15">
        <v>1944.55</v>
      </c>
      <c r="M16" s="15">
        <v>0.02</v>
      </c>
      <c r="N16" s="15">
        <v>0</v>
      </c>
      <c r="O16" s="15">
        <v>13.17</v>
      </c>
      <c r="P16" s="15">
        <v>174.28</v>
      </c>
      <c r="Q16" s="15">
        <v>144.09</v>
      </c>
      <c r="R16" s="15">
        <v>3353.18</v>
      </c>
      <c r="S16" s="15">
        <v>0.44</v>
      </c>
      <c r="T16" s="15">
        <v>82.88</v>
      </c>
      <c r="U16" s="15">
        <v>59.5</v>
      </c>
      <c r="V16" s="15">
        <v>641.4</v>
      </c>
      <c r="W16" s="16">
        <v>123.74</v>
      </c>
      <c r="X16" s="31">
        <f>MOD(general_price[[#This Row],[date]], 1)</f>
        <v>0.8125</v>
      </c>
      <c r="Y16" s="25" t="str">
        <f t="shared" si="0"/>
        <v/>
      </c>
      <c r="Z16" s="22">
        <v>0</v>
      </c>
      <c r="AA16" s="48">
        <f>general_price[[#This Row],[Battery (Charging) -  MW]]+general_price[[#This Row],[Battery (Discharging) -  MW]]</f>
        <v>57.7</v>
      </c>
      <c r="AB16" s="48">
        <f>general_price[[#This Row],[Pumps -  MW]]+general_price[[#This Row],[Hydro -  MW]]</f>
        <v>967.99</v>
      </c>
    </row>
    <row r="17" spans="1:28">
      <c r="A17" s="13">
        <v>45849.833333333336</v>
      </c>
      <c r="B17" s="14">
        <v>-1.94</v>
      </c>
      <c r="C17" s="15">
        <v>0</v>
      </c>
      <c r="D17" s="15">
        <v>-558.29</v>
      </c>
      <c r="E17" s="15">
        <v>391.52</v>
      </c>
      <c r="F17" s="15">
        <v>7406.79</v>
      </c>
      <c r="G17" s="15">
        <v>-0.47</v>
      </c>
      <c r="H17" s="15">
        <v>446</v>
      </c>
      <c r="I17" s="15">
        <v>202.7</v>
      </c>
      <c r="J17" s="15">
        <v>51.27</v>
      </c>
      <c r="K17" s="15">
        <v>963.75</v>
      </c>
      <c r="L17" s="15">
        <v>1893.48</v>
      </c>
      <c r="M17" s="15">
        <v>0.02</v>
      </c>
      <c r="N17" s="15">
        <v>0</v>
      </c>
      <c r="O17" s="15">
        <v>13.17</v>
      </c>
      <c r="P17" s="15">
        <v>177.6</v>
      </c>
      <c r="Q17" s="15">
        <v>133.1</v>
      </c>
      <c r="R17" s="15">
        <v>3353.85</v>
      </c>
      <c r="S17" s="15">
        <v>0.44</v>
      </c>
      <c r="T17" s="15">
        <v>82.91</v>
      </c>
      <c r="U17" s="15">
        <v>57.97</v>
      </c>
      <c r="V17" s="15">
        <v>647.57000000000005</v>
      </c>
      <c r="W17" s="16">
        <v>111.94</v>
      </c>
      <c r="X17" s="31">
        <f>MOD(general_price[[#This Row],[date]], 1)</f>
        <v>0.83333333333575865</v>
      </c>
      <c r="Y17" s="25" t="str">
        <f t="shared" si="0"/>
        <v/>
      </c>
      <c r="Z17" s="22">
        <v>0</v>
      </c>
      <c r="AA17" s="48">
        <f>general_price[[#This Row],[Battery (Charging) -  MW]]+general_price[[#This Row],[Battery (Discharging) -  MW]]</f>
        <v>49.330000000000005</v>
      </c>
      <c r="AB17" s="48">
        <f>general_price[[#This Row],[Pumps -  MW]]+general_price[[#This Row],[Hydro -  MW]]</f>
        <v>963.75</v>
      </c>
    </row>
    <row r="18" spans="1:28">
      <c r="A18" s="13">
        <v>45849.854166666664</v>
      </c>
      <c r="B18" s="14">
        <v>-3.76</v>
      </c>
      <c r="C18" s="15">
        <v>0</v>
      </c>
      <c r="D18" s="15">
        <v>-555.45000000000005</v>
      </c>
      <c r="E18" s="15">
        <v>426.23</v>
      </c>
      <c r="F18" s="15">
        <v>7394.76</v>
      </c>
      <c r="G18" s="15">
        <v>-0.82</v>
      </c>
      <c r="H18" s="15">
        <v>448.33</v>
      </c>
      <c r="I18" s="15">
        <v>134.81</v>
      </c>
      <c r="J18" s="15">
        <v>4.51</v>
      </c>
      <c r="K18" s="15">
        <v>940.19</v>
      </c>
      <c r="L18" s="15">
        <v>1840.63</v>
      </c>
      <c r="M18" s="15">
        <v>0.02</v>
      </c>
      <c r="N18" s="15">
        <v>0</v>
      </c>
      <c r="O18" s="15">
        <v>13.23</v>
      </c>
      <c r="P18" s="15">
        <v>178.64</v>
      </c>
      <c r="Q18" s="15">
        <v>144.19999999999999</v>
      </c>
      <c r="R18" s="15">
        <v>3347.24</v>
      </c>
      <c r="S18" s="15">
        <v>0.45</v>
      </c>
      <c r="T18" s="15">
        <v>83.35</v>
      </c>
      <c r="U18" s="15">
        <v>38.840000000000003</v>
      </c>
      <c r="V18" s="15">
        <v>652.88</v>
      </c>
      <c r="W18" s="16">
        <v>96.23</v>
      </c>
      <c r="X18" s="31">
        <f>MOD(general_price[[#This Row],[date]], 1)</f>
        <v>0.85416666666424135</v>
      </c>
      <c r="Y18" s="25" t="str">
        <f t="shared" si="0"/>
        <v/>
      </c>
      <c r="Z18" s="22">
        <v>0</v>
      </c>
      <c r="AA18" s="48">
        <f>general_price[[#This Row],[Battery (Charging) -  MW]]+general_price[[#This Row],[Battery (Discharging) -  MW]]</f>
        <v>0.75</v>
      </c>
      <c r="AB18" s="48">
        <f>general_price[[#This Row],[Pumps -  MW]]+general_price[[#This Row],[Hydro -  MW]]</f>
        <v>940.19</v>
      </c>
    </row>
    <row r="19" spans="1:28">
      <c r="A19" s="13">
        <v>45849.875</v>
      </c>
      <c r="B19" s="14">
        <v>-4.08</v>
      </c>
      <c r="C19" s="15">
        <v>0</v>
      </c>
      <c r="D19" s="15">
        <v>-561.46</v>
      </c>
      <c r="E19" s="15">
        <v>480.95</v>
      </c>
      <c r="F19" s="15">
        <v>7400.16</v>
      </c>
      <c r="G19" s="15">
        <v>-1.1000000000000001</v>
      </c>
      <c r="H19" s="15">
        <v>446.83</v>
      </c>
      <c r="I19" s="15">
        <v>43.05</v>
      </c>
      <c r="J19" s="15">
        <v>6.95</v>
      </c>
      <c r="K19" s="15">
        <v>890.52</v>
      </c>
      <c r="L19" s="15">
        <v>1711.43</v>
      </c>
      <c r="M19" s="15">
        <v>0.02</v>
      </c>
      <c r="N19" s="15">
        <v>0</v>
      </c>
      <c r="O19" s="15">
        <v>12.78</v>
      </c>
      <c r="P19" s="15">
        <v>183.5</v>
      </c>
      <c r="Q19" s="15">
        <v>166.51</v>
      </c>
      <c r="R19" s="15">
        <v>3349.59</v>
      </c>
      <c r="S19" s="15">
        <v>0.45</v>
      </c>
      <c r="T19" s="15">
        <v>83.07</v>
      </c>
      <c r="U19" s="15">
        <v>12.96</v>
      </c>
      <c r="V19" s="15">
        <v>661.86</v>
      </c>
      <c r="W19" s="16">
        <v>96.52</v>
      </c>
      <c r="X19" s="31">
        <f>MOD(general_price[[#This Row],[date]], 1)</f>
        <v>0.875</v>
      </c>
      <c r="Y19" s="25" t="str">
        <f t="shared" si="0"/>
        <v/>
      </c>
      <c r="Z19" s="22">
        <v>0</v>
      </c>
      <c r="AA19" s="48">
        <f>general_price[[#This Row],[Battery (Charging) -  MW]]+general_price[[#This Row],[Battery (Discharging) -  MW]]</f>
        <v>2.87</v>
      </c>
      <c r="AB19" s="48">
        <f>general_price[[#This Row],[Pumps -  MW]]+general_price[[#This Row],[Hydro -  MW]]</f>
        <v>890.52</v>
      </c>
    </row>
    <row r="20" spans="1:28">
      <c r="A20" s="13">
        <v>45849.895833333336</v>
      </c>
      <c r="B20" s="14">
        <v>-4.13</v>
      </c>
      <c r="C20" s="15">
        <v>0</v>
      </c>
      <c r="D20" s="15">
        <v>-599.28</v>
      </c>
      <c r="E20" s="15">
        <v>609.55999999999995</v>
      </c>
      <c r="F20" s="15">
        <v>7394.61</v>
      </c>
      <c r="G20" s="15">
        <v>-0.79</v>
      </c>
      <c r="H20" s="15">
        <v>445.67</v>
      </c>
      <c r="I20" s="15">
        <v>42.96</v>
      </c>
      <c r="J20" s="15">
        <v>2.73</v>
      </c>
      <c r="K20" s="15">
        <v>579.07000000000005</v>
      </c>
      <c r="L20" s="15">
        <v>1597.28</v>
      </c>
      <c r="M20" s="15">
        <v>0.02</v>
      </c>
      <c r="N20" s="15">
        <v>0</v>
      </c>
      <c r="O20" s="15">
        <v>12.54</v>
      </c>
      <c r="P20" s="15">
        <v>204.56</v>
      </c>
      <c r="Q20" s="15">
        <v>205.62</v>
      </c>
      <c r="R20" s="15">
        <v>3347.11</v>
      </c>
      <c r="S20" s="15">
        <v>0.45</v>
      </c>
      <c r="T20" s="15">
        <v>82.85</v>
      </c>
      <c r="U20" s="15">
        <v>12.94</v>
      </c>
      <c r="V20" s="15">
        <v>684.04</v>
      </c>
      <c r="W20" s="16">
        <v>106.16</v>
      </c>
      <c r="X20" s="31">
        <f>MOD(general_price[[#This Row],[date]], 1)</f>
        <v>0.89583333333575865</v>
      </c>
      <c r="Y20" s="25" t="str">
        <f t="shared" si="0"/>
        <v/>
      </c>
      <c r="Z20" s="22">
        <v>0</v>
      </c>
      <c r="AA20" s="48">
        <f>general_price[[#This Row],[Battery (Charging) -  MW]]+general_price[[#This Row],[Battery (Discharging) -  MW]]</f>
        <v>-1.4</v>
      </c>
      <c r="AB20" s="48">
        <f>general_price[[#This Row],[Pumps -  MW]]+general_price[[#This Row],[Hydro -  MW]]</f>
        <v>579.07000000000005</v>
      </c>
    </row>
    <row r="21" spans="1:28">
      <c r="A21" s="13">
        <v>45849.916666666664</v>
      </c>
      <c r="B21" s="14">
        <v>-3.78</v>
      </c>
      <c r="C21" s="15">
        <v>0</v>
      </c>
      <c r="D21" s="15">
        <v>-604.04</v>
      </c>
      <c r="E21" s="15">
        <v>591.14</v>
      </c>
      <c r="F21" s="15">
        <v>7344.47</v>
      </c>
      <c r="G21" s="15">
        <v>-0.79</v>
      </c>
      <c r="H21" s="15">
        <v>437.5</v>
      </c>
      <c r="I21" s="15">
        <v>43.81</v>
      </c>
      <c r="J21" s="15">
        <v>0.04</v>
      </c>
      <c r="K21" s="15">
        <v>453.65</v>
      </c>
      <c r="L21" s="15">
        <v>1542.07</v>
      </c>
      <c r="M21" s="15">
        <v>0.02</v>
      </c>
      <c r="N21" s="15">
        <v>0</v>
      </c>
      <c r="O21" s="15">
        <v>12.57</v>
      </c>
      <c r="P21" s="15">
        <v>209.6</v>
      </c>
      <c r="Q21" s="15">
        <v>199.86</v>
      </c>
      <c r="R21" s="15">
        <v>3324.68</v>
      </c>
      <c r="S21" s="15">
        <v>0.45</v>
      </c>
      <c r="T21" s="15">
        <v>81.33</v>
      </c>
      <c r="U21" s="15">
        <v>13.19</v>
      </c>
      <c r="V21" s="15">
        <v>697.6</v>
      </c>
      <c r="W21" s="16">
        <v>100.01</v>
      </c>
      <c r="X21" s="31">
        <f>MOD(general_price[[#This Row],[date]], 1)</f>
        <v>0.91666666666424135</v>
      </c>
      <c r="Y21" s="25" t="str">
        <f t="shared" si="0"/>
        <v/>
      </c>
      <c r="Z21" s="22">
        <v>0</v>
      </c>
      <c r="AA21" s="48">
        <f>general_price[[#This Row],[Battery (Charging) -  MW]]+general_price[[#This Row],[Battery (Discharging) -  MW]]</f>
        <v>-3.7399999999999998</v>
      </c>
      <c r="AB21" s="48">
        <f>general_price[[#This Row],[Pumps -  MW]]+general_price[[#This Row],[Hydro -  MW]]</f>
        <v>453.65</v>
      </c>
    </row>
    <row r="22" spans="1:28">
      <c r="A22" s="13">
        <v>45849.9375</v>
      </c>
      <c r="B22" s="14">
        <v>-3.23</v>
      </c>
      <c r="C22" s="15">
        <v>0</v>
      </c>
      <c r="D22" s="15">
        <v>-480.9</v>
      </c>
      <c r="E22" s="15">
        <v>399.6</v>
      </c>
      <c r="F22" s="15">
        <v>7331.12</v>
      </c>
      <c r="G22" s="15">
        <v>-0.99</v>
      </c>
      <c r="H22" s="15">
        <v>448.67</v>
      </c>
      <c r="I22" s="15">
        <v>44.19</v>
      </c>
      <c r="J22" s="15">
        <v>13.33</v>
      </c>
      <c r="K22" s="15">
        <v>419</v>
      </c>
      <c r="L22" s="15">
        <v>1524.18</v>
      </c>
      <c r="M22" s="15">
        <v>0.02</v>
      </c>
      <c r="N22" s="15">
        <v>0</v>
      </c>
      <c r="O22" s="15">
        <v>12.54</v>
      </c>
      <c r="P22" s="15">
        <v>167.51</v>
      </c>
      <c r="Q22" s="15">
        <v>135.80000000000001</v>
      </c>
      <c r="R22" s="15">
        <v>3318.79</v>
      </c>
      <c r="S22" s="15">
        <v>0.45</v>
      </c>
      <c r="T22" s="15">
        <v>83.41</v>
      </c>
      <c r="U22" s="15">
        <v>13.31</v>
      </c>
      <c r="V22" s="15">
        <v>704.69</v>
      </c>
      <c r="W22" s="16">
        <v>100.01</v>
      </c>
      <c r="X22" s="31">
        <f>MOD(general_price[[#This Row],[date]], 1)</f>
        <v>0.9375</v>
      </c>
      <c r="Y22" s="25" t="str">
        <f t="shared" si="0"/>
        <v/>
      </c>
      <c r="Z22" s="22">
        <v>0</v>
      </c>
      <c r="AA22" s="48">
        <f>general_price[[#This Row],[Battery (Charging) -  MW]]+general_price[[#This Row],[Battery (Discharging) -  MW]]</f>
        <v>10.1</v>
      </c>
      <c r="AB22" s="48">
        <f>general_price[[#This Row],[Pumps -  MW]]+general_price[[#This Row],[Hydro -  MW]]</f>
        <v>419</v>
      </c>
    </row>
    <row r="23" spans="1:28">
      <c r="A23" s="13">
        <v>45849.958333333336</v>
      </c>
      <c r="B23" s="14">
        <v>-3.47</v>
      </c>
      <c r="C23" s="15">
        <v>0</v>
      </c>
      <c r="D23" s="15">
        <v>-487.3</v>
      </c>
      <c r="E23" s="15">
        <v>406.69</v>
      </c>
      <c r="F23" s="15">
        <v>7136.3</v>
      </c>
      <c r="G23" s="15">
        <v>-0.71</v>
      </c>
      <c r="H23" s="15">
        <v>440.5</v>
      </c>
      <c r="I23" s="15">
        <v>44.26</v>
      </c>
      <c r="J23" s="15">
        <v>8.36</v>
      </c>
      <c r="K23" s="15">
        <v>426.01</v>
      </c>
      <c r="L23" s="15">
        <v>1476.49</v>
      </c>
      <c r="M23" s="15">
        <v>0.02</v>
      </c>
      <c r="N23" s="15">
        <v>0</v>
      </c>
      <c r="O23" s="15">
        <v>12.76</v>
      </c>
      <c r="P23" s="15">
        <v>169.68</v>
      </c>
      <c r="Q23" s="15">
        <v>138.15</v>
      </c>
      <c r="R23" s="15">
        <v>3231.86</v>
      </c>
      <c r="S23" s="15">
        <v>0.44</v>
      </c>
      <c r="T23" s="15">
        <v>81.89</v>
      </c>
      <c r="U23" s="15">
        <v>13.33</v>
      </c>
      <c r="V23" s="15">
        <v>704.45</v>
      </c>
      <c r="W23" s="16">
        <v>100.01</v>
      </c>
      <c r="X23" s="31">
        <f>MOD(general_price[[#This Row],[date]], 1)</f>
        <v>0.95833333333575865</v>
      </c>
      <c r="Y23" s="25" t="str">
        <f t="shared" si="0"/>
        <v/>
      </c>
      <c r="Z23" s="22">
        <v>0</v>
      </c>
      <c r="AA23" s="48">
        <f>general_price[[#This Row],[Battery (Charging) -  MW]]+general_price[[#This Row],[Battery (Discharging) -  MW]]</f>
        <v>4.8899999999999988</v>
      </c>
      <c r="AB23" s="48">
        <f>general_price[[#This Row],[Pumps -  MW]]+general_price[[#This Row],[Hydro -  MW]]</f>
        <v>426.01</v>
      </c>
    </row>
    <row r="24" spans="1:28">
      <c r="A24" s="13">
        <v>45849.979166666664</v>
      </c>
      <c r="B24" s="14">
        <v>-8.66</v>
      </c>
      <c r="C24" s="15">
        <v>0</v>
      </c>
      <c r="D24" s="15">
        <v>-480.83</v>
      </c>
      <c r="E24" s="15">
        <v>473.88</v>
      </c>
      <c r="F24" s="15">
        <v>6924.32</v>
      </c>
      <c r="G24" s="15">
        <v>-1.29</v>
      </c>
      <c r="H24" s="15">
        <v>443</v>
      </c>
      <c r="I24" s="15">
        <v>43.43</v>
      </c>
      <c r="J24" s="15">
        <v>4.6500000000000004</v>
      </c>
      <c r="K24" s="15">
        <v>266.63</v>
      </c>
      <c r="L24" s="15">
        <v>1382.8</v>
      </c>
      <c r="M24" s="15">
        <v>0.02</v>
      </c>
      <c r="N24" s="15">
        <v>0</v>
      </c>
      <c r="O24" s="15">
        <v>12.91</v>
      </c>
      <c r="P24" s="15">
        <v>171.05</v>
      </c>
      <c r="Q24" s="15">
        <v>160.26</v>
      </c>
      <c r="R24" s="15">
        <v>3137.37</v>
      </c>
      <c r="S24" s="15">
        <v>0.44</v>
      </c>
      <c r="T24" s="15">
        <v>82.35</v>
      </c>
      <c r="U24" s="15">
        <v>13.08</v>
      </c>
      <c r="V24" s="15">
        <v>714.69</v>
      </c>
      <c r="W24" s="16">
        <v>99.24</v>
      </c>
      <c r="X24" s="31">
        <f>MOD(general_price[[#This Row],[date]], 1)</f>
        <v>0.97916666666424135</v>
      </c>
      <c r="Y24" s="25" t="str">
        <f t="shared" si="0"/>
        <v/>
      </c>
      <c r="Z24" s="22">
        <v>0</v>
      </c>
      <c r="AA24" s="48">
        <f>general_price[[#This Row],[Battery (Charging) -  MW]]+general_price[[#This Row],[Battery (Discharging) -  MW]]</f>
        <v>-4.01</v>
      </c>
      <c r="AB24" s="48">
        <f>general_price[[#This Row],[Pumps -  MW]]+general_price[[#This Row],[Hydro -  MW]]</f>
        <v>266.63</v>
      </c>
    </row>
    <row r="25" spans="1:28">
      <c r="A25" s="13">
        <v>45850</v>
      </c>
      <c r="B25" s="14">
        <v>-5.73</v>
      </c>
      <c r="C25" s="15">
        <v>0</v>
      </c>
      <c r="D25" s="15">
        <v>-525.99</v>
      </c>
      <c r="E25" s="15">
        <v>386.95</v>
      </c>
      <c r="F25" s="15">
        <v>6706.91</v>
      </c>
      <c r="G25" s="15">
        <v>-1.49</v>
      </c>
      <c r="H25" s="15">
        <v>357.83</v>
      </c>
      <c r="I25" s="15">
        <v>43.2</v>
      </c>
      <c r="J25" s="15">
        <v>5.28</v>
      </c>
      <c r="K25" s="15">
        <v>368.5</v>
      </c>
      <c r="L25" s="15">
        <v>1309.52</v>
      </c>
      <c r="M25" s="15">
        <v>0.02</v>
      </c>
      <c r="N25" s="15">
        <v>0</v>
      </c>
      <c r="O25" s="15">
        <v>13.14</v>
      </c>
      <c r="P25" s="15">
        <v>185.48</v>
      </c>
      <c r="Q25" s="15">
        <v>133.27000000000001</v>
      </c>
      <c r="R25" s="15">
        <v>3040.37</v>
      </c>
      <c r="S25" s="15">
        <v>0.44</v>
      </c>
      <c r="T25" s="15">
        <v>66.52</v>
      </c>
      <c r="U25" s="15">
        <v>13.01</v>
      </c>
      <c r="V25" s="15">
        <v>721.88</v>
      </c>
      <c r="W25" s="16">
        <v>88.25</v>
      </c>
      <c r="X25" s="31">
        <f>MOD(general_price[[#This Row],[date]], 1)</f>
        <v>0</v>
      </c>
      <c r="Y25" s="25" t="str">
        <f t="shared" si="0"/>
        <v>12 Jul</v>
      </c>
      <c r="Z25" s="22">
        <v>0</v>
      </c>
      <c r="AA25" s="48">
        <f>general_price[[#This Row],[Battery (Charging) -  MW]]+general_price[[#This Row],[Battery (Discharging) -  MW]]</f>
        <v>-0.45000000000000018</v>
      </c>
      <c r="AB25" s="48">
        <f>general_price[[#This Row],[Pumps -  MW]]+general_price[[#This Row],[Hydro -  MW]]</f>
        <v>368.5</v>
      </c>
    </row>
    <row r="26" spans="1:28">
      <c r="A26" s="13">
        <v>45850.020833333336</v>
      </c>
      <c r="B26" s="14">
        <v>-2.97</v>
      </c>
      <c r="C26" s="15">
        <v>0</v>
      </c>
      <c r="D26" s="15">
        <v>-597.52</v>
      </c>
      <c r="E26" s="15">
        <v>244.68</v>
      </c>
      <c r="F26" s="15">
        <v>6653.65</v>
      </c>
      <c r="G26" s="15">
        <v>-0.83</v>
      </c>
      <c r="H26" s="15">
        <v>300.5</v>
      </c>
      <c r="I26" s="15">
        <v>43.07</v>
      </c>
      <c r="J26" s="15">
        <v>5.2</v>
      </c>
      <c r="K26" s="15">
        <v>550.14</v>
      </c>
      <c r="L26" s="15">
        <v>1326.11</v>
      </c>
      <c r="M26" s="15">
        <v>0.02</v>
      </c>
      <c r="N26" s="15">
        <v>0</v>
      </c>
      <c r="O26" s="15">
        <v>13.11</v>
      </c>
      <c r="P26" s="15">
        <v>207.54</v>
      </c>
      <c r="Q26" s="15">
        <v>83.71</v>
      </c>
      <c r="R26" s="15">
        <v>3016.74</v>
      </c>
      <c r="S26" s="15">
        <v>0.44</v>
      </c>
      <c r="T26" s="15">
        <v>55.86</v>
      </c>
      <c r="U26" s="15">
        <v>12.97</v>
      </c>
      <c r="V26" s="15">
        <v>724.24</v>
      </c>
      <c r="W26" s="16">
        <v>78.92</v>
      </c>
      <c r="X26" s="31">
        <f>MOD(general_price[[#This Row],[date]], 1)</f>
        <v>2.0833333335758653E-2</v>
      </c>
      <c r="Y26" s="25" t="str">
        <f t="shared" si="0"/>
        <v/>
      </c>
      <c r="Z26" s="22">
        <v>0</v>
      </c>
      <c r="AA26" s="48">
        <f>general_price[[#This Row],[Battery (Charging) -  MW]]+general_price[[#This Row],[Battery (Discharging) -  MW]]</f>
        <v>2.23</v>
      </c>
      <c r="AB26" s="48">
        <f>general_price[[#This Row],[Pumps -  MW]]+general_price[[#This Row],[Hydro -  MW]]</f>
        <v>550.14</v>
      </c>
    </row>
    <row r="27" spans="1:28">
      <c r="A27" s="13">
        <v>45850.041666666664</v>
      </c>
      <c r="B27" s="14">
        <v>-6.6</v>
      </c>
      <c r="C27" s="15">
        <v>0</v>
      </c>
      <c r="D27" s="15">
        <v>-670.27</v>
      </c>
      <c r="E27" s="15">
        <v>357.03</v>
      </c>
      <c r="F27" s="15">
        <v>6514.32</v>
      </c>
      <c r="G27" s="15">
        <v>-0.99</v>
      </c>
      <c r="H27" s="15">
        <v>291.83</v>
      </c>
      <c r="I27" s="15">
        <v>43.06</v>
      </c>
      <c r="J27" s="15">
        <v>1.08</v>
      </c>
      <c r="K27" s="15">
        <v>554.45000000000005</v>
      </c>
      <c r="L27" s="15">
        <v>1360.1</v>
      </c>
      <c r="M27" s="15">
        <v>0.02</v>
      </c>
      <c r="N27" s="15">
        <v>0</v>
      </c>
      <c r="O27" s="15">
        <v>13.01</v>
      </c>
      <c r="P27" s="15">
        <v>230.46</v>
      </c>
      <c r="Q27" s="15">
        <v>122.7</v>
      </c>
      <c r="R27" s="15">
        <v>2954.58</v>
      </c>
      <c r="S27" s="15">
        <v>0.45</v>
      </c>
      <c r="T27" s="15">
        <v>54.25</v>
      </c>
      <c r="U27" s="15">
        <v>12.96</v>
      </c>
      <c r="V27" s="15">
        <v>715.83</v>
      </c>
      <c r="W27" s="16">
        <v>80.59</v>
      </c>
      <c r="X27" s="31">
        <f>MOD(general_price[[#This Row],[date]], 1)</f>
        <v>4.1666666664241347E-2</v>
      </c>
      <c r="Y27" s="25" t="str">
        <f t="shared" si="0"/>
        <v/>
      </c>
      <c r="Z27" s="22">
        <v>0</v>
      </c>
      <c r="AA27" s="48">
        <f>general_price[[#This Row],[Battery (Charging) -  MW]]+general_price[[#This Row],[Battery (Discharging) -  MW]]</f>
        <v>-5.52</v>
      </c>
      <c r="AB27" s="48">
        <f>general_price[[#This Row],[Pumps -  MW]]+general_price[[#This Row],[Hydro -  MW]]</f>
        <v>554.45000000000005</v>
      </c>
    </row>
    <row r="28" spans="1:28">
      <c r="A28" s="13">
        <v>45850.0625</v>
      </c>
      <c r="B28" s="14">
        <v>-6.97</v>
      </c>
      <c r="C28" s="15">
        <v>0</v>
      </c>
      <c r="D28" s="15">
        <v>-476.18</v>
      </c>
      <c r="E28" s="15">
        <v>339.97</v>
      </c>
      <c r="F28" s="15">
        <v>6333.29</v>
      </c>
      <c r="G28" s="15">
        <v>-0.74</v>
      </c>
      <c r="H28" s="15">
        <v>194.17</v>
      </c>
      <c r="I28" s="15">
        <v>43.13</v>
      </c>
      <c r="J28" s="15">
        <v>2.64</v>
      </c>
      <c r="K28" s="15">
        <v>345.43</v>
      </c>
      <c r="L28" s="15">
        <v>1420.98</v>
      </c>
      <c r="M28" s="15">
        <v>0.02</v>
      </c>
      <c r="N28" s="15">
        <v>0</v>
      </c>
      <c r="O28" s="15">
        <v>12.89</v>
      </c>
      <c r="P28" s="15">
        <v>166.27</v>
      </c>
      <c r="Q28" s="15">
        <v>115.89</v>
      </c>
      <c r="R28" s="15">
        <v>2873.75</v>
      </c>
      <c r="S28" s="15">
        <v>0.45</v>
      </c>
      <c r="T28" s="15">
        <v>36.1</v>
      </c>
      <c r="U28" s="15">
        <v>12.99</v>
      </c>
      <c r="V28" s="15">
        <v>713.37</v>
      </c>
      <c r="W28" s="16">
        <v>82.29</v>
      </c>
      <c r="X28" s="31">
        <f>MOD(general_price[[#This Row],[date]], 1)</f>
        <v>6.25E-2</v>
      </c>
      <c r="Y28" s="25" t="str">
        <f t="shared" si="0"/>
        <v/>
      </c>
      <c r="Z28" s="22">
        <v>0</v>
      </c>
      <c r="AA28" s="48">
        <f>general_price[[#This Row],[Battery (Charging) -  MW]]+general_price[[#This Row],[Battery (Discharging) -  MW]]</f>
        <v>-4.33</v>
      </c>
      <c r="AB28" s="48">
        <f>general_price[[#This Row],[Pumps -  MW]]+general_price[[#This Row],[Hydro -  MW]]</f>
        <v>345.43</v>
      </c>
    </row>
    <row r="29" spans="1:28">
      <c r="A29" s="13">
        <v>45850.083333333336</v>
      </c>
      <c r="B29" s="14">
        <v>-12.24</v>
      </c>
      <c r="C29" s="15">
        <v>0</v>
      </c>
      <c r="D29" s="15">
        <v>-472.52</v>
      </c>
      <c r="E29" s="15">
        <v>468.28</v>
      </c>
      <c r="F29" s="15">
        <v>6183.43</v>
      </c>
      <c r="G29" s="15">
        <v>-0.75</v>
      </c>
      <c r="H29" s="15">
        <v>190</v>
      </c>
      <c r="I29" s="15">
        <v>43.12</v>
      </c>
      <c r="J29" s="15">
        <v>3.17</v>
      </c>
      <c r="K29" s="15">
        <v>245.01</v>
      </c>
      <c r="L29" s="15">
        <v>1340.77</v>
      </c>
      <c r="M29" s="15">
        <v>0.02</v>
      </c>
      <c r="N29" s="15">
        <v>0</v>
      </c>
      <c r="O29" s="15">
        <v>12.68</v>
      </c>
      <c r="P29" s="15">
        <v>168.05</v>
      </c>
      <c r="Q29" s="15">
        <v>159.94999999999999</v>
      </c>
      <c r="R29" s="15">
        <v>2806.97</v>
      </c>
      <c r="S29" s="15">
        <v>0.45</v>
      </c>
      <c r="T29" s="15">
        <v>35.32</v>
      </c>
      <c r="U29" s="15">
        <v>12.98</v>
      </c>
      <c r="V29" s="15">
        <v>714.98</v>
      </c>
      <c r="W29" s="16">
        <v>80.709999999999994</v>
      </c>
      <c r="X29" s="31">
        <f>MOD(general_price[[#This Row],[date]], 1)</f>
        <v>8.3333333335758653E-2</v>
      </c>
      <c r="Y29" s="25" t="str">
        <f t="shared" si="0"/>
        <v/>
      </c>
      <c r="Z29" s="22">
        <v>0</v>
      </c>
      <c r="AA29" s="48">
        <f>general_price[[#This Row],[Battery (Charging) -  MW]]+general_price[[#This Row],[Battery (Discharging) -  MW]]</f>
        <v>-9.07</v>
      </c>
      <c r="AB29" s="48">
        <f>general_price[[#This Row],[Pumps -  MW]]+general_price[[#This Row],[Hydro -  MW]]</f>
        <v>245.01</v>
      </c>
    </row>
    <row r="30" spans="1:28">
      <c r="A30" s="13">
        <v>45850.104166666664</v>
      </c>
      <c r="B30" s="14">
        <v>-38.869999999999997</v>
      </c>
      <c r="C30" s="15">
        <v>0</v>
      </c>
      <c r="D30" s="15">
        <v>-507.07</v>
      </c>
      <c r="E30" s="15">
        <v>443.37</v>
      </c>
      <c r="F30" s="15">
        <v>6012.58</v>
      </c>
      <c r="G30" s="15">
        <v>-0.76</v>
      </c>
      <c r="H30" s="15">
        <v>190</v>
      </c>
      <c r="I30" s="15">
        <v>43.23</v>
      </c>
      <c r="J30" s="15">
        <v>2.41</v>
      </c>
      <c r="K30" s="15">
        <v>268.77</v>
      </c>
      <c r="L30" s="15">
        <v>1443.86</v>
      </c>
      <c r="M30" s="15">
        <v>0.02</v>
      </c>
      <c r="N30" s="15">
        <v>0</v>
      </c>
      <c r="O30" s="15">
        <v>12.95</v>
      </c>
      <c r="P30" s="15">
        <v>176.46</v>
      </c>
      <c r="Q30" s="15">
        <v>151.66</v>
      </c>
      <c r="R30" s="15">
        <v>2730.75</v>
      </c>
      <c r="S30" s="15">
        <v>0.45</v>
      </c>
      <c r="T30" s="15">
        <v>35.32</v>
      </c>
      <c r="U30" s="15">
        <v>13.02</v>
      </c>
      <c r="V30" s="15">
        <v>707.48</v>
      </c>
      <c r="W30" s="16">
        <v>84.85</v>
      </c>
      <c r="X30" s="31">
        <f>MOD(general_price[[#This Row],[date]], 1)</f>
        <v>0.10416666666424135</v>
      </c>
      <c r="Y30" s="25" t="str">
        <f t="shared" si="0"/>
        <v/>
      </c>
      <c r="Z30" s="22">
        <v>0</v>
      </c>
      <c r="AA30" s="48">
        <f>general_price[[#This Row],[Battery (Charging) -  MW]]+general_price[[#This Row],[Battery (Discharging) -  MW]]</f>
        <v>-36.459999999999994</v>
      </c>
      <c r="AB30" s="48">
        <f>general_price[[#This Row],[Pumps -  MW]]+general_price[[#This Row],[Hydro -  MW]]</f>
        <v>268.77</v>
      </c>
    </row>
    <row r="31" spans="1:28">
      <c r="A31" s="13">
        <v>45850.125</v>
      </c>
      <c r="B31" s="14">
        <v>-43.54</v>
      </c>
      <c r="C31" s="15">
        <v>0</v>
      </c>
      <c r="D31" s="15">
        <v>-435.67</v>
      </c>
      <c r="E31" s="15">
        <v>358.18</v>
      </c>
      <c r="F31" s="15">
        <v>5886.86</v>
      </c>
      <c r="G31" s="15">
        <v>-0.85</v>
      </c>
      <c r="H31" s="15">
        <v>190</v>
      </c>
      <c r="I31" s="15">
        <v>43.27</v>
      </c>
      <c r="J31" s="15">
        <v>2.5499999999999998</v>
      </c>
      <c r="K31" s="15">
        <v>154.43</v>
      </c>
      <c r="L31" s="15">
        <v>1499.18</v>
      </c>
      <c r="M31" s="15">
        <v>0.02</v>
      </c>
      <c r="N31" s="15">
        <v>0</v>
      </c>
      <c r="O31" s="15">
        <v>13.14</v>
      </c>
      <c r="P31" s="15">
        <v>152.13999999999999</v>
      </c>
      <c r="Q31" s="15">
        <v>121.17</v>
      </c>
      <c r="R31" s="15">
        <v>2674.14</v>
      </c>
      <c r="S31" s="15">
        <v>0.45</v>
      </c>
      <c r="T31" s="15">
        <v>35.32</v>
      </c>
      <c r="U31" s="15">
        <v>13.03</v>
      </c>
      <c r="V31" s="15">
        <v>711.47</v>
      </c>
      <c r="W31" s="16">
        <v>79.08</v>
      </c>
      <c r="X31" s="31">
        <f>MOD(general_price[[#This Row],[date]], 1)</f>
        <v>0.125</v>
      </c>
      <c r="Y31" s="25" t="str">
        <f t="shared" si="0"/>
        <v/>
      </c>
      <c r="Z31" s="22">
        <v>0</v>
      </c>
      <c r="AA31" s="48">
        <f>general_price[[#This Row],[Battery (Charging) -  MW]]+general_price[[#This Row],[Battery (Discharging) -  MW]]</f>
        <v>-40.99</v>
      </c>
      <c r="AB31" s="48">
        <f>general_price[[#This Row],[Pumps -  MW]]+general_price[[#This Row],[Hydro -  MW]]</f>
        <v>154.43</v>
      </c>
    </row>
    <row r="32" spans="1:28">
      <c r="A32" s="13">
        <v>45850.145833333336</v>
      </c>
      <c r="B32" s="14">
        <v>-51.93</v>
      </c>
      <c r="C32" s="15">
        <v>0</v>
      </c>
      <c r="D32" s="15">
        <v>-431.77</v>
      </c>
      <c r="E32" s="15">
        <v>563.08000000000004</v>
      </c>
      <c r="F32" s="15">
        <v>5576.23</v>
      </c>
      <c r="G32" s="15">
        <v>-0.73</v>
      </c>
      <c r="H32" s="15">
        <v>190</v>
      </c>
      <c r="I32" s="15">
        <v>43.26</v>
      </c>
      <c r="J32" s="15">
        <v>0</v>
      </c>
      <c r="K32" s="15">
        <v>146.91999999999999</v>
      </c>
      <c r="L32" s="15">
        <v>1488.17</v>
      </c>
      <c r="M32" s="15">
        <v>0.02</v>
      </c>
      <c r="N32" s="15">
        <v>0</v>
      </c>
      <c r="O32" s="15">
        <v>12.94</v>
      </c>
      <c r="P32" s="15">
        <v>149.61000000000001</v>
      </c>
      <c r="Q32" s="15">
        <v>189.23</v>
      </c>
      <c r="R32" s="15">
        <v>2535.8000000000002</v>
      </c>
      <c r="S32" s="15">
        <v>0.45</v>
      </c>
      <c r="T32" s="15">
        <v>35.32</v>
      </c>
      <c r="U32" s="15">
        <v>13.03</v>
      </c>
      <c r="V32" s="15">
        <v>687.09</v>
      </c>
      <c r="W32" s="16">
        <v>84.85</v>
      </c>
      <c r="X32" s="31">
        <f>MOD(general_price[[#This Row],[date]], 1)</f>
        <v>0.14583333333575865</v>
      </c>
      <c r="Y32" s="25" t="str">
        <f t="shared" si="0"/>
        <v/>
      </c>
      <c r="Z32" s="22">
        <v>0</v>
      </c>
      <c r="AA32" s="48">
        <f>general_price[[#This Row],[Battery (Charging) -  MW]]+general_price[[#This Row],[Battery (Discharging) -  MW]]</f>
        <v>-51.93</v>
      </c>
      <c r="AB32" s="48">
        <f>general_price[[#This Row],[Pumps -  MW]]+general_price[[#This Row],[Hydro -  MW]]</f>
        <v>146.91999999999999</v>
      </c>
    </row>
    <row r="33" spans="1:35">
      <c r="A33" s="13">
        <v>45850.166666666664</v>
      </c>
      <c r="B33" s="14">
        <v>-30.81</v>
      </c>
      <c r="C33" s="15">
        <v>0</v>
      </c>
      <c r="D33" s="15">
        <v>-288.58999999999997</v>
      </c>
      <c r="E33" s="15">
        <v>550.07000000000005</v>
      </c>
      <c r="F33" s="15">
        <v>5208.9399999999996</v>
      </c>
      <c r="G33" s="15">
        <v>-1.29</v>
      </c>
      <c r="H33" s="15">
        <v>199</v>
      </c>
      <c r="I33" s="15">
        <v>43.36</v>
      </c>
      <c r="J33" s="15">
        <v>0.73</v>
      </c>
      <c r="K33" s="15">
        <v>151.85</v>
      </c>
      <c r="L33" s="15">
        <v>1509.53</v>
      </c>
      <c r="M33" s="15">
        <v>0.02</v>
      </c>
      <c r="N33" s="15">
        <v>0</v>
      </c>
      <c r="O33" s="15">
        <v>12.8</v>
      </c>
      <c r="P33" s="15">
        <v>98.12</v>
      </c>
      <c r="Q33" s="15">
        <v>184.56</v>
      </c>
      <c r="R33" s="15">
        <v>2372.3200000000002</v>
      </c>
      <c r="S33" s="15">
        <v>0.45</v>
      </c>
      <c r="T33" s="15">
        <v>36.99</v>
      </c>
      <c r="U33" s="15">
        <v>13.05</v>
      </c>
      <c r="V33" s="15">
        <v>659.92</v>
      </c>
      <c r="W33" s="16">
        <v>84.85</v>
      </c>
      <c r="X33" s="31">
        <f>MOD(general_price[[#This Row],[date]], 1)</f>
        <v>0.16666666666424135</v>
      </c>
      <c r="Y33" s="25" t="str">
        <f t="shared" si="0"/>
        <v/>
      </c>
      <c r="Z33" s="22">
        <v>0</v>
      </c>
      <c r="AA33" s="48">
        <f>general_price[[#This Row],[Battery (Charging) -  MW]]+general_price[[#This Row],[Battery (Discharging) -  MW]]</f>
        <v>-30.08</v>
      </c>
      <c r="AB33" s="48">
        <f>general_price[[#This Row],[Pumps -  MW]]+general_price[[#This Row],[Hydro -  MW]]</f>
        <v>151.85</v>
      </c>
      <c r="AI33" s="6"/>
    </row>
    <row r="34" spans="1:35">
      <c r="A34" s="13">
        <v>45850.1875</v>
      </c>
      <c r="B34" s="14">
        <v>-3.04</v>
      </c>
      <c r="C34" s="15">
        <v>0</v>
      </c>
      <c r="D34" s="15">
        <v>-146.09</v>
      </c>
      <c r="E34" s="15">
        <v>717.55</v>
      </c>
      <c r="F34" s="15">
        <v>4885.05</v>
      </c>
      <c r="G34" s="15">
        <v>-0.95</v>
      </c>
      <c r="H34" s="15">
        <v>208.33</v>
      </c>
      <c r="I34" s="15">
        <v>43.29</v>
      </c>
      <c r="J34" s="15">
        <v>1.2</v>
      </c>
      <c r="K34" s="15">
        <v>161.01</v>
      </c>
      <c r="L34" s="15">
        <v>1425.83</v>
      </c>
      <c r="M34" s="15">
        <v>0.02</v>
      </c>
      <c r="N34" s="15">
        <v>0</v>
      </c>
      <c r="O34" s="15">
        <v>12.66</v>
      </c>
      <c r="P34" s="15">
        <v>49.5</v>
      </c>
      <c r="Q34" s="15">
        <v>243.84</v>
      </c>
      <c r="R34" s="15">
        <v>2227.9499999999998</v>
      </c>
      <c r="S34" s="15">
        <v>0.45</v>
      </c>
      <c r="T34" s="15">
        <v>38.729999999999997</v>
      </c>
      <c r="U34" s="15">
        <v>13.04</v>
      </c>
      <c r="V34" s="15">
        <v>625.37</v>
      </c>
      <c r="W34" s="16">
        <v>85.11</v>
      </c>
      <c r="X34" s="31">
        <f>MOD(general_price[[#This Row],[date]], 1)</f>
        <v>0.1875</v>
      </c>
      <c r="Y34" s="25" t="str">
        <f t="shared" si="0"/>
        <v/>
      </c>
      <c r="Z34" s="22">
        <v>0</v>
      </c>
      <c r="AA34" s="48">
        <f>general_price[[#This Row],[Battery (Charging) -  MW]]+general_price[[#This Row],[Battery (Discharging) -  MW]]</f>
        <v>-1.84</v>
      </c>
      <c r="AB34" s="48">
        <f>general_price[[#This Row],[Pumps -  MW]]+general_price[[#This Row],[Hydro -  MW]]</f>
        <v>161.01</v>
      </c>
    </row>
    <row r="35" spans="1:35">
      <c r="A35" s="13">
        <v>45850.208333333336</v>
      </c>
      <c r="B35" s="14">
        <v>-3.4</v>
      </c>
      <c r="C35" s="15">
        <v>0</v>
      </c>
      <c r="D35" s="15">
        <v>-30.49</v>
      </c>
      <c r="E35" s="15">
        <v>825.98</v>
      </c>
      <c r="F35" s="15">
        <v>4551.1000000000004</v>
      </c>
      <c r="G35" s="15">
        <v>-0.84</v>
      </c>
      <c r="H35" s="15">
        <v>258.33</v>
      </c>
      <c r="I35" s="15">
        <v>43.34</v>
      </c>
      <c r="J35" s="15">
        <v>5.23</v>
      </c>
      <c r="K35" s="15">
        <v>165.47</v>
      </c>
      <c r="L35" s="15">
        <v>1482.43</v>
      </c>
      <c r="M35" s="15">
        <v>0.02</v>
      </c>
      <c r="N35" s="15">
        <v>0</v>
      </c>
      <c r="O35" s="15">
        <v>12.87</v>
      </c>
      <c r="P35" s="15">
        <v>10.050000000000001</v>
      </c>
      <c r="Q35" s="15">
        <v>283.58</v>
      </c>
      <c r="R35" s="15">
        <v>2078.98</v>
      </c>
      <c r="S35" s="15">
        <v>0.44</v>
      </c>
      <c r="T35" s="15">
        <v>48.02</v>
      </c>
      <c r="U35" s="15">
        <v>13.25</v>
      </c>
      <c r="V35" s="15">
        <v>586.72</v>
      </c>
      <c r="W35" s="16">
        <v>84.85</v>
      </c>
      <c r="X35" s="31">
        <f>MOD(general_price[[#This Row],[date]], 1)</f>
        <v>0.20833333333575865</v>
      </c>
      <c r="Y35" s="25" t="str">
        <f t="shared" si="0"/>
        <v/>
      </c>
      <c r="Z35" s="22">
        <v>0</v>
      </c>
      <c r="AA35" s="48">
        <f>general_price[[#This Row],[Battery (Charging) -  MW]]+general_price[[#This Row],[Battery (Discharging) -  MW]]</f>
        <v>1.8300000000000005</v>
      </c>
      <c r="AB35" s="48">
        <f>general_price[[#This Row],[Pumps -  MW]]+general_price[[#This Row],[Hydro -  MW]]</f>
        <v>165.47</v>
      </c>
    </row>
    <row r="36" spans="1:35">
      <c r="A36" s="13">
        <v>45850.229166666664</v>
      </c>
      <c r="B36" s="14">
        <v>-3.83</v>
      </c>
      <c r="C36" s="15">
        <v>0</v>
      </c>
      <c r="D36" s="15">
        <v>0</v>
      </c>
      <c r="E36" s="15">
        <v>913.24</v>
      </c>
      <c r="F36" s="15">
        <v>4439.37</v>
      </c>
      <c r="G36" s="15">
        <v>-1.22</v>
      </c>
      <c r="H36" s="15">
        <v>308</v>
      </c>
      <c r="I36" s="15">
        <v>188.84</v>
      </c>
      <c r="J36" s="15">
        <v>5.26</v>
      </c>
      <c r="K36" s="15">
        <v>246.49</v>
      </c>
      <c r="L36" s="15">
        <v>1371.53</v>
      </c>
      <c r="M36" s="15">
        <v>0.02</v>
      </c>
      <c r="N36" s="15">
        <v>0</v>
      </c>
      <c r="O36" s="15">
        <v>13.03</v>
      </c>
      <c r="P36" s="15">
        <v>0</v>
      </c>
      <c r="Q36" s="15">
        <v>322.3</v>
      </c>
      <c r="R36" s="15">
        <v>2029.17</v>
      </c>
      <c r="S36" s="15">
        <v>0.45</v>
      </c>
      <c r="T36" s="15">
        <v>57.26</v>
      </c>
      <c r="U36" s="15">
        <v>54.27</v>
      </c>
      <c r="V36" s="15">
        <v>573.44000000000005</v>
      </c>
      <c r="W36" s="16">
        <v>91.72</v>
      </c>
      <c r="X36" s="31">
        <f>MOD(general_price[[#This Row],[date]], 1)</f>
        <v>0.22916666666424135</v>
      </c>
      <c r="Y36" s="25" t="str">
        <f t="shared" si="0"/>
        <v/>
      </c>
      <c r="Z36" s="22">
        <v>0</v>
      </c>
      <c r="AA36" s="48">
        <f>general_price[[#This Row],[Battery (Charging) -  MW]]+general_price[[#This Row],[Battery (Discharging) -  MW]]</f>
        <v>1.4299999999999997</v>
      </c>
      <c r="AB36" s="48">
        <f>general_price[[#This Row],[Pumps -  MW]]+general_price[[#This Row],[Hydro -  MW]]</f>
        <v>246.49</v>
      </c>
    </row>
    <row r="37" spans="1:35">
      <c r="A37" s="13">
        <v>45850.25</v>
      </c>
      <c r="B37" s="14">
        <v>-2.94</v>
      </c>
      <c r="C37" s="15">
        <v>0</v>
      </c>
      <c r="D37" s="15">
        <v>-9.35</v>
      </c>
      <c r="E37" s="15">
        <v>777.94</v>
      </c>
      <c r="F37" s="15">
        <v>4467.91</v>
      </c>
      <c r="G37" s="15">
        <v>-1.65</v>
      </c>
      <c r="H37" s="15">
        <v>442.17</v>
      </c>
      <c r="I37" s="15">
        <v>276.87</v>
      </c>
      <c r="J37" s="15">
        <v>7.77</v>
      </c>
      <c r="K37" s="15">
        <v>455.65</v>
      </c>
      <c r="L37" s="15">
        <v>1262.98</v>
      </c>
      <c r="M37" s="15">
        <v>0.02</v>
      </c>
      <c r="N37" s="15">
        <v>0</v>
      </c>
      <c r="O37" s="15">
        <v>12.64</v>
      </c>
      <c r="P37" s="15">
        <v>2.93</v>
      </c>
      <c r="Q37" s="15">
        <v>269.42</v>
      </c>
      <c r="R37" s="15">
        <v>2041.81</v>
      </c>
      <c r="S37" s="15">
        <v>0.44</v>
      </c>
      <c r="T37" s="15">
        <v>82.2</v>
      </c>
      <c r="U37" s="15">
        <v>78.930000000000007</v>
      </c>
      <c r="V37" s="15">
        <v>573.99</v>
      </c>
      <c r="W37" s="16">
        <v>96.72</v>
      </c>
      <c r="X37" s="31">
        <f>MOD(general_price[[#This Row],[date]], 1)</f>
        <v>0.25</v>
      </c>
      <c r="Y37" s="25" t="str">
        <f t="shared" si="0"/>
        <v/>
      </c>
      <c r="Z37" s="22">
        <v>0</v>
      </c>
      <c r="AA37" s="48">
        <f>general_price[[#This Row],[Battery (Charging) -  MW]]+general_price[[#This Row],[Battery (Discharging) -  MW]]</f>
        <v>4.83</v>
      </c>
      <c r="AB37" s="48">
        <f>general_price[[#This Row],[Pumps -  MW]]+general_price[[#This Row],[Hydro -  MW]]</f>
        <v>455.65</v>
      </c>
    </row>
    <row r="38" spans="1:35">
      <c r="A38" s="13">
        <v>45850.270833333336</v>
      </c>
      <c r="B38" s="14">
        <v>-4.3</v>
      </c>
      <c r="C38" s="15">
        <v>0</v>
      </c>
      <c r="D38" s="15">
        <v>-35.47</v>
      </c>
      <c r="E38" s="15">
        <v>683.95</v>
      </c>
      <c r="F38" s="15">
        <v>4683.13</v>
      </c>
      <c r="G38" s="15">
        <v>-0.77</v>
      </c>
      <c r="H38" s="15">
        <v>444.67</v>
      </c>
      <c r="I38" s="15">
        <v>366.33</v>
      </c>
      <c r="J38" s="15">
        <v>113.87</v>
      </c>
      <c r="K38" s="15">
        <v>576.05999999999995</v>
      </c>
      <c r="L38" s="15">
        <v>1211.46</v>
      </c>
      <c r="M38" s="15">
        <v>0.02</v>
      </c>
      <c r="N38" s="15">
        <v>0.12</v>
      </c>
      <c r="O38" s="15">
        <v>11.38</v>
      </c>
      <c r="P38" s="15">
        <v>11.11</v>
      </c>
      <c r="Q38" s="15">
        <v>238.33</v>
      </c>
      <c r="R38" s="15">
        <v>2137.79</v>
      </c>
      <c r="S38" s="15">
        <v>0.45</v>
      </c>
      <c r="T38" s="15">
        <v>82.66</v>
      </c>
      <c r="U38" s="15">
        <v>104.16</v>
      </c>
      <c r="V38" s="15">
        <v>578.44000000000005</v>
      </c>
      <c r="W38" s="16">
        <v>108.08</v>
      </c>
      <c r="X38" s="31">
        <f>MOD(general_price[[#This Row],[date]], 1)</f>
        <v>0.27083333333575865</v>
      </c>
      <c r="Y38" s="25" t="str">
        <f t="shared" si="0"/>
        <v/>
      </c>
      <c r="Z38" s="22">
        <v>0</v>
      </c>
      <c r="AA38" s="48">
        <f>general_price[[#This Row],[Battery (Charging) -  MW]]+general_price[[#This Row],[Battery (Discharging) -  MW]]</f>
        <v>109.57000000000001</v>
      </c>
      <c r="AB38" s="48">
        <f>general_price[[#This Row],[Pumps -  MW]]+general_price[[#This Row],[Hydro -  MW]]</f>
        <v>576.05999999999995</v>
      </c>
    </row>
    <row r="39" spans="1:35">
      <c r="A39" s="13">
        <v>45850.291666666664</v>
      </c>
      <c r="B39" s="14">
        <v>-3.38</v>
      </c>
      <c r="C39" s="15">
        <v>0</v>
      </c>
      <c r="D39" s="15">
        <v>-4.84</v>
      </c>
      <c r="E39" s="15">
        <v>648.62</v>
      </c>
      <c r="F39" s="15">
        <v>4935.49</v>
      </c>
      <c r="G39" s="15">
        <v>-0.84</v>
      </c>
      <c r="H39" s="15">
        <v>445.83</v>
      </c>
      <c r="I39" s="15">
        <v>398.12</v>
      </c>
      <c r="J39" s="15">
        <v>144.33000000000001</v>
      </c>
      <c r="K39" s="15">
        <v>649.33000000000004</v>
      </c>
      <c r="L39" s="15">
        <v>1196.57</v>
      </c>
      <c r="M39" s="15">
        <v>3.98</v>
      </c>
      <c r="N39" s="15">
        <v>7.55</v>
      </c>
      <c r="O39" s="15">
        <v>10.46</v>
      </c>
      <c r="P39" s="15">
        <v>1.52</v>
      </c>
      <c r="Q39" s="15">
        <v>226.75</v>
      </c>
      <c r="R39" s="15">
        <v>2250.38</v>
      </c>
      <c r="S39" s="15">
        <v>0.45</v>
      </c>
      <c r="T39" s="15">
        <v>82.88</v>
      </c>
      <c r="U39" s="15">
        <v>113.31</v>
      </c>
      <c r="V39" s="15">
        <v>581.19000000000005</v>
      </c>
      <c r="W39" s="16">
        <v>138.79</v>
      </c>
      <c r="X39" s="31">
        <f>MOD(general_price[[#This Row],[date]], 1)</f>
        <v>0.29166666666424135</v>
      </c>
      <c r="Y39" s="25" t="str">
        <f t="shared" si="0"/>
        <v/>
      </c>
      <c r="Z39" s="22">
        <v>0</v>
      </c>
      <c r="AA39" s="48">
        <f>general_price[[#This Row],[Battery (Charging) -  MW]]+general_price[[#This Row],[Battery (Discharging) -  MW]]</f>
        <v>140.95000000000002</v>
      </c>
      <c r="AB39" s="48">
        <f>general_price[[#This Row],[Pumps -  MW]]+general_price[[#This Row],[Hydro -  MW]]</f>
        <v>649.33000000000004</v>
      </c>
    </row>
    <row r="40" spans="1:35">
      <c r="A40" s="13">
        <v>45850.3125</v>
      </c>
      <c r="B40" s="14">
        <v>-3.76</v>
      </c>
      <c r="C40" s="15">
        <v>0</v>
      </c>
      <c r="D40" s="15">
        <v>-198.95</v>
      </c>
      <c r="E40" s="15">
        <v>975.45</v>
      </c>
      <c r="F40" s="15">
        <v>5117.78</v>
      </c>
      <c r="G40" s="15">
        <v>-0.57999999999999996</v>
      </c>
      <c r="H40" s="15">
        <v>444.83</v>
      </c>
      <c r="I40" s="15">
        <v>470.75</v>
      </c>
      <c r="J40" s="15">
        <v>142.56</v>
      </c>
      <c r="K40" s="15">
        <v>674.62</v>
      </c>
      <c r="L40" s="15">
        <v>1088.75</v>
      </c>
      <c r="M40" s="15">
        <v>106.34</v>
      </c>
      <c r="N40" s="15">
        <v>90.41</v>
      </c>
      <c r="O40" s="15">
        <v>10.42</v>
      </c>
      <c r="P40" s="15">
        <v>62.75</v>
      </c>
      <c r="Q40" s="15">
        <v>317.48</v>
      </c>
      <c r="R40" s="15">
        <v>2331.67</v>
      </c>
      <c r="S40" s="15">
        <v>0.45</v>
      </c>
      <c r="T40" s="15">
        <v>82.69</v>
      </c>
      <c r="U40" s="15">
        <v>133.62</v>
      </c>
      <c r="V40" s="15">
        <v>572.15</v>
      </c>
      <c r="W40" s="16">
        <v>144.01</v>
      </c>
      <c r="X40" s="31">
        <f>MOD(general_price[[#This Row],[date]], 1)</f>
        <v>0.3125</v>
      </c>
      <c r="Y40" s="25" t="str">
        <f t="shared" si="0"/>
        <v/>
      </c>
      <c r="Z40" s="22">
        <v>0</v>
      </c>
      <c r="AA40" s="48">
        <f>general_price[[#This Row],[Battery (Charging) -  MW]]+general_price[[#This Row],[Battery (Discharging) -  MW]]</f>
        <v>138.80000000000001</v>
      </c>
      <c r="AB40" s="48">
        <f>general_price[[#This Row],[Pumps -  MW]]+general_price[[#This Row],[Hydro -  MW]]</f>
        <v>674.62</v>
      </c>
    </row>
    <row r="41" spans="1:35">
      <c r="A41" s="13">
        <v>45850.333333333336</v>
      </c>
      <c r="B41" s="14">
        <v>-4.1900000000000004</v>
      </c>
      <c r="C41" s="15">
        <v>0</v>
      </c>
      <c r="D41" s="15">
        <v>-658.99</v>
      </c>
      <c r="E41" s="15">
        <v>1201.9000000000001</v>
      </c>
      <c r="F41" s="15">
        <v>5303.66</v>
      </c>
      <c r="G41" s="15">
        <v>-0.16</v>
      </c>
      <c r="H41" s="15">
        <v>443.83</v>
      </c>
      <c r="I41" s="15">
        <v>526.64</v>
      </c>
      <c r="J41" s="15">
        <v>58.45</v>
      </c>
      <c r="K41" s="15">
        <v>649.25</v>
      </c>
      <c r="L41" s="15">
        <v>1027.05</v>
      </c>
      <c r="M41" s="15">
        <v>454.44</v>
      </c>
      <c r="N41" s="15">
        <v>375.8</v>
      </c>
      <c r="O41" s="15">
        <v>10.81</v>
      </c>
      <c r="P41" s="15">
        <v>205.13</v>
      </c>
      <c r="Q41" s="15">
        <v>342.57</v>
      </c>
      <c r="R41" s="15">
        <v>2413.5500000000002</v>
      </c>
      <c r="S41" s="15">
        <v>0.45</v>
      </c>
      <c r="T41" s="15">
        <v>82.51</v>
      </c>
      <c r="U41" s="15">
        <v>149.4</v>
      </c>
      <c r="V41" s="15">
        <v>564.29999999999995</v>
      </c>
      <c r="W41" s="16">
        <v>178</v>
      </c>
      <c r="X41" s="31">
        <f>MOD(general_price[[#This Row],[date]], 1)</f>
        <v>0.33333333333575865</v>
      </c>
      <c r="Y41" s="25" t="str">
        <f t="shared" si="0"/>
        <v/>
      </c>
      <c r="Z41" s="22">
        <v>0</v>
      </c>
      <c r="AA41" s="48">
        <f>general_price[[#This Row],[Battery (Charging) -  MW]]+general_price[[#This Row],[Battery (Discharging) -  MW]]</f>
        <v>54.260000000000005</v>
      </c>
      <c r="AB41" s="48">
        <f>general_price[[#This Row],[Pumps -  MW]]+general_price[[#This Row],[Hydro -  MW]]</f>
        <v>649.25</v>
      </c>
    </row>
    <row r="42" spans="1:35">
      <c r="A42" s="13">
        <v>45850.354166666664</v>
      </c>
      <c r="B42" s="14">
        <v>-9.08</v>
      </c>
      <c r="C42" s="15">
        <v>0</v>
      </c>
      <c r="D42" s="15">
        <v>-805</v>
      </c>
      <c r="E42" s="15">
        <v>1010.35</v>
      </c>
      <c r="F42" s="15">
        <v>5316.74</v>
      </c>
      <c r="G42" s="15">
        <v>-0.73</v>
      </c>
      <c r="H42" s="15">
        <v>429.67</v>
      </c>
      <c r="I42" s="15">
        <v>443.49</v>
      </c>
      <c r="J42" s="15">
        <v>21.3</v>
      </c>
      <c r="K42" s="15">
        <v>506.13</v>
      </c>
      <c r="L42" s="15">
        <v>922.26</v>
      </c>
      <c r="M42" s="15">
        <v>982.56</v>
      </c>
      <c r="N42" s="15">
        <v>830.33</v>
      </c>
      <c r="O42" s="15">
        <v>11.73</v>
      </c>
      <c r="P42" s="15">
        <v>244.03</v>
      </c>
      <c r="Q42" s="15">
        <v>243.23</v>
      </c>
      <c r="R42" s="15">
        <v>2416.84</v>
      </c>
      <c r="S42" s="15">
        <v>0.44</v>
      </c>
      <c r="T42" s="15">
        <v>79.88</v>
      </c>
      <c r="U42" s="15">
        <v>125.96</v>
      </c>
      <c r="V42" s="15">
        <v>543.76</v>
      </c>
      <c r="W42" s="16">
        <v>127.56</v>
      </c>
      <c r="X42" s="31">
        <f>MOD(general_price[[#This Row],[date]], 1)</f>
        <v>0.35416666666424135</v>
      </c>
      <c r="Y42" s="25" t="str">
        <f t="shared" si="0"/>
        <v/>
      </c>
      <c r="Z42" s="22">
        <v>0</v>
      </c>
      <c r="AA42" s="48">
        <f>general_price[[#This Row],[Battery (Charging) -  MW]]+general_price[[#This Row],[Battery (Discharging) -  MW]]</f>
        <v>12.22</v>
      </c>
      <c r="AB42" s="48">
        <f>general_price[[#This Row],[Pumps -  MW]]+general_price[[#This Row],[Hydro -  MW]]</f>
        <v>506.13</v>
      </c>
    </row>
    <row r="43" spans="1:35">
      <c r="A43" s="13">
        <v>45850.375</v>
      </c>
      <c r="B43" s="14">
        <v>-10</v>
      </c>
      <c r="C43" s="15">
        <v>0</v>
      </c>
      <c r="D43" s="15">
        <v>-805.21</v>
      </c>
      <c r="E43" s="15">
        <v>894.28</v>
      </c>
      <c r="F43" s="15">
        <v>4978.33</v>
      </c>
      <c r="G43" s="15">
        <v>-0.99</v>
      </c>
      <c r="H43" s="15">
        <v>240</v>
      </c>
      <c r="I43" s="15">
        <v>272.06</v>
      </c>
      <c r="J43" s="15">
        <v>2.87</v>
      </c>
      <c r="K43" s="15">
        <v>251.97</v>
      </c>
      <c r="L43" s="15">
        <v>928.76</v>
      </c>
      <c r="M43" s="15">
        <v>1604.72</v>
      </c>
      <c r="N43" s="15">
        <v>1368.94</v>
      </c>
      <c r="O43" s="15">
        <v>13.64</v>
      </c>
      <c r="P43" s="15">
        <v>231.29</v>
      </c>
      <c r="Q43" s="15">
        <v>197.97</v>
      </c>
      <c r="R43" s="15">
        <v>2261.91</v>
      </c>
      <c r="S43" s="15">
        <v>0.44</v>
      </c>
      <c r="T43" s="15">
        <v>44.62</v>
      </c>
      <c r="U43" s="15">
        <v>77.61</v>
      </c>
      <c r="V43" s="15">
        <v>490.36</v>
      </c>
      <c r="W43" s="16">
        <v>100.01</v>
      </c>
      <c r="X43" s="31">
        <f>MOD(general_price[[#This Row],[date]], 1)</f>
        <v>0.375</v>
      </c>
      <c r="Y43" s="25" t="str">
        <f t="shared" si="0"/>
        <v/>
      </c>
      <c r="Z43" s="22">
        <v>0</v>
      </c>
      <c r="AA43" s="48">
        <f>general_price[[#This Row],[Battery (Charging) -  MW]]+general_price[[#This Row],[Battery (Discharging) -  MW]]</f>
        <v>-7.13</v>
      </c>
      <c r="AB43" s="48">
        <f>general_price[[#This Row],[Pumps -  MW]]+general_price[[#This Row],[Hydro -  MW]]</f>
        <v>251.97</v>
      </c>
    </row>
    <row r="44" spans="1:35">
      <c r="A44" s="13">
        <v>45850.395833333336</v>
      </c>
      <c r="B44" s="14">
        <v>-8.0299999999999994</v>
      </c>
      <c r="C44" s="15">
        <v>0</v>
      </c>
      <c r="D44" s="15">
        <v>-824.64</v>
      </c>
      <c r="E44" s="15">
        <v>897.83</v>
      </c>
      <c r="F44" s="15">
        <v>4610.5200000000004</v>
      </c>
      <c r="G44" s="15">
        <v>-1.86</v>
      </c>
      <c r="H44" s="15">
        <v>6.33</v>
      </c>
      <c r="I44" s="15">
        <v>138.19999999999999</v>
      </c>
      <c r="J44" s="15">
        <v>14.61</v>
      </c>
      <c r="K44" s="15">
        <v>162.88</v>
      </c>
      <c r="L44" s="15">
        <v>954.13</v>
      </c>
      <c r="M44" s="15">
        <v>1895.65</v>
      </c>
      <c r="N44" s="15">
        <v>1912.81</v>
      </c>
      <c r="O44" s="15">
        <v>15.05</v>
      </c>
      <c r="P44" s="15">
        <v>224.62</v>
      </c>
      <c r="Q44" s="15">
        <v>201.87</v>
      </c>
      <c r="R44" s="15">
        <v>2089.54</v>
      </c>
      <c r="S44" s="15">
        <v>0.43</v>
      </c>
      <c r="T44" s="15">
        <v>1.18</v>
      </c>
      <c r="U44" s="15">
        <v>39.85</v>
      </c>
      <c r="V44" s="15">
        <v>436.75</v>
      </c>
      <c r="W44" s="16">
        <v>100.01</v>
      </c>
      <c r="X44" s="31">
        <f>MOD(general_price[[#This Row],[date]], 1)</f>
        <v>0.39583333333575865</v>
      </c>
      <c r="Y44" s="25" t="str">
        <f t="shared" si="0"/>
        <v/>
      </c>
      <c r="Z44" s="22">
        <v>0</v>
      </c>
      <c r="AA44" s="48">
        <f>general_price[[#This Row],[Battery (Charging) -  MW]]+general_price[[#This Row],[Battery (Discharging) -  MW]]</f>
        <v>6.58</v>
      </c>
      <c r="AB44" s="48">
        <f>general_price[[#This Row],[Pumps -  MW]]+general_price[[#This Row],[Hydro -  MW]]</f>
        <v>162.88</v>
      </c>
    </row>
    <row r="45" spans="1:35">
      <c r="A45" s="13">
        <v>45850.416666666664</v>
      </c>
      <c r="B45" s="14">
        <v>-106.11</v>
      </c>
      <c r="C45" s="15">
        <v>0</v>
      </c>
      <c r="D45" s="15">
        <v>-811.29</v>
      </c>
      <c r="E45" s="15">
        <v>826.34</v>
      </c>
      <c r="F45" s="15">
        <v>4159.3</v>
      </c>
      <c r="G45" s="15">
        <v>-4.28</v>
      </c>
      <c r="H45" s="15">
        <v>0</v>
      </c>
      <c r="I45" s="15">
        <v>44.13</v>
      </c>
      <c r="J45" s="15">
        <v>4.43</v>
      </c>
      <c r="K45" s="15">
        <v>22.68</v>
      </c>
      <c r="L45" s="15">
        <v>950.09</v>
      </c>
      <c r="M45" s="15">
        <v>2152.4499999999998</v>
      </c>
      <c r="N45" s="15">
        <v>2415.17</v>
      </c>
      <c r="O45" s="15">
        <v>15.92</v>
      </c>
      <c r="P45" s="15">
        <v>209.28</v>
      </c>
      <c r="Q45" s="15">
        <v>199.9</v>
      </c>
      <c r="R45" s="15">
        <v>1881.84</v>
      </c>
      <c r="S45" s="15">
        <v>0.38</v>
      </c>
      <c r="T45" s="15">
        <v>0</v>
      </c>
      <c r="U45" s="15">
        <v>13.29</v>
      </c>
      <c r="V45" s="15">
        <v>392.73</v>
      </c>
      <c r="W45" s="16">
        <v>84.85</v>
      </c>
      <c r="X45" s="31">
        <f>MOD(general_price[[#This Row],[date]], 1)</f>
        <v>0.41666666666424135</v>
      </c>
      <c r="Y45" s="25" t="str">
        <f t="shared" si="0"/>
        <v/>
      </c>
      <c r="Z45" s="22">
        <v>0</v>
      </c>
      <c r="AA45" s="48">
        <f>general_price[[#This Row],[Battery (Charging) -  MW]]+general_price[[#This Row],[Battery (Discharging) -  MW]]</f>
        <v>-101.68</v>
      </c>
      <c r="AB45" s="48">
        <f>general_price[[#This Row],[Pumps -  MW]]+general_price[[#This Row],[Hydro -  MW]]</f>
        <v>22.68</v>
      </c>
    </row>
    <row r="46" spans="1:35">
      <c r="A46" s="13">
        <v>45850.4375</v>
      </c>
      <c r="B46" s="14">
        <v>-201.76</v>
      </c>
      <c r="C46" s="15">
        <v>0</v>
      </c>
      <c r="D46" s="15">
        <v>-738.74</v>
      </c>
      <c r="E46" s="15">
        <v>799.83</v>
      </c>
      <c r="F46" s="15">
        <v>3605.46</v>
      </c>
      <c r="G46" s="15">
        <v>-5.28</v>
      </c>
      <c r="H46" s="15">
        <v>0</v>
      </c>
      <c r="I46" s="15">
        <v>41.45</v>
      </c>
      <c r="J46" s="15">
        <v>0.02</v>
      </c>
      <c r="K46" s="15">
        <v>0</v>
      </c>
      <c r="L46" s="15">
        <v>940.09</v>
      </c>
      <c r="M46" s="15">
        <v>2357.34</v>
      </c>
      <c r="N46" s="15">
        <v>2838.32</v>
      </c>
      <c r="O46" s="15">
        <v>16.559999999999999</v>
      </c>
      <c r="P46" s="15">
        <v>174.67</v>
      </c>
      <c r="Q46" s="15">
        <v>199.5</v>
      </c>
      <c r="R46" s="15">
        <v>1631.61</v>
      </c>
      <c r="S46" s="15">
        <v>0.36</v>
      </c>
      <c r="T46" s="15">
        <v>0</v>
      </c>
      <c r="U46" s="15">
        <v>12.48</v>
      </c>
      <c r="V46" s="15">
        <v>341.29</v>
      </c>
      <c r="W46" s="16">
        <v>8.01</v>
      </c>
      <c r="X46" s="31">
        <f>MOD(general_price[[#This Row],[date]], 1)</f>
        <v>0.4375</v>
      </c>
      <c r="Y46" s="25" t="str">
        <f t="shared" si="0"/>
        <v/>
      </c>
      <c r="Z46" s="22">
        <v>0</v>
      </c>
      <c r="AA46" s="48">
        <f>general_price[[#This Row],[Battery (Charging) -  MW]]+general_price[[#This Row],[Battery (Discharging) -  MW]]</f>
        <v>-201.73999999999998</v>
      </c>
      <c r="AB46" s="48">
        <f>general_price[[#This Row],[Pumps -  MW]]+general_price[[#This Row],[Hydro -  MW]]</f>
        <v>0</v>
      </c>
    </row>
    <row r="47" spans="1:35">
      <c r="A47" s="13">
        <v>45850.458333333336</v>
      </c>
      <c r="B47" s="14">
        <v>-318.83</v>
      </c>
      <c r="C47" s="15">
        <v>-83.29</v>
      </c>
      <c r="D47" s="15">
        <v>-644.01</v>
      </c>
      <c r="E47" s="15">
        <v>803.56</v>
      </c>
      <c r="F47" s="15">
        <v>3174.08</v>
      </c>
      <c r="G47" s="15">
        <v>-2.37</v>
      </c>
      <c r="H47" s="15">
        <v>0</v>
      </c>
      <c r="I47" s="15">
        <v>45.3</v>
      </c>
      <c r="J47" s="15">
        <v>0</v>
      </c>
      <c r="K47" s="15">
        <v>0</v>
      </c>
      <c r="L47" s="15">
        <v>934</v>
      </c>
      <c r="M47" s="15">
        <v>2465.61</v>
      </c>
      <c r="N47" s="15">
        <v>3144.54</v>
      </c>
      <c r="O47" s="15">
        <v>17.190000000000001</v>
      </c>
      <c r="P47" s="15">
        <v>138.74</v>
      </c>
      <c r="Q47" s="15">
        <v>206.31</v>
      </c>
      <c r="R47" s="15">
        <v>1436.88</v>
      </c>
      <c r="S47" s="15">
        <v>0.38</v>
      </c>
      <c r="T47" s="15">
        <v>0</v>
      </c>
      <c r="U47" s="15">
        <v>13.64</v>
      </c>
      <c r="V47" s="15">
        <v>304.85000000000002</v>
      </c>
      <c r="W47" s="16">
        <v>5</v>
      </c>
      <c r="X47" s="31">
        <f>MOD(general_price[[#This Row],[date]], 1)</f>
        <v>0.45833333333575865</v>
      </c>
      <c r="Y47" s="25" t="str">
        <f t="shared" si="0"/>
        <v/>
      </c>
      <c r="Z47" s="22">
        <v>0</v>
      </c>
      <c r="AA47" s="48">
        <f>general_price[[#This Row],[Battery (Charging) -  MW]]+general_price[[#This Row],[Battery (Discharging) -  MW]]</f>
        <v>-318.83</v>
      </c>
      <c r="AB47" s="48">
        <f>general_price[[#This Row],[Pumps -  MW]]+general_price[[#This Row],[Hydro -  MW]]</f>
        <v>-83.29</v>
      </c>
    </row>
    <row r="48" spans="1:35">
      <c r="A48" s="13">
        <v>45850.479166666664</v>
      </c>
      <c r="B48" s="14">
        <v>-358.97</v>
      </c>
      <c r="C48" s="15">
        <v>-285.31</v>
      </c>
      <c r="D48" s="15">
        <v>-730.81</v>
      </c>
      <c r="E48" s="15">
        <v>783.73</v>
      </c>
      <c r="F48" s="15">
        <v>3001.72</v>
      </c>
      <c r="G48" s="15">
        <v>1.53</v>
      </c>
      <c r="H48" s="15">
        <v>0</v>
      </c>
      <c r="I48" s="15">
        <v>44.94</v>
      </c>
      <c r="J48" s="15">
        <v>0.54</v>
      </c>
      <c r="K48" s="15">
        <v>0</v>
      </c>
      <c r="L48" s="15">
        <v>990.65</v>
      </c>
      <c r="M48" s="15">
        <v>2647.82</v>
      </c>
      <c r="N48" s="15">
        <v>3349.84</v>
      </c>
      <c r="O48" s="15">
        <v>17.43</v>
      </c>
      <c r="P48" s="15">
        <v>143.4</v>
      </c>
      <c r="Q48" s="15">
        <v>205.2</v>
      </c>
      <c r="R48" s="15">
        <v>1359.24</v>
      </c>
      <c r="S48" s="15">
        <v>0.37</v>
      </c>
      <c r="T48" s="15">
        <v>0</v>
      </c>
      <c r="U48" s="15">
        <v>13.53</v>
      </c>
      <c r="V48" s="15">
        <v>290.74</v>
      </c>
      <c r="W48" s="16">
        <v>-8.9499999999999993</v>
      </c>
      <c r="X48" s="31">
        <f>MOD(general_price[[#This Row],[date]], 1)</f>
        <v>0.47916666666424135</v>
      </c>
      <c r="Y48" s="25" t="str">
        <f t="shared" si="0"/>
        <v/>
      </c>
      <c r="Z48" s="22">
        <v>0</v>
      </c>
      <c r="AA48" s="48">
        <f>general_price[[#This Row],[Battery (Charging) -  MW]]+general_price[[#This Row],[Battery (Discharging) -  MW]]</f>
        <v>-358.43</v>
      </c>
      <c r="AB48" s="48">
        <f>general_price[[#This Row],[Pumps -  MW]]+general_price[[#This Row],[Hydro -  MW]]</f>
        <v>-285.31</v>
      </c>
    </row>
    <row r="49" spans="1:28">
      <c r="A49" s="13">
        <v>45850.5</v>
      </c>
      <c r="B49" s="14">
        <v>-405.98</v>
      </c>
      <c r="C49" s="15">
        <v>-481.08</v>
      </c>
      <c r="D49" s="15">
        <v>-729.48</v>
      </c>
      <c r="E49" s="15">
        <v>765.53</v>
      </c>
      <c r="F49" s="15">
        <v>2956.86</v>
      </c>
      <c r="G49" s="15">
        <v>1.76</v>
      </c>
      <c r="H49" s="15">
        <v>0</v>
      </c>
      <c r="I49" s="15">
        <v>44.95</v>
      </c>
      <c r="J49" s="15">
        <v>0.08</v>
      </c>
      <c r="K49" s="15">
        <v>0</v>
      </c>
      <c r="L49" s="15">
        <v>997.2</v>
      </c>
      <c r="M49" s="15">
        <v>2598.02</v>
      </c>
      <c r="N49" s="15">
        <v>3470.55</v>
      </c>
      <c r="O49" s="15">
        <v>17.88</v>
      </c>
      <c r="P49" s="15">
        <v>139.05000000000001</v>
      </c>
      <c r="Q49" s="15">
        <v>214.96</v>
      </c>
      <c r="R49" s="15">
        <v>1340.31</v>
      </c>
      <c r="S49" s="15">
        <v>0.37</v>
      </c>
      <c r="T49" s="15">
        <v>0</v>
      </c>
      <c r="U49" s="15">
        <v>13.53</v>
      </c>
      <c r="V49" s="15">
        <v>293.8</v>
      </c>
      <c r="W49" s="16">
        <v>-14.01</v>
      </c>
      <c r="X49" s="31">
        <f>MOD(general_price[[#This Row],[date]], 1)</f>
        <v>0.5</v>
      </c>
      <c r="Y49" s="25" t="str">
        <f t="shared" si="0"/>
        <v/>
      </c>
      <c r="Z49" s="22">
        <v>0</v>
      </c>
      <c r="AA49" s="48">
        <f>general_price[[#This Row],[Battery (Charging) -  MW]]+general_price[[#This Row],[Battery (Discharging) -  MW]]</f>
        <v>-405.90000000000003</v>
      </c>
      <c r="AB49" s="48">
        <f>general_price[[#This Row],[Pumps -  MW]]+general_price[[#This Row],[Hydro -  MW]]</f>
        <v>-481.08</v>
      </c>
    </row>
    <row r="50" spans="1:28">
      <c r="A50" s="13">
        <v>45850.520833333336</v>
      </c>
      <c r="B50" s="14">
        <v>-345.19</v>
      </c>
      <c r="C50" s="15">
        <v>-658.89</v>
      </c>
      <c r="D50" s="15">
        <v>-558.66999999999996</v>
      </c>
      <c r="E50" s="15">
        <v>783.02</v>
      </c>
      <c r="F50" s="15">
        <v>2976.78</v>
      </c>
      <c r="G50" s="15">
        <v>2.52</v>
      </c>
      <c r="H50" s="15">
        <v>0</v>
      </c>
      <c r="I50" s="15">
        <v>44.78</v>
      </c>
      <c r="J50" s="15">
        <v>0.92</v>
      </c>
      <c r="K50" s="15">
        <v>0</v>
      </c>
      <c r="L50" s="15">
        <v>942.36</v>
      </c>
      <c r="M50" s="15">
        <v>2420.1799999999998</v>
      </c>
      <c r="N50" s="15">
        <v>3475.53</v>
      </c>
      <c r="O50" s="15">
        <v>18.57</v>
      </c>
      <c r="P50" s="15">
        <v>107.78</v>
      </c>
      <c r="Q50" s="15">
        <v>230.04</v>
      </c>
      <c r="R50" s="15">
        <v>1349.55</v>
      </c>
      <c r="S50" s="15">
        <v>0.38</v>
      </c>
      <c r="T50" s="15">
        <v>0</v>
      </c>
      <c r="U50" s="15">
        <v>13.48</v>
      </c>
      <c r="V50" s="15">
        <v>300.2</v>
      </c>
      <c r="W50" s="16">
        <v>-22.01</v>
      </c>
      <c r="X50" s="31">
        <f>MOD(general_price[[#This Row],[date]], 1)</f>
        <v>0.52083333333575865</v>
      </c>
      <c r="Y50" s="25" t="str">
        <f t="shared" si="0"/>
        <v/>
      </c>
      <c r="Z50" s="22">
        <v>0</v>
      </c>
      <c r="AA50" s="48">
        <f>general_price[[#This Row],[Battery (Charging) -  MW]]+general_price[[#This Row],[Battery (Discharging) -  MW]]</f>
        <v>-344.27</v>
      </c>
      <c r="AB50" s="48">
        <f>general_price[[#This Row],[Pumps -  MW]]+general_price[[#This Row],[Hydro -  MW]]</f>
        <v>-658.89</v>
      </c>
    </row>
    <row r="51" spans="1:28">
      <c r="A51" s="13">
        <v>45850.541666666664</v>
      </c>
      <c r="B51" s="14">
        <v>-267.83999999999997</v>
      </c>
      <c r="C51" s="15">
        <v>-660.31</v>
      </c>
      <c r="D51" s="15">
        <v>-493.76</v>
      </c>
      <c r="E51" s="15">
        <v>803.69</v>
      </c>
      <c r="F51" s="15">
        <v>2954.66</v>
      </c>
      <c r="G51" s="15">
        <v>8.02</v>
      </c>
      <c r="H51" s="15">
        <v>0</v>
      </c>
      <c r="I51" s="15">
        <v>44.91</v>
      </c>
      <c r="J51" s="15">
        <v>1.02</v>
      </c>
      <c r="K51" s="15">
        <v>0</v>
      </c>
      <c r="L51" s="15">
        <v>897.81</v>
      </c>
      <c r="M51" s="15">
        <v>2357.1799999999998</v>
      </c>
      <c r="N51" s="15">
        <v>3343.25</v>
      </c>
      <c r="O51" s="15">
        <v>18.78</v>
      </c>
      <c r="P51" s="15">
        <v>96.17</v>
      </c>
      <c r="Q51" s="15">
        <v>234.27</v>
      </c>
      <c r="R51" s="15">
        <v>1338.64</v>
      </c>
      <c r="S51" s="15">
        <v>0.37</v>
      </c>
      <c r="T51" s="15">
        <v>0</v>
      </c>
      <c r="U51" s="15">
        <v>13.52</v>
      </c>
      <c r="V51" s="15">
        <v>300.94</v>
      </c>
      <c r="W51" s="16">
        <v>-18</v>
      </c>
      <c r="X51" s="31">
        <f>MOD(general_price[[#This Row],[date]], 1)</f>
        <v>0.54166666666424135</v>
      </c>
      <c r="Y51" s="25" t="str">
        <f t="shared" si="0"/>
        <v/>
      </c>
      <c r="Z51" s="22">
        <v>0</v>
      </c>
      <c r="AA51" s="48">
        <f>general_price[[#This Row],[Battery (Charging) -  MW]]+general_price[[#This Row],[Battery (Discharging) -  MW]]</f>
        <v>-266.82</v>
      </c>
      <c r="AB51" s="48">
        <f>general_price[[#This Row],[Pumps -  MW]]+general_price[[#This Row],[Hydro -  MW]]</f>
        <v>-660.31</v>
      </c>
    </row>
    <row r="52" spans="1:28">
      <c r="A52" s="13">
        <v>45850.5625</v>
      </c>
      <c r="B52" s="14">
        <v>-223.94</v>
      </c>
      <c r="C52" s="15">
        <v>-659.22</v>
      </c>
      <c r="D52" s="15">
        <v>-525.74</v>
      </c>
      <c r="E52" s="15">
        <v>760.26</v>
      </c>
      <c r="F52" s="15">
        <v>2922.89</v>
      </c>
      <c r="G52" s="15">
        <v>8.64</v>
      </c>
      <c r="H52" s="15">
        <v>0</v>
      </c>
      <c r="I52" s="15">
        <v>38.96</v>
      </c>
      <c r="J52" s="15">
        <v>1.95</v>
      </c>
      <c r="K52" s="15">
        <v>0</v>
      </c>
      <c r="L52" s="15">
        <v>937.44</v>
      </c>
      <c r="M52" s="15">
        <v>2451.46</v>
      </c>
      <c r="N52" s="15">
        <v>3122.3</v>
      </c>
      <c r="O52" s="15">
        <v>18.75</v>
      </c>
      <c r="P52" s="15">
        <v>99.78</v>
      </c>
      <c r="Q52" s="15">
        <v>219.82</v>
      </c>
      <c r="R52" s="15">
        <v>1322.39</v>
      </c>
      <c r="S52" s="15">
        <v>0.36</v>
      </c>
      <c r="T52" s="15">
        <v>0</v>
      </c>
      <c r="U52" s="15">
        <v>11.73</v>
      </c>
      <c r="V52" s="15">
        <v>302.08999999999997</v>
      </c>
      <c r="W52" s="16">
        <v>-14.01</v>
      </c>
      <c r="X52" s="31">
        <f>MOD(general_price[[#This Row],[date]], 1)</f>
        <v>0.5625</v>
      </c>
      <c r="Y52" s="25" t="str">
        <f t="shared" si="0"/>
        <v/>
      </c>
      <c r="Z52" s="22">
        <v>0</v>
      </c>
      <c r="AA52" s="48">
        <f>general_price[[#This Row],[Battery (Charging) -  MW]]+general_price[[#This Row],[Battery (Discharging) -  MW]]</f>
        <v>-221.99</v>
      </c>
      <c r="AB52" s="48">
        <f>general_price[[#This Row],[Pumps -  MW]]+general_price[[#This Row],[Hydro -  MW]]</f>
        <v>-659.22</v>
      </c>
    </row>
    <row r="53" spans="1:28">
      <c r="A53" s="13">
        <v>45850.583333333336</v>
      </c>
      <c r="B53" s="14">
        <v>-91.91</v>
      </c>
      <c r="C53" s="15">
        <v>-659.99</v>
      </c>
      <c r="D53" s="15">
        <v>-530.42999999999995</v>
      </c>
      <c r="E53" s="15">
        <v>742.33</v>
      </c>
      <c r="F53" s="15">
        <v>2930.97</v>
      </c>
      <c r="G53" s="15">
        <v>9.1</v>
      </c>
      <c r="H53" s="15">
        <v>0</v>
      </c>
      <c r="I53" s="15">
        <v>37.880000000000003</v>
      </c>
      <c r="J53" s="15">
        <v>2.19</v>
      </c>
      <c r="K53" s="15">
        <v>0</v>
      </c>
      <c r="L53" s="15">
        <v>886.17</v>
      </c>
      <c r="M53" s="15">
        <v>2589.39</v>
      </c>
      <c r="N53" s="15">
        <v>2872.62</v>
      </c>
      <c r="O53" s="15">
        <v>18.989999999999998</v>
      </c>
      <c r="P53" s="15">
        <v>99.64</v>
      </c>
      <c r="Q53" s="15">
        <v>209.7</v>
      </c>
      <c r="R53" s="15">
        <v>1326.55</v>
      </c>
      <c r="S53" s="15">
        <v>0.38</v>
      </c>
      <c r="T53" s="15">
        <v>0</v>
      </c>
      <c r="U53" s="15">
        <v>11.4</v>
      </c>
      <c r="V53" s="15">
        <v>304.57</v>
      </c>
      <c r="W53" s="16">
        <v>-14.01</v>
      </c>
      <c r="X53" s="31">
        <f>MOD(general_price[[#This Row],[date]], 1)</f>
        <v>0.58333333333575865</v>
      </c>
      <c r="Y53" s="25" t="str">
        <f t="shared" si="0"/>
        <v/>
      </c>
      <c r="Z53" s="22">
        <v>0</v>
      </c>
      <c r="AA53" s="48">
        <f>general_price[[#This Row],[Battery (Charging) -  MW]]+general_price[[#This Row],[Battery (Discharging) -  MW]]</f>
        <v>-89.72</v>
      </c>
      <c r="AB53" s="48">
        <f>general_price[[#This Row],[Pumps -  MW]]+general_price[[#This Row],[Hydro -  MW]]</f>
        <v>-659.99</v>
      </c>
    </row>
    <row r="54" spans="1:28">
      <c r="A54" s="13">
        <v>45850.604166666664</v>
      </c>
      <c r="B54" s="14">
        <v>-23.34</v>
      </c>
      <c r="C54" s="15">
        <v>-659.91</v>
      </c>
      <c r="D54" s="15">
        <v>-415.64</v>
      </c>
      <c r="E54" s="15">
        <v>761.55</v>
      </c>
      <c r="F54" s="15">
        <v>2953.08</v>
      </c>
      <c r="G54" s="15">
        <v>8.36</v>
      </c>
      <c r="H54" s="15">
        <v>0</v>
      </c>
      <c r="I54" s="15">
        <v>37.840000000000003</v>
      </c>
      <c r="J54" s="15">
        <v>3.43</v>
      </c>
      <c r="K54" s="15">
        <v>0</v>
      </c>
      <c r="L54" s="15">
        <v>882.42</v>
      </c>
      <c r="M54" s="15">
        <v>2642.71</v>
      </c>
      <c r="N54" s="15">
        <v>2499.4299999999998</v>
      </c>
      <c r="O54" s="15">
        <v>18.670000000000002</v>
      </c>
      <c r="P54" s="15">
        <v>77.87</v>
      </c>
      <c r="Q54" s="15">
        <v>202.45</v>
      </c>
      <c r="R54" s="15">
        <v>1337</v>
      </c>
      <c r="S54" s="15">
        <v>0.37</v>
      </c>
      <c r="T54" s="15">
        <v>0</v>
      </c>
      <c r="U54" s="15">
        <v>11.39</v>
      </c>
      <c r="V54" s="15">
        <v>310.42</v>
      </c>
      <c r="W54" s="16">
        <v>-8.91</v>
      </c>
      <c r="X54" s="31">
        <f>MOD(general_price[[#This Row],[date]], 1)</f>
        <v>0.60416666666424135</v>
      </c>
      <c r="Y54" s="25" t="str">
        <f t="shared" si="0"/>
        <v/>
      </c>
      <c r="Z54" s="22">
        <v>0</v>
      </c>
      <c r="AA54" s="48">
        <f>general_price[[#This Row],[Battery (Charging) -  MW]]+general_price[[#This Row],[Battery (Discharging) -  MW]]</f>
        <v>-19.91</v>
      </c>
      <c r="AB54" s="48">
        <f>general_price[[#This Row],[Pumps -  MW]]+general_price[[#This Row],[Hydro -  MW]]</f>
        <v>-659.91</v>
      </c>
    </row>
    <row r="55" spans="1:28">
      <c r="A55" s="13">
        <v>45850.625</v>
      </c>
      <c r="B55" s="14">
        <v>-5.71</v>
      </c>
      <c r="C55" s="15">
        <v>-628.64</v>
      </c>
      <c r="D55" s="15">
        <v>-329.66</v>
      </c>
      <c r="E55" s="15">
        <v>775.64</v>
      </c>
      <c r="F55" s="15">
        <v>3081.65</v>
      </c>
      <c r="G55" s="15">
        <v>8.32</v>
      </c>
      <c r="H55" s="15">
        <v>2</v>
      </c>
      <c r="I55" s="15">
        <v>37.83</v>
      </c>
      <c r="J55" s="15">
        <v>7.54</v>
      </c>
      <c r="K55" s="15">
        <v>0</v>
      </c>
      <c r="L55" s="15">
        <v>948.74</v>
      </c>
      <c r="M55" s="15">
        <v>2595.16</v>
      </c>
      <c r="N55" s="15">
        <v>2089.39</v>
      </c>
      <c r="O55" s="15">
        <v>18.38</v>
      </c>
      <c r="P55" s="15">
        <v>63.34</v>
      </c>
      <c r="Q55" s="15">
        <v>195.15</v>
      </c>
      <c r="R55" s="15">
        <v>1395.4</v>
      </c>
      <c r="S55" s="15">
        <v>0.37</v>
      </c>
      <c r="T55" s="15">
        <v>0.37</v>
      </c>
      <c r="U55" s="15">
        <v>11.39</v>
      </c>
      <c r="V55" s="15">
        <v>328.01</v>
      </c>
      <c r="W55" s="16">
        <v>9.06</v>
      </c>
      <c r="X55" s="31">
        <f>MOD(general_price[[#This Row],[date]], 1)</f>
        <v>0.625</v>
      </c>
      <c r="Y55" s="25" t="str">
        <f t="shared" si="0"/>
        <v/>
      </c>
      <c r="Z55" s="22">
        <v>0</v>
      </c>
      <c r="AA55" s="48">
        <f>general_price[[#This Row],[Battery (Charging) -  MW]]+general_price[[#This Row],[Battery (Discharging) -  MW]]</f>
        <v>1.83</v>
      </c>
      <c r="AB55" s="48">
        <f>general_price[[#This Row],[Pumps -  MW]]+general_price[[#This Row],[Hydro -  MW]]</f>
        <v>-628.64</v>
      </c>
    </row>
    <row r="56" spans="1:28">
      <c r="A56" s="13">
        <v>45850.645833333336</v>
      </c>
      <c r="B56" s="14">
        <v>-10.58</v>
      </c>
      <c r="C56" s="15">
        <v>-304.86</v>
      </c>
      <c r="D56" s="15">
        <v>-323.95</v>
      </c>
      <c r="E56" s="15">
        <v>830.64</v>
      </c>
      <c r="F56" s="15">
        <v>3254.49</v>
      </c>
      <c r="G56" s="15">
        <v>9.65</v>
      </c>
      <c r="H56" s="15">
        <v>131</v>
      </c>
      <c r="I56" s="15">
        <v>37.880000000000003</v>
      </c>
      <c r="J56" s="15">
        <v>7.59</v>
      </c>
      <c r="K56" s="15">
        <v>0</v>
      </c>
      <c r="L56" s="15">
        <v>972.05</v>
      </c>
      <c r="M56" s="15">
        <v>2346.75</v>
      </c>
      <c r="N56" s="15">
        <v>1577.29</v>
      </c>
      <c r="O56" s="15">
        <v>17.809999999999999</v>
      </c>
      <c r="P56" s="15">
        <v>68.959999999999994</v>
      </c>
      <c r="Q56" s="15">
        <v>199.65</v>
      </c>
      <c r="R56" s="15">
        <v>1472.34</v>
      </c>
      <c r="S56" s="15">
        <v>0.4</v>
      </c>
      <c r="T56" s="15">
        <v>24.35</v>
      </c>
      <c r="U56" s="15">
        <v>11.41</v>
      </c>
      <c r="V56" s="15">
        <v>353.78</v>
      </c>
      <c r="W56" s="16">
        <v>35.880000000000003</v>
      </c>
      <c r="X56" s="31">
        <f>MOD(general_price[[#This Row],[date]], 1)</f>
        <v>0.64583333333575865</v>
      </c>
      <c r="Y56" s="25" t="str">
        <f t="shared" si="0"/>
        <v/>
      </c>
      <c r="Z56" s="22">
        <v>0</v>
      </c>
      <c r="AA56" s="48">
        <f>general_price[[#This Row],[Battery (Charging) -  MW]]+general_price[[#This Row],[Battery (Discharging) -  MW]]</f>
        <v>-2.99</v>
      </c>
      <c r="AB56" s="48">
        <f>general_price[[#This Row],[Pumps -  MW]]+general_price[[#This Row],[Hydro -  MW]]</f>
        <v>-304.86</v>
      </c>
    </row>
    <row r="57" spans="1:28">
      <c r="A57" s="13">
        <v>45850.666666666664</v>
      </c>
      <c r="B57" s="14">
        <v>-3.08</v>
      </c>
      <c r="C57" s="15">
        <v>-67.099999999999994</v>
      </c>
      <c r="D57" s="15">
        <v>-178.82</v>
      </c>
      <c r="E57" s="15">
        <v>851.57</v>
      </c>
      <c r="F57" s="15">
        <v>3737.21</v>
      </c>
      <c r="G57" s="15">
        <v>5.32</v>
      </c>
      <c r="H57" s="15">
        <v>264.5</v>
      </c>
      <c r="I57" s="15">
        <v>42.68</v>
      </c>
      <c r="J57" s="15">
        <v>9.9700000000000006</v>
      </c>
      <c r="K57" s="15">
        <v>0</v>
      </c>
      <c r="L57" s="15">
        <v>928.08</v>
      </c>
      <c r="M57" s="15">
        <v>1809.05</v>
      </c>
      <c r="N57" s="15">
        <v>1015.1</v>
      </c>
      <c r="O57" s="15">
        <v>16.82</v>
      </c>
      <c r="P57" s="15">
        <v>44.82</v>
      </c>
      <c r="Q57" s="15">
        <v>224.13</v>
      </c>
      <c r="R57" s="15">
        <v>1692.04</v>
      </c>
      <c r="S57" s="15">
        <v>0.45</v>
      </c>
      <c r="T57" s="15">
        <v>49.17</v>
      </c>
      <c r="U57" s="15">
        <v>12.85</v>
      </c>
      <c r="V57" s="15">
        <v>417.02</v>
      </c>
      <c r="W57" s="16">
        <v>51.95</v>
      </c>
      <c r="X57" s="31">
        <f>MOD(general_price[[#This Row],[date]], 1)</f>
        <v>0.66666666666424135</v>
      </c>
      <c r="Y57" s="25" t="str">
        <f t="shared" si="0"/>
        <v/>
      </c>
      <c r="Z57" s="22">
        <v>0</v>
      </c>
      <c r="AA57" s="48">
        <f>general_price[[#This Row],[Battery (Charging) -  MW]]+general_price[[#This Row],[Battery (Discharging) -  MW]]</f>
        <v>6.8900000000000006</v>
      </c>
      <c r="AB57" s="48">
        <f>general_price[[#This Row],[Pumps -  MW]]+general_price[[#This Row],[Hydro -  MW]]</f>
        <v>-67.099999999999994</v>
      </c>
    </row>
    <row r="58" spans="1:28">
      <c r="A58" s="13">
        <v>45850.6875</v>
      </c>
      <c r="B58" s="14">
        <v>-2</v>
      </c>
      <c r="C58" s="15">
        <v>0</v>
      </c>
      <c r="D58" s="15">
        <v>-125.98</v>
      </c>
      <c r="E58" s="15">
        <v>859.14</v>
      </c>
      <c r="F58" s="15">
        <v>4544.6099999999997</v>
      </c>
      <c r="G58" s="15">
        <v>1.41</v>
      </c>
      <c r="H58" s="15">
        <v>399.67</v>
      </c>
      <c r="I58" s="15">
        <v>45.07</v>
      </c>
      <c r="J58" s="15">
        <v>229.5</v>
      </c>
      <c r="K58" s="15">
        <v>148.13</v>
      </c>
      <c r="L58" s="15">
        <v>936.68</v>
      </c>
      <c r="M58" s="15">
        <v>1029.74</v>
      </c>
      <c r="N58" s="15">
        <v>498.78</v>
      </c>
      <c r="O58" s="15">
        <v>16.05</v>
      </c>
      <c r="P58" s="15">
        <v>36.17</v>
      </c>
      <c r="Q58" s="15">
        <v>272.17</v>
      </c>
      <c r="R58" s="15">
        <v>2051.33</v>
      </c>
      <c r="S58" s="15">
        <v>0.46</v>
      </c>
      <c r="T58" s="15">
        <v>74.3</v>
      </c>
      <c r="U58" s="15">
        <v>13.57</v>
      </c>
      <c r="V58" s="15">
        <v>499.64</v>
      </c>
      <c r="W58" s="16">
        <v>140.01</v>
      </c>
      <c r="X58" s="31">
        <f>MOD(general_price[[#This Row],[date]], 1)</f>
        <v>0.6875</v>
      </c>
      <c r="Y58" s="25" t="str">
        <f t="shared" si="0"/>
        <v/>
      </c>
      <c r="Z58" s="22">
        <v>0</v>
      </c>
      <c r="AA58" s="48">
        <f>general_price[[#This Row],[Battery (Charging) -  MW]]+general_price[[#This Row],[Battery (Discharging) -  MW]]</f>
        <v>227.5</v>
      </c>
      <c r="AB58" s="48">
        <f>general_price[[#This Row],[Pumps -  MW]]+general_price[[#This Row],[Hydro -  MW]]</f>
        <v>148.13</v>
      </c>
    </row>
    <row r="59" spans="1:28">
      <c r="A59" s="13">
        <v>45850.708333333336</v>
      </c>
      <c r="B59" s="14">
        <v>-1.59</v>
      </c>
      <c r="C59" s="15">
        <v>0</v>
      </c>
      <c r="D59" s="15">
        <v>-126.06</v>
      </c>
      <c r="E59" s="15">
        <v>882.76</v>
      </c>
      <c r="F59" s="15">
        <v>5435.55</v>
      </c>
      <c r="G59" s="15">
        <v>-1.76</v>
      </c>
      <c r="H59" s="15">
        <v>270.83</v>
      </c>
      <c r="I59" s="15">
        <v>121.89</v>
      </c>
      <c r="J59" s="15">
        <v>393.4</v>
      </c>
      <c r="K59" s="15">
        <v>671.58</v>
      </c>
      <c r="L59" s="15">
        <v>842.16</v>
      </c>
      <c r="M59" s="15">
        <v>250.07</v>
      </c>
      <c r="N59" s="15">
        <v>139.47</v>
      </c>
      <c r="O59" s="15">
        <v>15.3</v>
      </c>
      <c r="P59" s="15">
        <v>40.08</v>
      </c>
      <c r="Q59" s="15">
        <v>299.18</v>
      </c>
      <c r="R59" s="15">
        <v>2453.4699999999998</v>
      </c>
      <c r="S59" s="15">
        <v>0.43</v>
      </c>
      <c r="T59" s="15">
        <v>50.35</v>
      </c>
      <c r="U59" s="15">
        <v>39.200000000000003</v>
      </c>
      <c r="V59" s="15">
        <v>572.96</v>
      </c>
      <c r="W59" s="16">
        <v>191.18</v>
      </c>
      <c r="X59" s="31">
        <f>MOD(general_price[[#This Row],[date]], 1)</f>
        <v>0.70833333333575865</v>
      </c>
      <c r="Y59" s="25" t="str">
        <f t="shared" si="0"/>
        <v/>
      </c>
      <c r="Z59" s="22">
        <v>0</v>
      </c>
      <c r="AA59" s="48">
        <f>general_price[[#This Row],[Battery (Charging) -  MW]]+general_price[[#This Row],[Battery (Discharging) -  MW]]</f>
        <v>391.81</v>
      </c>
      <c r="AB59" s="48">
        <f>general_price[[#This Row],[Pumps -  MW]]+general_price[[#This Row],[Hydro -  MW]]</f>
        <v>671.58</v>
      </c>
    </row>
    <row r="60" spans="1:28">
      <c r="A60" s="13">
        <v>45850.729166666664</v>
      </c>
      <c r="B60" s="14">
        <v>-1.51</v>
      </c>
      <c r="C60" s="15">
        <v>0</v>
      </c>
      <c r="D60" s="15">
        <v>-155.11000000000001</v>
      </c>
      <c r="E60" s="15">
        <v>704.35</v>
      </c>
      <c r="F60" s="15">
        <v>6348.36</v>
      </c>
      <c r="G60" s="15">
        <v>-1.57</v>
      </c>
      <c r="H60" s="15">
        <v>4</v>
      </c>
      <c r="I60" s="15">
        <v>512.5</v>
      </c>
      <c r="J60" s="15">
        <v>444.85</v>
      </c>
      <c r="K60" s="15">
        <v>900.46</v>
      </c>
      <c r="L60" s="15">
        <v>849.72</v>
      </c>
      <c r="M60" s="15">
        <v>9.92</v>
      </c>
      <c r="N60" s="15">
        <v>15.39</v>
      </c>
      <c r="O60" s="15">
        <v>14.81</v>
      </c>
      <c r="P60" s="15">
        <v>52.02</v>
      </c>
      <c r="Q60" s="15">
        <v>244.61</v>
      </c>
      <c r="R60" s="15">
        <v>2871.74</v>
      </c>
      <c r="S60" s="15">
        <v>0.43</v>
      </c>
      <c r="T60" s="15">
        <v>0.74</v>
      </c>
      <c r="U60" s="15">
        <v>178.56</v>
      </c>
      <c r="V60" s="15">
        <v>633.65</v>
      </c>
      <c r="W60" s="16">
        <v>186.38</v>
      </c>
      <c r="X60" s="31">
        <f>MOD(general_price[[#This Row],[date]], 1)</f>
        <v>0.72916666666424135</v>
      </c>
      <c r="Y60" s="25" t="str">
        <f t="shared" si="0"/>
        <v/>
      </c>
      <c r="Z60" s="22">
        <v>0</v>
      </c>
      <c r="AA60" s="48">
        <f>general_price[[#This Row],[Battery (Charging) -  MW]]+general_price[[#This Row],[Battery (Discharging) -  MW]]</f>
        <v>443.34000000000003</v>
      </c>
      <c r="AB60" s="48">
        <f>general_price[[#This Row],[Pumps -  MW]]+general_price[[#This Row],[Hydro -  MW]]</f>
        <v>900.46</v>
      </c>
    </row>
    <row r="61" spans="1:28">
      <c r="A61" s="13">
        <v>45850.75</v>
      </c>
      <c r="B61" s="14">
        <v>-2.0099999999999998</v>
      </c>
      <c r="C61" s="15">
        <v>0</v>
      </c>
      <c r="D61" s="15">
        <v>-101.71</v>
      </c>
      <c r="E61" s="15">
        <v>561.28</v>
      </c>
      <c r="F61" s="15">
        <v>6998.02</v>
      </c>
      <c r="G61" s="15">
        <v>-1.22</v>
      </c>
      <c r="H61" s="15">
        <v>26.63</v>
      </c>
      <c r="I61" s="15">
        <v>570.39</v>
      </c>
      <c r="J61" s="15">
        <v>379.29</v>
      </c>
      <c r="K61" s="15">
        <v>921.21</v>
      </c>
      <c r="L61" s="15">
        <v>918.11</v>
      </c>
      <c r="M61" s="15">
        <v>0.05</v>
      </c>
      <c r="N61" s="15">
        <v>0.17</v>
      </c>
      <c r="O61" s="15">
        <v>14.17</v>
      </c>
      <c r="P61" s="15">
        <v>35</v>
      </c>
      <c r="Q61" s="15">
        <v>195.46</v>
      </c>
      <c r="R61" s="15">
        <v>3168.93</v>
      </c>
      <c r="S61" s="15">
        <v>0.44</v>
      </c>
      <c r="T61" s="15">
        <v>9.5299999999999994</v>
      </c>
      <c r="U61" s="15">
        <v>196.31</v>
      </c>
      <c r="V61" s="15">
        <v>657.28</v>
      </c>
      <c r="W61" s="16">
        <v>299.99</v>
      </c>
      <c r="X61" s="31">
        <f>MOD(general_price[[#This Row],[date]], 1)</f>
        <v>0.75</v>
      </c>
      <c r="Y61" s="25" t="str">
        <f t="shared" si="0"/>
        <v/>
      </c>
      <c r="Z61" s="22">
        <v>0</v>
      </c>
      <c r="AA61" s="48">
        <f>general_price[[#This Row],[Battery (Charging) -  MW]]+general_price[[#This Row],[Battery (Discharging) -  MW]]</f>
        <v>377.28000000000003</v>
      </c>
      <c r="AB61" s="48">
        <f>general_price[[#This Row],[Pumps -  MW]]+general_price[[#This Row],[Hydro -  MW]]</f>
        <v>921.21</v>
      </c>
    </row>
    <row r="62" spans="1:28">
      <c r="A62" s="13">
        <v>45850.770833333336</v>
      </c>
      <c r="B62" s="14">
        <v>-2.0299999999999998</v>
      </c>
      <c r="C62" s="15">
        <v>0</v>
      </c>
      <c r="D62" s="15">
        <v>-26.51</v>
      </c>
      <c r="E62" s="15">
        <v>495.67</v>
      </c>
      <c r="F62" s="15">
        <v>7255.17</v>
      </c>
      <c r="G62" s="15">
        <v>-0.99</v>
      </c>
      <c r="H62" s="15">
        <v>26.56</v>
      </c>
      <c r="I62" s="15">
        <v>581.52</v>
      </c>
      <c r="J62" s="15">
        <v>293.07</v>
      </c>
      <c r="K62" s="15">
        <v>877.88</v>
      </c>
      <c r="L62" s="15">
        <v>892.72</v>
      </c>
      <c r="M62" s="15">
        <v>0.05</v>
      </c>
      <c r="N62" s="15">
        <v>0</v>
      </c>
      <c r="O62" s="15">
        <v>13.63</v>
      </c>
      <c r="P62" s="15">
        <v>9.2200000000000006</v>
      </c>
      <c r="Q62" s="15">
        <v>174.34</v>
      </c>
      <c r="R62" s="15">
        <v>3284.88</v>
      </c>
      <c r="S62" s="15">
        <v>0.44</v>
      </c>
      <c r="T62" s="15">
        <v>9.5</v>
      </c>
      <c r="U62" s="15">
        <v>190.71</v>
      </c>
      <c r="V62" s="15">
        <v>670.74</v>
      </c>
      <c r="W62" s="16">
        <v>147.96</v>
      </c>
      <c r="X62" s="31">
        <f>MOD(general_price[[#This Row],[date]], 1)</f>
        <v>0.77083333333575865</v>
      </c>
      <c r="Y62" s="25" t="str">
        <f t="shared" si="0"/>
        <v/>
      </c>
      <c r="Z62" s="22">
        <v>0</v>
      </c>
      <c r="AA62" s="48">
        <f>general_price[[#This Row],[Battery (Charging) -  MW]]+general_price[[#This Row],[Battery (Discharging) -  MW]]</f>
        <v>291.04000000000002</v>
      </c>
      <c r="AB62" s="48">
        <f>general_price[[#This Row],[Pumps -  MW]]+general_price[[#This Row],[Hydro -  MW]]</f>
        <v>877.88</v>
      </c>
    </row>
    <row r="63" spans="1:28">
      <c r="A63" s="13">
        <v>45850.791666666664</v>
      </c>
      <c r="B63" s="14">
        <v>-2.5</v>
      </c>
      <c r="C63" s="15">
        <v>0</v>
      </c>
      <c r="D63" s="15">
        <v>-1.6</v>
      </c>
      <c r="E63" s="15">
        <v>522.91</v>
      </c>
      <c r="F63" s="15">
        <v>7304.28</v>
      </c>
      <c r="G63" s="15">
        <v>-0.62</v>
      </c>
      <c r="H63" s="15">
        <v>0</v>
      </c>
      <c r="I63" s="15">
        <v>659.66</v>
      </c>
      <c r="J63" s="15">
        <v>168.81</v>
      </c>
      <c r="K63" s="15">
        <v>845.9</v>
      </c>
      <c r="L63" s="15">
        <v>834.08</v>
      </c>
      <c r="M63" s="15">
        <v>0.05</v>
      </c>
      <c r="N63" s="15">
        <v>0</v>
      </c>
      <c r="O63" s="15">
        <v>12.97</v>
      </c>
      <c r="P63" s="15">
        <v>0.57999999999999996</v>
      </c>
      <c r="Q63" s="15">
        <v>187.43</v>
      </c>
      <c r="R63" s="15">
        <v>3306.85</v>
      </c>
      <c r="S63" s="15">
        <v>0.45</v>
      </c>
      <c r="T63" s="15">
        <v>0</v>
      </c>
      <c r="U63" s="15">
        <v>221.18</v>
      </c>
      <c r="V63" s="15">
        <v>683.09</v>
      </c>
      <c r="W63" s="16">
        <v>252.64</v>
      </c>
      <c r="X63" s="31">
        <f>MOD(general_price[[#This Row],[date]], 1)</f>
        <v>0.79166666666424135</v>
      </c>
      <c r="Y63" s="25" t="str">
        <f t="shared" si="0"/>
        <v/>
      </c>
      <c r="Z63" s="22">
        <v>0</v>
      </c>
      <c r="AA63" s="48">
        <f>general_price[[#This Row],[Battery (Charging) -  MW]]+general_price[[#This Row],[Battery (Discharging) -  MW]]</f>
        <v>166.31</v>
      </c>
      <c r="AB63" s="48">
        <f>general_price[[#This Row],[Pumps -  MW]]+general_price[[#This Row],[Hydro -  MW]]</f>
        <v>845.9</v>
      </c>
    </row>
    <row r="64" spans="1:28">
      <c r="A64" s="13">
        <v>45850.8125</v>
      </c>
      <c r="B64" s="14">
        <v>-4.2699999999999996</v>
      </c>
      <c r="C64" s="15">
        <v>0</v>
      </c>
      <c r="D64" s="15">
        <v>0</v>
      </c>
      <c r="E64" s="15">
        <v>655.32000000000005</v>
      </c>
      <c r="F64" s="15">
        <v>7304.57</v>
      </c>
      <c r="G64" s="15">
        <v>-0.75</v>
      </c>
      <c r="H64" s="15">
        <v>0</v>
      </c>
      <c r="I64" s="15">
        <v>579.75</v>
      </c>
      <c r="J64" s="15">
        <v>33.909999999999997</v>
      </c>
      <c r="K64" s="15">
        <v>759.83</v>
      </c>
      <c r="L64" s="15">
        <v>773.64</v>
      </c>
      <c r="M64" s="15">
        <v>0.05</v>
      </c>
      <c r="N64" s="15">
        <v>0</v>
      </c>
      <c r="O64" s="15">
        <v>12.35</v>
      </c>
      <c r="P64" s="15">
        <v>0</v>
      </c>
      <c r="Q64" s="15">
        <v>238.5</v>
      </c>
      <c r="R64" s="15">
        <v>3306.94</v>
      </c>
      <c r="S64" s="15">
        <v>0.44</v>
      </c>
      <c r="T64" s="15">
        <v>0</v>
      </c>
      <c r="U64" s="15">
        <v>195.53</v>
      </c>
      <c r="V64" s="15">
        <v>693.51</v>
      </c>
      <c r="W64" s="16">
        <v>139.18</v>
      </c>
      <c r="X64" s="31">
        <f>MOD(general_price[[#This Row],[date]], 1)</f>
        <v>0.8125</v>
      </c>
      <c r="Y64" s="25" t="str">
        <f t="shared" si="0"/>
        <v/>
      </c>
      <c r="Z64" s="22">
        <v>0</v>
      </c>
      <c r="AA64" s="48">
        <f>general_price[[#This Row],[Battery (Charging) -  MW]]+general_price[[#This Row],[Battery (Discharging) -  MW]]</f>
        <v>29.639999999999997</v>
      </c>
      <c r="AB64" s="48">
        <f>general_price[[#This Row],[Pumps -  MW]]+general_price[[#This Row],[Hydro -  MW]]</f>
        <v>759.83</v>
      </c>
    </row>
    <row r="65" spans="1:28">
      <c r="A65" s="13">
        <v>45850.833333333336</v>
      </c>
      <c r="B65" s="14">
        <v>-6.4</v>
      </c>
      <c r="C65" s="15">
        <v>0</v>
      </c>
      <c r="D65" s="15">
        <v>0</v>
      </c>
      <c r="E65" s="15">
        <v>776.71</v>
      </c>
      <c r="F65" s="15">
        <v>7305.94</v>
      </c>
      <c r="G65" s="15">
        <v>-1.31</v>
      </c>
      <c r="H65" s="15">
        <v>0</v>
      </c>
      <c r="I65" s="15">
        <v>496.44</v>
      </c>
      <c r="J65" s="15">
        <v>2.81</v>
      </c>
      <c r="K65" s="15">
        <v>763.22</v>
      </c>
      <c r="L65" s="15">
        <v>612.73</v>
      </c>
      <c r="M65" s="15">
        <v>0.05</v>
      </c>
      <c r="N65" s="15">
        <v>0</v>
      </c>
      <c r="O65" s="15">
        <v>11.77</v>
      </c>
      <c r="P65" s="15">
        <v>0</v>
      </c>
      <c r="Q65" s="15">
        <v>278.08999999999997</v>
      </c>
      <c r="R65" s="15">
        <v>3307.34</v>
      </c>
      <c r="S65" s="15">
        <v>0.44</v>
      </c>
      <c r="T65" s="15">
        <v>0</v>
      </c>
      <c r="U65" s="15">
        <v>167.64</v>
      </c>
      <c r="V65" s="15">
        <v>698.56</v>
      </c>
      <c r="W65" s="16">
        <v>112.18</v>
      </c>
      <c r="X65" s="31">
        <f>MOD(general_price[[#This Row],[date]], 1)</f>
        <v>0.83333333333575865</v>
      </c>
      <c r="Y65" s="25" t="str">
        <f t="shared" si="0"/>
        <v/>
      </c>
      <c r="Z65" s="22">
        <v>0</v>
      </c>
      <c r="AA65" s="48">
        <f>general_price[[#This Row],[Battery (Charging) -  MW]]+general_price[[#This Row],[Battery (Discharging) -  MW]]</f>
        <v>-3.5900000000000003</v>
      </c>
      <c r="AB65" s="48">
        <f>general_price[[#This Row],[Pumps -  MW]]+general_price[[#This Row],[Hydro -  MW]]</f>
        <v>763.22</v>
      </c>
    </row>
    <row r="66" spans="1:28">
      <c r="A66" s="13">
        <v>45850.854166666664</v>
      </c>
      <c r="B66" s="14">
        <v>-3.04</v>
      </c>
      <c r="C66" s="15">
        <v>0</v>
      </c>
      <c r="D66" s="15">
        <v>0</v>
      </c>
      <c r="E66" s="15">
        <v>991.87</v>
      </c>
      <c r="F66" s="15">
        <v>7345.75</v>
      </c>
      <c r="G66" s="15">
        <v>-0.97</v>
      </c>
      <c r="H66" s="15">
        <v>0</v>
      </c>
      <c r="I66" s="15">
        <v>273.85000000000002</v>
      </c>
      <c r="J66" s="15">
        <v>6.24</v>
      </c>
      <c r="K66" s="15">
        <v>598.26</v>
      </c>
      <c r="L66" s="15">
        <v>613.29999999999995</v>
      </c>
      <c r="M66" s="15">
        <v>0.05</v>
      </c>
      <c r="N66" s="15">
        <v>0</v>
      </c>
      <c r="O66" s="15">
        <v>11.41</v>
      </c>
      <c r="P66" s="15">
        <v>0</v>
      </c>
      <c r="Q66" s="15">
        <v>345.87</v>
      </c>
      <c r="R66" s="15">
        <v>3325.23</v>
      </c>
      <c r="S66" s="15">
        <v>0.45</v>
      </c>
      <c r="T66" s="15">
        <v>0</v>
      </c>
      <c r="U66" s="15">
        <v>101.09</v>
      </c>
      <c r="V66" s="15">
        <v>697.54</v>
      </c>
      <c r="W66" s="16">
        <v>100.02</v>
      </c>
      <c r="X66" s="31">
        <f>MOD(general_price[[#This Row],[date]], 1)</f>
        <v>0.85416666666424135</v>
      </c>
      <c r="Y66" s="25" t="str">
        <f t="shared" ref="Y66:Y129" si="1">IF(AND(HOUR(A66)=0,MINUTE(A66)=0),TEXT(A66,"d mmm"),"")</f>
        <v/>
      </c>
      <c r="Z66" s="22">
        <v>0</v>
      </c>
      <c r="AA66" s="48">
        <f>general_price[[#This Row],[Battery (Charging) -  MW]]+general_price[[#This Row],[Battery (Discharging) -  MW]]</f>
        <v>3.2</v>
      </c>
      <c r="AB66" s="48">
        <f>general_price[[#This Row],[Pumps -  MW]]+general_price[[#This Row],[Hydro -  MW]]</f>
        <v>598.26</v>
      </c>
    </row>
    <row r="67" spans="1:28">
      <c r="A67" s="13">
        <v>45850.875</v>
      </c>
      <c r="B67" s="14">
        <v>-5.24</v>
      </c>
      <c r="C67" s="15">
        <v>0</v>
      </c>
      <c r="D67" s="15">
        <v>0</v>
      </c>
      <c r="E67" s="15">
        <v>1424.57</v>
      </c>
      <c r="F67" s="15">
        <v>7322.64</v>
      </c>
      <c r="G67" s="15">
        <v>-1.25</v>
      </c>
      <c r="H67" s="15">
        <v>0</v>
      </c>
      <c r="I67" s="15">
        <v>43.6</v>
      </c>
      <c r="J67" s="15">
        <v>2.4500000000000002</v>
      </c>
      <c r="K67" s="15">
        <v>397.99</v>
      </c>
      <c r="L67" s="15">
        <v>679.39</v>
      </c>
      <c r="M67" s="15">
        <v>0.05</v>
      </c>
      <c r="N67" s="15">
        <v>0</v>
      </c>
      <c r="O67" s="15">
        <v>10.97</v>
      </c>
      <c r="P67" s="15">
        <v>0</v>
      </c>
      <c r="Q67" s="15">
        <v>484.72</v>
      </c>
      <c r="R67" s="15">
        <v>3314.98</v>
      </c>
      <c r="S67" s="15">
        <v>0.44</v>
      </c>
      <c r="T67" s="15">
        <v>0</v>
      </c>
      <c r="U67" s="15">
        <v>13.13</v>
      </c>
      <c r="V67" s="15">
        <v>674.87</v>
      </c>
      <c r="W67" s="16">
        <v>88.68</v>
      </c>
      <c r="X67" s="31">
        <f>MOD(general_price[[#This Row],[date]], 1)</f>
        <v>0.875</v>
      </c>
      <c r="Y67" s="25" t="str">
        <f t="shared" si="1"/>
        <v/>
      </c>
      <c r="Z67" s="22">
        <v>0</v>
      </c>
      <c r="AA67" s="48">
        <f>general_price[[#This Row],[Battery (Charging) -  MW]]+general_price[[#This Row],[Battery (Discharging) -  MW]]</f>
        <v>-2.79</v>
      </c>
      <c r="AB67" s="48">
        <f>general_price[[#This Row],[Pumps -  MW]]+general_price[[#This Row],[Hydro -  MW]]</f>
        <v>397.99</v>
      </c>
    </row>
    <row r="68" spans="1:28">
      <c r="A68" s="13">
        <v>45850.895833333336</v>
      </c>
      <c r="B68" s="14">
        <v>-5.66</v>
      </c>
      <c r="C68" s="15">
        <v>0</v>
      </c>
      <c r="D68" s="15">
        <v>0</v>
      </c>
      <c r="E68" s="15">
        <v>1385.5</v>
      </c>
      <c r="F68" s="15">
        <v>7337.44</v>
      </c>
      <c r="G68" s="15">
        <v>-1.28</v>
      </c>
      <c r="H68" s="15">
        <v>0</v>
      </c>
      <c r="I68" s="15">
        <v>43.97</v>
      </c>
      <c r="J68" s="15">
        <v>1.79</v>
      </c>
      <c r="K68" s="15">
        <v>272.16000000000003</v>
      </c>
      <c r="L68" s="15">
        <v>731.77</v>
      </c>
      <c r="M68" s="15">
        <v>0.05</v>
      </c>
      <c r="N68" s="15">
        <v>0</v>
      </c>
      <c r="O68" s="15">
        <v>10.75</v>
      </c>
      <c r="P68" s="15">
        <v>0</v>
      </c>
      <c r="Q68" s="15">
        <v>457.31</v>
      </c>
      <c r="R68" s="15">
        <v>3321.52</v>
      </c>
      <c r="S68" s="15">
        <v>0.44</v>
      </c>
      <c r="T68" s="15">
        <v>0</v>
      </c>
      <c r="U68" s="15">
        <v>13.24</v>
      </c>
      <c r="V68" s="15">
        <v>683.04</v>
      </c>
      <c r="W68" s="16">
        <v>87.25</v>
      </c>
      <c r="X68" s="31">
        <f>MOD(general_price[[#This Row],[date]], 1)</f>
        <v>0.89583333333575865</v>
      </c>
      <c r="Y68" s="25" t="str">
        <f t="shared" si="1"/>
        <v/>
      </c>
      <c r="Z68" s="22">
        <v>0</v>
      </c>
      <c r="AA68" s="48">
        <f>general_price[[#This Row],[Battery (Charging) -  MW]]+general_price[[#This Row],[Battery (Discharging) -  MW]]</f>
        <v>-3.87</v>
      </c>
      <c r="AB68" s="48">
        <f>general_price[[#This Row],[Pumps -  MW]]+general_price[[#This Row],[Hydro -  MW]]</f>
        <v>272.16000000000003</v>
      </c>
    </row>
    <row r="69" spans="1:28">
      <c r="A69" s="13">
        <v>45850.916666666664</v>
      </c>
      <c r="B69" s="14">
        <v>-4.1500000000000004</v>
      </c>
      <c r="C69" s="15">
        <v>0</v>
      </c>
      <c r="D69" s="15">
        <v>0</v>
      </c>
      <c r="E69" s="15">
        <v>1340.24</v>
      </c>
      <c r="F69" s="15">
        <v>7279.91</v>
      </c>
      <c r="G69" s="15">
        <v>-1.21</v>
      </c>
      <c r="H69" s="15">
        <v>0</v>
      </c>
      <c r="I69" s="15">
        <v>43.78</v>
      </c>
      <c r="J69" s="15">
        <v>5.14</v>
      </c>
      <c r="K69" s="15">
        <v>231.98</v>
      </c>
      <c r="L69" s="15">
        <v>696.27</v>
      </c>
      <c r="M69" s="15">
        <v>0.05</v>
      </c>
      <c r="N69" s="15">
        <v>0</v>
      </c>
      <c r="O69" s="15">
        <v>10.83</v>
      </c>
      <c r="P69" s="15">
        <v>0</v>
      </c>
      <c r="Q69" s="15">
        <v>438.82</v>
      </c>
      <c r="R69" s="15">
        <v>3296.04</v>
      </c>
      <c r="S69" s="15">
        <v>0.44</v>
      </c>
      <c r="T69" s="15">
        <v>0</v>
      </c>
      <c r="U69" s="15">
        <v>13.18</v>
      </c>
      <c r="V69" s="15">
        <v>690.09</v>
      </c>
      <c r="W69" s="16">
        <v>79.02</v>
      </c>
      <c r="X69" s="31">
        <f>MOD(general_price[[#This Row],[date]], 1)</f>
        <v>0.91666666666424135</v>
      </c>
      <c r="Y69" s="25" t="str">
        <f t="shared" si="1"/>
        <v/>
      </c>
      <c r="Z69" s="22">
        <v>0</v>
      </c>
      <c r="AA69" s="48">
        <f>general_price[[#This Row],[Battery (Charging) -  MW]]+general_price[[#This Row],[Battery (Discharging) -  MW]]</f>
        <v>0.98999999999999932</v>
      </c>
      <c r="AB69" s="48">
        <f>general_price[[#This Row],[Pumps -  MW]]+general_price[[#This Row],[Hydro -  MW]]</f>
        <v>231.98</v>
      </c>
    </row>
    <row r="70" spans="1:28">
      <c r="A70" s="13">
        <v>45850.9375</v>
      </c>
      <c r="B70" s="14">
        <v>-11.87</v>
      </c>
      <c r="C70" s="15">
        <v>0</v>
      </c>
      <c r="D70" s="15">
        <v>0</v>
      </c>
      <c r="E70" s="15">
        <v>1252.42</v>
      </c>
      <c r="F70" s="15">
        <v>7283.77</v>
      </c>
      <c r="G70" s="15">
        <v>-1.43</v>
      </c>
      <c r="H70" s="15">
        <v>0</v>
      </c>
      <c r="I70" s="15">
        <v>43.82</v>
      </c>
      <c r="J70" s="15">
        <v>11.09</v>
      </c>
      <c r="K70" s="15">
        <v>277.70999999999998</v>
      </c>
      <c r="L70" s="15">
        <v>658.89</v>
      </c>
      <c r="M70" s="15">
        <v>0.05</v>
      </c>
      <c r="N70" s="15">
        <v>0</v>
      </c>
      <c r="O70" s="15">
        <v>10.52</v>
      </c>
      <c r="P70" s="15">
        <v>0</v>
      </c>
      <c r="Q70" s="15">
        <v>402.56</v>
      </c>
      <c r="R70" s="15">
        <v>3294.46</v>
      </c>
      <c r="S70" s="15">
        <v>0.44</v>
      </c>
      <c r="T70" s="15">
        <v>0</v>
      </c>
      <c r="U70" s="15">
        <v>13.19</v>
      </c>
      <c r="V70" s="15">
        <v>695.38</v>
      </c>
      <c r="W70" s="16">
        <v>100.02</v>
      </c>
      <c r="X70" s="31">
        <f>MOD(general_price[[#This Row],[date]], 1)</f>
        <v>0.9375</v>
      </c>
      <c r="Y70" s="25" t="str">
        <f t="shared" si="1"/>
        <v/>
      </c>
      <c r="Z70" s="22">
        <v>0</v>
      </c>
      <c r="AA70" s="48">
        <f>general_price[[#This Row],[Battery (Charging) -  MW]]+general_price[[#This Row],[Battery (Discharging) -  MW]]</f>
        <v>-0.77999999999999936</v>
      </c>
      <c r="AB70" s="48">
        <f>general_price[[#This Row],[Pumps -  MW]]+general_price[[#This Row],[Hydro -  MW]]</f>
        <v>277.70999999999998</v>
      </c>
    </row>
    <row r="71" spans="1:28">
      <c r="A71" s="13">
        <v>45850.958333333336</v>
      </c>
      <c r="B71" s="14">
        <v>-11.65</v>
      </c>
      <c r="C71" s="15">
        <v>0</v>
      </c>
      <c r="D71" s="15">
        <v>0</v>
      </c>
      <c r="E71" s="15">
        <v>1223.02</v>
      </c>
      <c r="F71" s="15">
        <v>7263.7</v>
      </c>
      <c r="G71" s="15">
        <v>-1.1299999999999999</v>
      </c>
      <c r="H71" s="15">
        <v>0</v>
      </c>
      <c r="I71" s="15">
        <v>43.54</v>
      </c>
      <c r="J71" s="15">
        <v>2.0299999999999998</v>
      </c>
      <c r="K71" s="15">
        <v>264.23</v>
      </c>
      <c r="L71" s="15">
        <v>637.21</v>
      </c>
      <c r="M71" s="15">
        <v>0.05</v>
      </c>
      <c r="N71" s="15">
        <v>0</v>
      </c>
      <c r="O71" s="15">
        <v>10.050000000000001</v>
      </c>
      <c r="P71" s="15">
        <v>0</v>
      </c>
      <c r="Q71" s="15">
        <v>383.18</v>
      </c>
      <c r="R71" s="15">
        <v>3285.83</v>
      </c>
      <c r="S71" s="15">
        <v>0.44</v>
      </c>
      <c r="T71" s="15">
        <v>0</v>
      </c>
      <c r="U71" s="15">
        <v>13.11</v>
      </c>
      <c r="V71" s="15">
        <v>700.43</v>
      </c>
      <c r="W71" s="16">
        <v>102.76</v>
      </c>
      <c r="X71" s="31">
        <f>MOD(general_price[[#This Row],[date]], 1)</f>
        <v>0.95833333333575865</v>
      </c>
      <c r="Y71" s="25" t="str">
        <f t="shared" si="1"/>
        <v/>
      </c>
      <c r="Z71" s="22">
        <v>0</v>
      </c>
      <c r="AA71" s="48">
        <f>general_price[[#This Row],[Battery (Charging) -  MW]]+general_price[[#This Row],[Battery (Discharging) -  MW]]</f>
        <v>-9.620000000000001</v>
      </c>
      <c r="AB71" s="48">
        <f>general_price[[#This Row],[Pumps -  MW]]+general_price[[#This Row],[Hydro -  MW]]</f>
        <v>264.23</v>
      </c>
    </row>
    <row r="72" spans="1:28">
      <c r="A72" s="13">
        <v>45850.979166666664</v>
      </c>
      <c r="B72" s="14">
        <v>-7.38</v>
      </c>
      <c r="C72" s="15">
        <v>0</v>
      </c>
      <c r="D72" s="15">
        <v>0</v>
      </c>
      <c r="E72" s="15">
        <v>1237.74</v>
      </c>
      <c r="F72" s="15">
        <v>7253.23</v>
      </c>
      <c r="G72" s="15">
        <v>-1.45</v>
      </c>
      <c r="H72" s="15">
        <v>0</v>
      </c>
      <c r="I72" s="15">
        <v>43.46</v>
      </c>
      <c r="J72" s="15">
        <v>2.25</v>
      </c>
      <c r="K72" s="15">
        <v>127.67</v>
      </c>
      <c r="L72" s="15">
        <v>532.70000000000005</v>
      </c>
      <c r="M72" s="15">
        <v>0.05</v>
      </c>
      <c r="N72" s="15">
        <v>0</v>
      </c>
      <c r="O72" s="15">
        <v>9.6199999999999992</v>
      </c>
      <c r="P72" s="15">
        <v>0</v>
      </c>
      <c r="Q72" s="15">
        <v>376.35</v>
      </c>
      <c r="R72" s="15">
        <v>3283.82</v>
      </c>
      <c r="S72" s="15">
        <v>0.44</v>
      </c>
      <c r="T72" s="15">
        <v>0</v>
      </c>
      <c r="U72" s="15">
        <v>13.09</v>
      </c>
      <c r="V72" s="15">
        <v>717.73</v>
      </c>
      <c r="W72" s="16">
        <v>100.02</v>
      </c>
      <c r="X72" s="31">
        <f>MOD(general_price[[#This Row],[date]], 1)</f>
        <v>0.97916666666424135</v>
      </c>
      <c r="Y72" s="25" t="str">
        <f t="shared" si="1"/>
        <v/>
      </c>
      <c r="Z72" s="22">
        <v>0</v>
      </c>
      <c r="AA72" s="48">
        <f>general_price[[#This Row],[Battery (Charging) -  MW]]+general_price[[#This Row],[Battery (Discharging) -  MW]]</f>
        <v>-5.13</v>
      </c>
      <c r="AB72" s="48">
        <f>general_price[[#This Row],[Pumps -  MW]]+general_price[[#This Row],[Hydro -  MW]]</f>
        <v>127.67</v>
      </c>
    </row>
    <row r="73" spans="1:28">
      <c r="A73" s="13">
        <v>45851</v>
      </c>
      <c r="B73" s="14">
        <v>-13.82</v>
      </c>
      <c r="C73" s="15">
        <v>0</v>
      </c>
      <c r="D73" s="15">
        <v>-68.790000000000006</v>
      </c>
      <c r="E73" s="15">
        <v>1179.3499999999999</v>
      </c>
      <c r="F73" s="15">
        <v>7003.96</v>
      </c>
      <c r="G73" s="15">
        <v>-1.01</v>
      </c>
      <c r="H73" s="15">
        <v>0</v>
      </c>
      <c r="I73" s="15">
        <v>43.51</v>
      </c>
      <c r="J73" s="15">
        <v>0.25</v>
      </c>
      <c r="K73" s="15">
        <v>84.64</v>
      </c>
      <c r="L73" s="15">
        <v>502.98</v>
      </c>
      <c r="M73" s="15">
        <v>0.05</v>
      </c>
      <c r="N73" s="15">
        <v>0</v>
      </c>
      <c r="O73" s="15">
        <v>9.2100000000000009</v>
      </c>
      <c r="P73" s="15">
        <v>28.62</v>
      </c>
      <c r="Q73" s="15">
        <v>319.72000000000003</v>
      </c>
      <c r="R73" s="15">
        <v>3172.56</v>
      </c>
      <c r="S73" s="15">
        <v>0.44</v>
      </c>
      <c r="T73" s="15">
        <v>0</v>
      </c>
      <c r="U73" s="15">
        <v>13.1</v>
      </c>
      <c r="V73" s="15">
        <v>729.83</v>
      </c>
      <c r="W73" s="16">
        <v>81.67</v>
      </c>
      <c r="X73" s="31">
        <f>MOD(general_price[[#This Row],[date]], 1)</f>
        <v>0</v>
      </c>
      <c r="Y73" s="25" t="str">
        <f t="shared" si="1"/>
        <v>13 Jul</v>
      </c>
      <c r="Z73" s="22">
        <v>0</v>
      </c>
      <c r="AA73" s="48">
        <f>general_price[[#This Row],[Battery (Charging) -  MW]]+general_price[[#This Row],[Battery (Discharging) -  MW]]</f>
        <v>-13.57</v>
      </c>
      <c r="AB73" s="48">
        <f>general_price[[#This Row],[Pumps -  MW]]+general_price[[#This Row],[Hydro -  MW]]</f>
        <v>84.64</v>
      </c>
    </row>
    <row r="74" spans="1:28">
      <c r="A74" s="13">
        <v>45851.020833333336</v>
      </c>
      <c r="B74" s="14">
        <v>-4.16</v>
      </c>
      <c r="C74" s="15">
        <v>0</v>
      </c>
      <c r="D74" s="15">
        <v>-47.18</v>
      </c>
      <c r="E74" s="15">
        <v>1151.67</v>
      </c>
      <c r="F74" s="15">
        <v>6735.58</v>
      </c>
      <c r="G74" s="15">
        <v>-1.24</v>
      </c>
      <c r="H74" s="15">
        <v>0</v>
      </c>
      <c r="I74" s="15">
        <v>43.54</v>
      </c>
      <c r="J74" s="15">
        <v>1.57</v>
      </c>
      <c r="K74" s="15">
        <v>69.61</v>
      </c>
      <c r="L74" s="15">
        <v>492.94</v>
      </c>
      <c r="M74" s="15">
        <v>0.05</v>
      </c>
      <c r="N74" s="15">
        <v>0</v>
      </c>
      <c r="O74" s="15">
        <v>9.34</v>
      </c>
      <c r="P74" s="15">
        <v>19.600000000000001</v>
      </c>
      <c r="Q74" s="15">
        <v>295.22000000000003</v>
      </c>
      <c r="R74" s="15">
        <v>3045.97</v>
      </c>
      <c r="S74" s="15">
        <v>0.43</v>
      </c>
      <c r="T74" s="15">
        <v>0</v>
      </c>
      <c r="U74" s="15">
        <v>13.11</v>
      </c>
      <c r="V74" s="15">
        <v>724.8</v>
      </c>
      <c r="W74" s="16">
        <v>88.84</v>
      </c>
      <c r="X74" s="31">
        <f>MOD(general_price[[#This Row],[date]], 1)</f>
        <v>2.0833333335758653E-2</v>
      </c>
      <c r="Y74" s="25" t="str">
        <f t="shared" si="1"/>
        <v/>
      </c>
      <c r="Z74" s="22">
        <v>0</v>
      </c>
      <c r="AA74" s="48">
        <f>general_price[[#This Row],[Battery (Charging) -  MW]]+general_price[[#This Row],[Battery (Discharging) -  MW]]</f>
        <v>-2.59</v>
      </c>
      <c r="AB74" s="48">
        <f>general_price[[#This Row],[Pumps -  MW]]+general_price[[#This Row],[Hydro -  MW]]</f>
        <v>69.61</v>
      </c>
    </row>
    <row r="75" spans="1:28">
      <c r="A75" s="13">
        <v>45851.041666666664</v>
      </c>
      <c r="B75" s="14">
        <v>-5.79</v>
      </c>
      <c r="C75" s="15">
        <v>0</v>
      </c>
      <c r="D75" s="15">
        <v>-13.56</v>
      </c>
      <c r="E75" s="15">
        <v>1158.3399999999999</v>
      </c>
      <c r="F75" s="15">
        <v>6466.19</v>
      </c>
      <c r="G75" s="15">
        <v>-3.77</v>
      </c>
      <c r="H75" s="15">
        <v>0</v>
      </c>
      <c r="I75" s="15">
        <v>43.1</v>
      </c>
      <c r="J75" s="15">
        <v>1.5</v>
      </c>
      <c r="K75" s="15">
        <v>42.89</v>
      </c>
      <c r="L75" s="15">
        <v>516.82000000000005</v>
      </c>
      <c r="M75" s="15">
        <v>0.05</v>
      </c>
      <c r="N75" s="15">
        <v>0</v>
      </c>
      <c r="O75" s="15">
        <v>9.2899999999999991</v>
      </c>
      <c r="P75" s="15">
        <v>5.62</v>
      </c>
      <c r="Q75" s="15">
        <v>305.29000000000002</v>
      </c>
      <c r="R75" s="15">
        <v>2923.28</v>
      </c>
      <c r="S75" s="15">
        <v>0.39</v>
      </c>
      <c r="T75" s="15">
        <v>0</v>
      </c>
      <c r="U75" s="15">
        <v>12.98</v>
      </c>
      <c r="V75" s="15">
        <v>715.75</v>
      </c>
      <c r="W75" s="16">
        <v>86.23</v>
      </c>
      <c r="X75" s="31">
        <f>MOD(general_price[[#This Row],[date]], 1)</f>
        <v>4.1666666664241347E-2</v>
      </c>
      <c r="Y75" s="25" t="str">
        <f t="shared" si="1"/>
        <v/>
      </c>
      <c r="Z75" s="22">
        <v>0</v>
      </c>
      <c r="AA75" s="48">
        <f>general_price[[#This Row],[Battery (Charging) -  MW]]+general_price[[#This Row],[Battery (Discharging) -  MW]]</f>
        <v>-4.29</v>
      </c>
      <c r="AB75" s="48">
        <f>general_price[[#This Row],[Pumps -  MW]]+general_price[[#This Row],[Hydro -  MW]]</f>
        <v>42.89</v>
      </c>
    </row>
    <row r="76" spans="1:28">
      <c r="A76" s="13">
        <v>45851.0625</v>
      </c>
      <c r="B76" s="14">
        <v>-6.37</v>
      </c>
      <c r="C76" s="15">
        <v>0</v>
      </c>
      <c r="D76" s="15">
        <v>-4.1399999999999997</v>
      </c>
      <c r="E76" s="15">
        <v>1161.68</v>
      </c>
      <c r="F76" s="15">
        <v>6103.18</v>
      </c>
      <c r="G76" s="15">
        <v>-1.63</v>
      </c>
      <c r="H76" s="15">
        <v>0</v>
      </c>
      <c r="I76" s="15">
        <v>43.18</v>
      </c>
      <c r="J76" s="15">
        <v>2.14</v>
      </c>
      <c r="K76" s="15">
        <v>30.59</v>
      </c>
      <c r="L76" s="15">
        <v>616.01</v>
      </c>
      <c r="M76" s="15">
        <v>0.05</v>
      </c>
      <c r="N76" s="15">
        <v>0</v>
      </c>
      <c r="O76" s="15">
        <v>9.0299999999999994</v>
      </c>
      <c r="P76" s="15">
        <v>1.69</v>
      </c>
      <c r="Q76" s="15">
        <v>294.89</v>
      </c>
      <c r="R76" s="15">
        <v>2757.87</v>
      </c>
      <c r="S76" s="15">
        <v>0.43</v>
      </c>
      <c r="T76" s="15">
        <v>0</v>
      </c>
      <c r="U76" s="15">
        <v>13</v>
      </c>
      <c r="V76" s="15">
        <v>697.65</v>
      </c>
      <c r="W76" s="16">
        <v>76.58</v>
      </c>
      <c r="X76" s="31">
        <f>MOD(general_price[[#This Row],[date]], 1)</f>
        <v>6.25E-2</v>
      </c>
      <c r="Y76" s="25" t="str">
        <f t="shared" si="1"/>
        <v/>
      </c>
      <c r="Z76" s="22">
        <v>0</v>
      </c>
      <c r="AA76" s="48">
        <f>general_price[[#This Row],[Battery (Charging) -  MW]]+general_price[[#This Row],[Battery (Discharging) -  MW]]</f>
        <v>-4.2300000000000004</v>
      </c>
      <c r="AB76" s="48">
        <f>general_price[[#This Row],[Pumps -  MW]]+general_price[[#This Row],[Hydro -  MW]]</f>
        <v>30.59</v>
      </c>
    </row>
    <row r="77" spans="1:28">
      <c r="A77" s="13">
        <v>45851.083333333336</v>
      </c>
      <c r="B77" s="14">
        <v>-6.84</v>
      </c>
      <c r="C77" s="15">
        <v>0</v>
      </c>
      <c r="D77" s="15">
        <v>0</v>
      </c>
      <c r="E77" s="15">
        <v>1161.04</v>
      </c>
      <c r="F77" s="15">
        <v>5914.4</v>
      </c>
      <c r="G77" s="15">
        <v>-1.05</v>
      </c>
      <c r="H77" s="15">
        <v>0</v>
      </c>
      <c r="I77" s="15">
        <v>42.7</v>
      </c>
      <c r="J77" s="15">
        <v>2.73</v>
      </c>
      <c r="K77" s="15">
        <v>30.71</v>
      </c>
      <c r="L77" s="15">
        <v>587.45000000000005</v>
      </c>
      <c r="M77" s="15">
        <v>0.05</v>
      </c>
      <c r="N77" s="15">
        <v>0</v>
      </c>
      <c r="O77" s="15">
        <v>8.82</v>
      </c>
      <c r="P77" s="15">
        <v>0</v>
      </c>
      <c r="Q77" s="15">
        <v>287.43</v>
      </c>
      <c r="R77" s="15">
        <v>2670.32</v>
      </c>
      <c r="S77" s="15">
        <v>0.45</v>
      </c>
      <c r="T77" s="15">
        <v>0</v>
      </c>
      <c r="U77" s="15">
        <v>12.86</v>
      </c>
      <c r="V77" s="15">
        <v>694.23</v>
      </c>
      <c r="W77" s="16">
        <v>76.58</v>
      </c>
      <c r="X77" s="31">
        <f>MOD(general_price[[#This Row],[date]], 1)</f>
        <v>8.3333333335758653E-2</v>
      </c>
      <c r="Y77" s="25" t="str">
        <f t="shared" si="1"/>
        <v/>
      </c>
      <c r="Z77" s="22">
        <v>0</v>
      </c>
      <c r="AA77" s="48">
        <f>general_price[[#This Row],[Battery (Charging) -  MW]]+general_price[[#This Row],[Battery (Discharging) -  MW]]</f>
        <v>-4.1099999999999994</v>
      </c>
      <c r="AB77" s="48">
        <f>general_price[[#This Row],[Pumps -  MW]]+general_price[[#This Row],[Hydro -  MW]]</f>
        <v>30.71</v>
      </c>
    </row>
    <row r="78" spans="1:28">
      <c r="A78" s="13">
        <v>45851.104166666664</v>
      </c>
      <c r="B78" s="14">
        <v>-7.97</v>
      </c>
      <c r="C78" s="15">
        <v>0</v>
      </c>
      <c r="D78" s="15">
        <v>0</v>
      </c>
      <c r="E78" s="15">
        <v>1158.72</v>
      </c>
      <c r="F78" s="15">
        <v>5907.53</v>
      </c>
      <c r="G78" s="15">
        <v>-1.07</v>
      </c>
      <c r="H78" s="15">
        <v>0</v>
      </c>
      <c r="I78" s="15">
        <v>42.92</v>
      </c>
      <c r="J78" s="15">
        <v>1.41</v>
      </c>
      <c r="K78" s="15">
        <v>30.6</v>
      </c>
      <c r="L78" s="15">
        <v>458.51</v>
      </c>
      <c r="M78" s="15">
        <v>0.05</v>
      </c>
      <c r="N78" s="15">
        <v>0</v>
      </c>
      <c r="O78" s="15">
        <v>8.6199999999999992</v>
      </c>
      <c r="P78" s="15">
        <v>0</v>
      </c>
      <c r="Q78" s="15">
        <v>290.31</v>
      </c>
      <c r="R78" s="15">
        <v>2670.49</v>
      </c>
      <c r="S78" s="15">
        <v>0.44</v>
      </c>
      <c r="T78" s="15">
        <v>0</v>
      </c>
      <c r="U78" s="15">
        <v>12.92</v>
      </c>
      <c r="V78" s="15">
        <v>707.14</v>
      </c>
      <c r="W78" s="16">
        <v>76.8</v>
      </c>
      <c r="X78" s="31">
        <f>MOD(general_price[[#This Row],[date]], 1)</f>
        <v>0.10416666666424135</v>
      </c>
      <c r="Y78" s="25" t="str">
        <f t="shared" si="1"/>
        <v/>
      </c>
      <c r="Z78" s="22">
        <v>0</v>
      </c>
      <c r="AA78" s="48">
        <f>general_price[[#This Row],[Battery (Charging) -  MW]]+general_price[[#This Row],[Battery (Discharging) -  MW]]</f>
        <v>-6.56</v>
      </c>
      <c r="AB78" s="48">
        <f>general_price[[#This Row],[Pumps -  MW]]+general_price[[#This Row],[Hydro -  MW]]</f>
        <v>30.6</v>
      </c>
    </row>
    <row r="79" spans="1:28">
      <c r="A79" s="13">
        <v>45851.125</v>
      </c>
      <c r="B79" s="14">
        <v>-8.36</v>
      </c>
      <c r="C79" s="15">
        <v>0</v>
      </c>
      <c r="D79" s="15">
        <v>0</v>
      </c>
      <c r="E79" s="15">
        <v>1188.4000000000001</v>
      </c>
      <c r="F79" s="15">
        <v>5740.51</v>
      </c>
      <c r="G79" s="15">
        <v>-2.63</v>
      </c>
      <c r="H79" s="15">
        <v>0</v>
      </c>
      <c r="I79" s="15">
        <v>42.79</v>
      </c>
      <c r="J79" s="15">
        <v>2.25</v>
      </c>
      <c r="K79" s="15">
        <v>30.61</v>
      </c>
      <c r="L79" s="15">
        <v>495.65</v>
      </c>
      <c r="M79" s="15">
        <v>0.05</v>
      </c>
      <c r="N79" s="15">
        <v>0</v>
      </c>
      <c r="O79" s="15">
        <v>8.43</v>
      </c>
      <c r="P79" s="15">
        <v>0</v>
      </c>
      <c r="Q79" s="15">
        <v>317.52999999999997</v>
      </c>
      <c r="R79" s="15">
        <v>2593.94</v>
      </c>
      <c r="S79" s="15">
        <v>0.44</v>
      </c>
      <c r="T79" s="15">
        <v>0</v>
      </c>
      <c r="U79" s="15">
        <v>12.88</v>
      </c>
      <c r="V79" s="15">
        <v>696.27</v>
      </c>
      <c r="W79" s="16">
        <v>76.42</v>
      </c>
      <c r="X79" s="31">
        <f>MOD(general_price[[#This Row],[date]], 1)</f>
        <v>0.125</v>
      </c>
      <c r="Y79" s="25" t="str">
        <f t="shared" si="1"/>
        <v/>
      </c>
      <c r="Z79" s="22">
        <v>0</v>
      </c>
      <c r="AA79" s="48">
        <f>general_price[[#This Row],[Battery (Charging) -  MW]]+general_price[[#This Row],[Battery (Discharging) -  MW]]</f>
        <v>-6.1099999999999994</v>
      </c>
      <c r="AB79" s="48">
        <f>general_price[[#This Row],[Pumps -  MW]]+general_price[[#This Row],[Hydro -  MW]]</f>
        <v>30.61</v>
      </c>
    </row>
    <row r="80" spans="1:28">
      <c r="A80" s="13">
        <v>45851.145833333336</v>
      </c>
      <c r="B80" s="14">
        <v>-12.28</v>
      </c>
      <c r="C80" s="15">
        <v>0</v>
      </c>
      <c r="D80" s="15">
        <v>0</v>
      </c>
      <c r="E80" s="15">
        <v>1211.4000000000001</v>
      </c>
      <c r="F80" s="15">
        <v>5590.23</v>
      </c>
      <c r="G80" s="15">
        <v>-0.85</v>
      </c>
      <c r="H80" s="15">
        <v>0</v>
      </c>
      <c r="I80" s="15">
        <v>42.66</v>
      </c>
      <c r="J80" s="15">
        <v>0.73</v>
      </c>
      <c r="K80" s="15">
        <v>30.61</v>
      </c>
      <c r="L80" s="15">
        <v>560.57000000000005</v>
      </c>
      <c r="M80" s="15">
        <v>0.05</v>
      </c>
      <c r="N80" s="15">
        <v>0</v>
      </c>
      <c r="O80" s="15">
        <v>8.3699999999999992</v>
      </c>
      <c r="P80" s="15">
        <v>0</v>
      </c>
      <c r="Q80" s="15">
        <v>327</v>
      </c>
      <c r="R80" s="15">
        <v>2519.94</v>
      </c>
      <c r="S80" s="15">
        <v>0.44</v>
      </c>
      <c r="T80" s="15">
        <v>0</v>
      </c>
      <c r="U80" s="15">
        <v>12.84</v>
      </c>
      <c r="V80" s="15">
        <v>682.52</v>
      </c>
      <c r="W80" s="16">
        <v>76.58</v>
      </c>
      <c r="X80" s="31">
        <f>MOD(general_price[[#This Row],[date]], 1)</f>
        <v>0.14583333333575865</v>
      </c>
      <c r="Y80" s="25" t="str">
        <f t="shared" si="1"/>
        <v/>
      </c>
      <c r="Z80" s="22">
        <v>0</v>
      </c>
      <c r="AA80" s="48">
        <f>general_price[[#This Row],[Battery (Charging) -  MW]]+general_price[[#This Row],[Battery (Discharging) -  MW]]</f>
        <v>-11.549999999999999</v>
      </c>
      <c r="AB80" s="48">
        <f>general_price[[#This Row],[Pumps -  MW]]+general_price[[#This Row],[Hydro -  MW]]</f>
        <v>30.61</v>
      </c>
    </row>
    <row r="81" spans="1:28">
      <c r="A81" s="13">
        <v>45851.166666666664</v>
      </c>
      <c r="B81" s="14">
        <v>-16.11</v>
      </c>
      <c r="C81" s="15">
        <v>0</v>
      </c>
      <c r="D81" s="15">
        <v>-1.54</v>
      </c>
      <c r="E81" s="15">
        <v>1120.46</v>
      </c>
      <c r="F81" s="15">
        <v>5569.67</v>
      </c>
      <c r="G81" s="15">
        <v>-1.02</v>
      </c>
      <c r="H81" s="15">
        <v>0</v>
      </c>
      <c r="I81" s="15">
        <v>42.41</v>
      </c>
      <c r="J81" s="15">
        <v>1</v>
      </c>
      <c r="K81" s="15">
        <v>25.51</v>
      </c>
      <c r="L81" s="15">
        <v>565.66999999999996</v>
      </c>
      <c r="M81" s="15">
        <v>0.05</v>
      </c>
      <c r="N81" s="15">
        <v>0</v>
      </c>
      <c r="O81" s="15">
        <v>8.0299999999999994</v>
      </c>
      <c r="P81" s="15">
        <v>0.63</v>
      </c>
      <c r="Q81" s="15">
        <v>293.86</v>
      </c>
      <c r="R81" s="15">
        <v>2510.21</v>
      </c>
      <c r="S81" s="15">
        <v>0.45</v>
      </c>
      <c r="T81" s="15">
        <v>0</v>
      </c>
      <c r="U81" s="15">
        <v>12.77</v>
      </c>
      <c r="V81" s="15">
        <v>690.77</v>
      </c>
      <c r="W81" s="16">
        <v>75.84</v>
      </c>
      <c r="X81" s="31">
        <f>MOD(general_price[[#This Row],[date]], 1)</f>
        <v>0.16666666666424135</v>
      </c>
      <c r="Y81" s="25" t="str">
        <f t="shared" si="1"/>
        <v/>
      </c>
      <c r="Z81" s="22">
        <v>0</v>
      </c>
      <c r="AA81" s="48">
        <f>general_price[[#This Row],[Battery (Charging) -  MW]]+general_price[[#This Row],[Battery (Discharging) -  MW]]</f>
        <v>-15.11</v>
      </c>
      <c r="AB81" s="48">
        <f>general_price[[#This Row],[Pumps -  MW]]+general_price[[#This Row],[Hydro -  MW]]</f>
        <v>25.51</v>
      </c>
    </row>
    <row r="82" spans="1:28">
      <c r="A82" s="13">
        <v>45851.1875</v>
      </c>
      <c r="B82" s="14">
        <v>-21.6</v>
      </c>
      <c r="C82" s="15">
        <v>0</v>
      </c>
      <c r="D82" s="15">
        <v>-11.78</v>
      </c>
      <c r="E82" s="15">
        <v>1085.6400000000001</v>
      </c>
      <c r="F82" s="15">
        <v>5769.39</v>
      </c>
      <c r="G82" s="15">
        <v>-1.77</v>
      </c>
      <c r="H82" s="15">
        <v>0</v>
      </c>
      <c r="I82" s="15">
        <v>43.34</v>
      </c>
      <c r="J82" s="15">
        <v>1.95</v>
      </c>
      <c r="K82" s="15">
        <v>-0.32</v>
      </c>
      <c r="L82" s="15">
        <v>572.49</v>
      </c>
      <c r="M82" s="15">
        <v>0.05</v>
      </c>
      <c r="N82" s="15">
        <v>0</v>
      </c>
      <c r="O82" s="15">
        <v>7.68</v>
      </c>
      <c r="P82" s="15">
        <v>4.8600000000000003</v>
      </c>
      <c r="Q82" s="15">
        <v>278.2</v>
      </c>
      <c r="R82" s="15">
        <v>2609.27</v>
      </c>
      <c r="S82" s="15">
        <v>0.45</v>
      </c>
      <c r="T82" s="15">
        <v>0</v>
      </c>
      <c r="U82" s="15">
        <v>13.05</v>
      </c>
      <c r="V82" s="15">
        <v>705.29</v>
      </c>
      <c r="W82" s="16">
        <v>72.2</v>
      </c>
      <c r="X82" s="31">
        <f>MOD(general_price[[#This Row],[date]], 1)</f>
        <v>0.1875</v>
      </c>
      <c r="Y82" s="25" t="str">
        <f t="shared" si="1"/>
        <v/>
      </c>
      <c r="Z82" s="22">
        <v>0</v>
      </c>
      <c r="AA82" s="48">
        <f>general_price[[#This Row],[Battery (Charging) -  MW]]+general_price[[#This Row],[Battery (Discharging) -  MW]]</f>
        <v>-19.650000000000002</v>
      </c>
      <c r="AB82" s="48">
        <f>general_price[[#This Row],[Pumps -  MW]]+general_price[[#This Row],[Hydro -  MW]]</f>
        <v>-0.32</v>
      </c>
    </row>
    <row r="83" spans="1:28">
      <c r="A83" s="13">
        <v>45851.208333333336</v>
      </c>
      <c r="B83" s="14">
        <v>-5.82</v>
      </c>
      <c r="C83" s="15">
        <v>0</v>
      </c>
      <c r="D83" s="15">
        <v>0</v>
      </c>
      <c r="E83" s="15">
        <v>1093.72</v>
      </c>
      <c r="F83" s="15">
        <v>5952.8</v>
      </c>
      <c r="G83" s="15">
        <v>-0.21</v>
      </c>
      <c r="H83" s="15">
        <v>0</v>
      </c>
      <c r="I83" s="15">
        <v>44.17</v>
      </c>
      <c r="J83" s="15">
        <v>1.82</v>
      </c>
      <c r="K83" s="15">
        <v>-0.28000000000000003</v>
      </c>
      <c r="L83" s="15">
        <v>561.38</v>
      </c>
      <c r="M83" s="15">
        <v>0.05</v>
      </c>
      <c r="N83" s="15">
        <v>0</v>
      </c>
      <c r="O83" s="15">
        <v>7.71</v>
      </c>
      <c r="P83" s="15">
        <v>0</v>
      </c>
      <c r="Q83" s="15">
        <v>284.94</v>
      </c>
      <c r="R83" s="15">
        <v>2696.67</v>
      </c>
      <c r="S83" s="15">
        <v>0.45</v>
      </c>
      <c r="T83" s="15">
        <v>0</v>
      </c>
      <c r="U83" s="15">
        <v>13.3</v>
      </c>
      <c r="V83" s="15">
        <v>708.82</v>
      </c>
      <c r="W83" s="16">
        <v>75.760000000000005</v>
      </c>
      <c r="X83" s="31">
        <f>MOD(general_price[[#This Row],[date]], 1)</f>
        <v>0.20833333333575865</v>
      </c>
      <c r="Y83" s="25" t="str">
        <f t="shared" si="1"/>
        <v/>
      </c>
      <c r="Z83" s="22">
        <v>0</v>
      </c>
      <c r="AA83" s="48">
        <f>general_price[[#This Row],[Battery (Charging) -  MW]]+general_price[[#This Row],[Battery (Discharging) -  MW]]</f>
        <v>-4</v>
      </c>
      <c r="AB83" s="48">
        <f>general_price[[#This Row],[Pumps -  MW]]+general_price[[#This Row],[Hydro -  MW]]</f>
        <v>-0.28000000000000003</v>
      </c>
    </row>
    <row r="84" spans="1:28">
      <c r="A84" s="13">
        <v>45851.229166666664</v>
      </c>
      <c r="B84" s="14">
        <v>-6.54</v>
      </c>
      <c r="C84" s="15">
        <v>0</v>
      </c>
      <c r="D84" s="15">
        <v>-71.02</v>
      </c>
      <c r="E84" s="15">
        <v>1089.6099999999999</v>
      </c>
      <c r="F84" s="15">
        <v>6074.21</v>
      </c>
      <c r="G84" s="15">
        <v>-0.14000000000000001</v>
      </c>
      <c r="H84" s="15">
        <v>0</v>
      </c>
      <c r="I84" s="15">
        <v>44.79</v>
      </c>
      <c r="J84" s="15">
        <v>3.8</v>
      </c>
      <c r="K84" s="15">
        <v>-0.34</v>
      </c>
      <c r="L84" s="15">
        <v>539.91999999999996</v>
      </c>
      <c r="M84" s="15">
        <v>0.05</v>
      </c>
      <c r="N84" s="15">
        <v>0</v>
      </c>
      <c r="O84" s="15">
        <v>7.95</v>
      </c>
      <c r="P84" s="15">
        <v>29.41</v>
      </c>
      <c r="Q84" s="15">
        <v>283.95999999999998</v>
      </c>
      <c r="R84" s="15">
        <v>2752.7</v>
      </c>
      <c r="S84" s="15">
        <v>0.45</v>
      </c>
      <c r="T84" s="15">
        <v>0</v>
      </c>
      <c r="U84" s="15">
        <v>13.49</v>
      </c>
      <c r="V84" s="15">
        <v>721.01</v>
      </c>
      <c r="W84" s="16">
        <v>76.58</v>
      </c>
      <c r="X84" s="31">
        <f>MOD(general_price[[#This Row],[date]], 1)</f>
        <v>0.22916666666424135</v>
      </c>
      <c r="Y84" s="25" t="str">
        <f t="shared" si="1"/>
        <v/>
      </c>
      <c r="Z84" s="22">
        <v>0</v>
      </c>
      <c r="AA84" s="48">
        <f>general_price[[#This Row],[Battery (Charging) -  MW]]+general_price[[#This Row],[Battery (Discharging) -  MW]]</f>
        <v>-2.74</v>
      </c>
      <c r="AB84" s="48">
        <f>general_price[[#This Row],[Pumps -  MW]]+general_price[[#This Row],[Hydro -  MW]]</f>
        <v>-0.34</v>
      </c>
    </row>
    <row r="85" spans="1:28">
      <c r="A85" s="13">
        <v>45851.25</v>
      </c>
      <c r="B85" s="14">
        <v>-16.5</v>
      </c>
      <c r="C85" s="15">
        <v>-67.34</v>
      </c>
      <c r="D85" s="15">
        <v>-126.98</v>
      </c>
      <c r="E85" s="15">
        <v>1083.81</v>
      </c>
      <c r="F85" s="15">
        <v>6290</v>
      </c>
      <c r="G85" s="15">
        <v>-2.2200000000000002</v>
      </c>
      <c r="H85" s="15">
        <v>0</v>
      </c>
      <c r="I85" s="15">
        <v>44.89</v>
      </c>
      <c r="J85" s="15">
        <v>2.5099999999999998</v>
      </c>
      <c r="K85" s="15">
        <v>-0.32</v>
      </c>
      <c r="L85" s="15">
        <v>529.91</v>
      </c>
      <c r="M85" s="15">
        <v>0.05</v>
      </c>
      <c r="N85" s="15">
        <v>0</v>
      </c>
      <c r="O85" s="15">
        <v>7.99</v>
      </c>
      <c r="P85" s="15">
        <v>52.26</v>
      </c>
      <c r="Q85" s="15">
        <v>277.75</v>
      </c>
      <c r="R85" s="15">
        <v>2849.68</v>
      </c>
      <c r="S85" s="15">
        <v>0.44</v>
      </c>
      <c r="T85" s="15">
        <v>0</v>
      </c>
      <c r="U85" s="15">
        <v>13.52</v>
      </c>
      <c r="V85" s="15">
        <v>740.17</v>
      </c>
      <c r="W85" s="16">
        <v>76.89</v>
      </c>
      <c r="X85" s="31">
        <f>MOD(general_price[[#This Row],[date]], 1)</f>
        <v>0.25</v>
      </c>
      <c r="Y85" s="25" t="str">
        <f t="shared" si="1"/>
        <v/>
      </c>
      <c r="Z85" s="22">
        <v>0</v>
      </c>
      <c r="AA85" s="48">
        <f>general_price[[#This Row],[Battery (Charging) -  MW]]+general_price[[#This Row],[Battery (Discharging) -  MW]]</f>
        <v>-13.99</v>
      </c>
      <c r="AB85" s="48">
        <f>general_price[[#This Row],[Pumps -  MW]]+general_price[[#This Row],[Hydro -  MW]]</f>
        <v>-67.66</v>
      </c>
    </row>
    <row r="86" spans="1:28">
      <c r="A86" s="13">
        <v>45851.270833333336</v>
      </c>
      <c r="B86" s="14">
        <v>-11.07</v>
      </c>
      <c r="C86" s="15">
        <v>-80.83</v>
      </c>
      <c r="D86" s="15">
        <v>-106.09</v>
      </c>
      <c r="E86" s="15">
        <v>1075.53</v>
      </c>
      <c r="F86" s="15">
        <v>6564.67</v>
      </c>
      <c r="G86" s="15">
        <v>-0.64</v>
      </c>
      <c r="H86" s="15">
        <v>0</v>
      </c>
      <c r="I86" s="15">
        <v>44.66</v>
      </c>
      <c r="J86" s="15">
        <v>1.74</v>
      </c>
      <c r="K86" s="15">
        <v>6.56</v>
      </c>
      <c r="L86" s="15">
        <v>542.15</v>
      </c>
      <c r="M86" s="15">
        <v>0.05</v>
      </c>
      <c r="N86" s="15">
        <v>0.13</v>
      </c>
      <c r="O86" s="15">
        <v>7.91</v>
      </c>
      <c r="P86" s="15">
        <v>43.62</v>
      </c>
      <c r="Q86" s="15">
        <v>267.61</v>
      </c>
      <c r="R86" s="15">
        <v>2972.19</v>
      </c>
      <c r="S86" s="15">
        <v>0.45</v>
      </c>
      <c r="T86" s="15">
        <v>0</v>
      </c>
      <c r="U86" s="15">
        <v>13.45</v>
      </c>
      <c r="V86" s="15">
        <v>743.1</v>
      </c>
      <c r="W86" s="16">
        <v>81.209999999999994</v>
      </c>
      <c r="X86" s="31">
        <f>MOD(general_price[[#This Row],[date]], 1)</f>
        <v>0.27083333333575865</v>
      </c>
      <c r="Y86" s="25" t="str">
        <f t="shared" si="1"/>
        <v/>
      </c>
      <c r="Z86" s="22">
        <v>0</v>
      </c>
      <c r="AA86" s="48">
        <f>general_price[[#This Row],[Battery (Charging) -  MW]]+general_price[[#This Row],[Battery (Discharging) -  MW]]</f>
        <v>-9.33</v>
      </c>
      <c r="AB86" s="48">
        <f>general_price[[#This Row],[Pumps -  MW]]+general_price[[#This Row],[Hydro -  MW]]</f>
        <v>-74.27</v>
      </c>
    </row>
    <row r="87" spans="1:28">
      <c r="A87" s="13">
        <v>45851.291666666664</v>
      </c>
      <c r="B87" s="14">
        <v>-9.7200000000000006</v>
      </c>
      <c r="C87" s="15">
        <v>-80.86</v>
      </c>
      <c r="D87" s="15">
        <v>-110.82</v>
      </c>
      <c r="E87" s="15">
        <v>1093.71</v>
      </c>
      <c r="F87" s="15">
        <v>6830.02</v>
      </c>
      <c r="G87" s="15">
        <v>-0.47</v>
      </c>
      <c r="H87" s="15">
        <v>0</v>
      </c>
      <c r="I87" s="15">
        <v>44.76</v>
      </c>
      <c r="J87" s="15">
        <v>0</v>
      </c>
      <c r="K87" s="15">
        <v>44.21</v>
      </c>
      <c r="L87" s="15">
        <v>548.48</v>
      </c>
      <c r="M87" s="15">
        <v>6.71</v>
      </c>
      <c r="N87" s="15">
        <v>7.75</v>
      </c>
      <c r="O87" s="15">
        <v>7.81</v>
      </c>
      <c r="P87" s="15">
        <v>45.39</v>
      </c>
      <c r="Q87" s="15">
        <v>258.3</v>
      </c>
      <c r="R87" s="15">
        <v>3090.51</v>
      </c>
      <c r="S87" s="15">
        <v>0.45</v>
      </c>
      <c r="T87" s="15">
        <v>0</v>
      </c>
      <c r="U87" s="15">
        <v>13.48</v>
      </c>
      <c r="V87" s="15">
        <v>741.47</v>
      </c>
      <c r="W87" s="16">
        <v>93.02</v>
      </c>
      <c r="X87" s="31">
        <f>MOD(general_price[[#This Row],[date]], 1)</f>
        <v>0.29166666666424135</v>
      </c>
      <c r="Y87" s="25" t="str">
        <f t="shared" si="1"/>
        <v/>
      </c>
      <c r="Z87" s="22">
        <v>0</v>
      </c>
      <c r="AA87" s="48">
        <f>general_price[[#This Row],[Battery (Charging) -  MW]]+general_price[[#This Row],[Battery (Discharging) -  MW]]</f>
        <v>-9.7200000000000006</v>
      </c>
      <c r="AB87" s="48">
        <f>general_price[[#This Row],[Pumps -  MW]]+general_price[[#This Row],[Hydro -  MW]]</f>
        <v>-36.65</v>
      </c>
    </row>
    <row r="88" spans="1:28">
      <c r="A88" s="13">
        <v>45851.3125</v>
      </c>
      <c r="B88" s="14">
        <v>-11.97</v>
      </c>
      <c r="C88" s="15">
        <v>-80.8</v>
      </c>
      <c r="D88" s="15">
        <v>-27.54</v>
      </c>
      <c r="E88" s="15">
        <v>1118.21</v>
      </c>
      <c r="F88" s="15">
        <v>6744.1</v>
      </c>
      <c r="G88" s="15">
        <v>-1.1599999999999999</v>
      </c>
      <c r="H88" s="15">
        <v>0</v>
      </c>
      <c r="I88" s="15">
        <v>44.81</v>
      </c>
      <c r="J88" s="15">
        <v>0.14000000000000001</v>
      </c>
      <c r="K88" s="15">
        <v>23.47</v>
      </c>
      <c r="L88" s="15">
        <v>650.45000000000005</v>
      </c>
      <c r="M88" s="15">
        <v>119.9</v>
      </c>
      <c r="N88" s="15">
        <v>88.96</v>
      </c>
      <c r="O88" s="15">
        <v>7.72</v>
      </c>
      <c r="P88" s="15">
        <v>11.13</v>
      </c>
      <c r="Q88" s="15">
        <v>261.77999999999997</v>
      </c>
      <c r="R88" s="15">
        <v>3051.59</v>
      </c>
      <c r="S88" s="15">
        <v>0.45</v>
      </c>
      <c r="T88" s="15">
        <v>0</v>
      </c>
      <c r="U88" s="15">
        <v>13.49</v>
      </c>
      <c r="V88" s="15">
        <v>707.27</v>
      </c>
      <c r="W88" s="16">
        <v>81.73</v>
      </c>
      <c r="X88" s="31">
        <f>MOD(general_price[[#This Row],[date]], 1)</f>
        <v>0.3125</v>
      </c>
      <c r="Y88" s="25" t="str">
        <f t="shared" si="1"/>
        <v/>
      </c>
      <c r="Z88" s="22">
        <v>0</v>
      </c>
      <c r="AA88" s="48">
        <f>general_price[[#This Row],[Battery (Charging) -  MW]]+general_price[[#This Row],[Battery (Discharging) -  MW]]</f>
        <v>-11.83</v>
      </c>
      <c r="AB88" s="48">
        <f>general_price[[#This Row],[Pumps -  MW]]+general_price[[#This Row],[Hydro -  MW]]</f>
        <v>-57.33</v>
      </c>
    </row>
    <row r="89" spans="1:28">
      <c r="A89" s="13">
        <v>45851.333333333336</v>
      </c>
      <c r="B89" s="14">
        <v>-17.34</v>
      </c>
      <c r="C89" s="15">
        <v>-80.69</v>
      </c>
      <c r="D89" s="15">
        <v>0</v>
      </c>
      <c r="E89" s="15">
        <v>1266.75</v>
      </c>
      <c r="F89" s="15">
        <v>5955.03</v>
      </c>
      <c r="G89" s="15">
        <v>-0.05</v>
      </c>
      <c r="H89" s="15">
        <v>0</v>
      </c>
      <c r="I89" s="15">
        <v>42.18</v>
      </c>
      <c r="J89" s="15">
        <v>1.99</v>
      </c>
      <c r="K89" s="15">
        <v>-0.22</v>
      </c>
      <c r="L89" s="15">
        <v>815.1</v>
      </c>
      <c r="M89" s="15">
        <v>569.92999999999995</v>
      </c>
      <c r="N89" s="15">
        <v>350.51</v>
      </c>
      <c r="O89" s="15">
        <v>7.77</v>
      </c>
      <c r="P89" s="15">
        <v>0</v>
      </c>
      <c r="Q89" s="15">
        <v>308.13</v>
      </c>
      <c r="R89" s="15">
        <v>2694.07</v>
      </c>
      <c r="S89" s="15">
        <v>0.44</v>
      </c>
      <c r="T89" s="15">
        <v>0</v>
      </c>
      <c r="U89" s="15">
        <v>12.7</v>
      </c>
      <c r="V89" s="15">
        <v>608.14</v>
      </c>
      <c r="W89" s="16">
        <v>57.01</v>
      </c>
      <c r="X89" s="31">
        <f>MOD(general_price[[#This Row],[date]], 1)</f>
        <v>0.33333333333575865</v>
      </c>
      <c r="Y89" s="25" t="str">
        <f t="shared" si="1"/>
        <v/>
      </c>
      <c r="Z89" s="22">
        <v>0</v>
      </c>
      <c r="AA89" s="48">
        <f>general_price[[#This Row],[Battery (Charging) -  MW]]+general_price[[#This Row],[Battery (Discharging) -  MW]]</f>
        <v>-15.35</v>
      </c>
      <c r="AB89" s="48">
        <f>general_price[[#This Row],[Pumps -  MW]]+general_price[[#This Row],[Hydro -  MW]]</f>
        <v>-80.91</v>
      </c>
    </row>
    <row r="90" spans="1:28">
      <c r="A90" s="13">
        <v>45851.354166666664</v>
      </c>
      <c r="B90" s="14">
        <v>-49.15</v>
      </c>
      <c r="C90" s="15">
        <v>-96.63</v>
      </c>
      <c r="D90" s="15">
        <v>0</v>
      </c>
      <c r="E90" s="15">
        <v>1445.28</v>
      </c>
      <c r="F90" s="15">
        <v>4894.42</v>
      </c>
      <c r="G90" s="15">
        <v>-0.27</v>
      </c>
      <c r="H90" s="15">
        <v>0</v>
      </c>
      <c r="I90" s="15">
        <v>37.869999999999997</v>
      </c>
      <c r="J90" s="15">
        <v>2.16</v>
      </c>
      <c r="K90" s="15">
        <v>0</v>
      </c>
      <c r="L90" s="15">
        <v>909.3</v>
      </c>
      <c r="M90" s="15">
        <v>1379.32</v>
      </c>
      <c r="N90" s="15">
        <v>837.43</v>
      </c>
      <c r="O90" s="15">
        <v>8.5299999999999994</v>
      </c>
      <c r="P90" s="15">
        <v>0</v>
      </c>
      <c r="Q90" s="15">
        <v>341.62</v>
      </c>
      <c r="R90" s="15">
        <v>2214.41</v>
      </c>
      <c r="S90" s="15">
        <v>0.45</v>
      </c>
      <c r="T90" s="15">
        <v>0</v>
      </c>
      <c r="U90" s="15">
        <v>11.4</v>
      </c>
      <c r="V90" s="15">
        <v>475.71</v>
      </c>
      <c r="W90" s="16">
        <v>-11.86</v>
      </c>
      <c r="X90" s="31">
        <f>MOD(general_price[[#This Row],[date]], 1)</f>
        <v>0.35416666666424135</v>
      </c>
      <c r="Y90" s="25" t="str">
        <f t="shared" si="1"/>
        <v/>
      </c>
      <c r="Z90" s="22">
        <v>0</v>
      </c>
      <c r="AA90" s="48">
        <f>general_price[[#This Row],[Battery (Charging) -  MW]]+general_price[[#This Row],[Battery (Discharging) -  MW]]</f>
        <v>-46.989999999999995</v>
      </c>
      <c r="AB90" s="48">
        <f>general_price[[#This Row],[Pumps -  MW]]+general_price[[#This Row],[Hydro -  MW]]</f>
        <v>-96.63</v>
      </c>
    </row>
    <row r="91" spans="1:28">
      <c r="A91" s="13">
        <v>45851.375</v>
      </c>
      <c r="B91" s="14">
        <v>-25.06</v>
      </c>
      <c r="C91" s="15">
        <v>-270.41000000000003</v>
      </c>
      <c r="D91" s="15">
        <v>0</v>
      </c>
      <c r="E91" s="15">
        <v>1633.49</v>
      </c>
      <c r="F91" s="15">
        <v>4349.53</v>
      </c>
      <c r="G91" s="15">
        <v>0.14000000000000001</v>
      </c>
      <c r="H91" s="15">
        <v>0</v>
      </c>
      <c r="I91" s="15">
        <v>37.840000000000003</v>
      </c>
      <c r="J91" s="15">
        <v>6.16</v>
      </c>
      <c r="K91" s="15">
        <v>0</v>
      </c>
      <c r="L91" s="15">
        <v>852.04</v>
      </c>
      <c r="M91" s="15">
        <v>2080.34</v>
      </c>
      <c r="N91" s="15">
        <v>1337.7</v>
      </c>
      <c r="O91" s="15">
        <v>9.4600000000000009</v>
      </c>
      <c r="P91" s="15">
        <v>0</v>
      </c>
      <c r="Q91" s="15">
        <v>378.61</v>
      </c>
      <c r="R91" s="15">
        <v>1963.61</v>
      </c>
      <c r="S91" s="15">
        <v>0.44</v>
      </c>
      <c r="T91" s="15">
        <v>0</v>
      </c>
      <c r="U91" s="15">
        <v>11.39</v>
      </c>
      <c r="V91" s="15">
        <v>395.02</v>
      </c>
      <c r="W91" s="16">
        <v>0</v>
      </c>
      <c r="X91" s="31">
        <f>MOD(general_price[[#This Row],[date]], 1)</f>
        <v>0.375</v>
      </c>
      <c r="Y91" s="25" t="str">
        <f t="shared" si="1"/>
        <v/>
      </c>
      <c r="Z91" s="22">
        <v>0</v>
      </c>
      <c r="AA91" s="48">
        <f>general_price[[#This Row],[Battery (Charging) -  MW]]+general_price[[#This Row],[Battery (Discharging) -  MW]]</f>
        <v>-18.899999999999999</v>
      </c>
      <c r="AB91" s="48">
        <f>general_price[[#This Row],[Pumps -  MW]]+general_price[[#This Row],[Hydro -  MW]]</f>
        <v>-270.41000000000003</v>
      </c>
    </row>
    <row r="92" spans="1:28">
      <c r="A92" s="13">
        <v>45851.395833333336</v>
      </c>
      <c r="B92" s="14">
        <v>-18.59</v>
      </c>
      <c r="C92" s="15">
        <v>-271.38</v>
      </c>
      <c r="D92" s="15">
        <v>0</v>
      </c>
      <c r="E92" s="15">
        <v>1518.67</v>
      </c>
      <c r="F92" s="15">
        <v>4108.16</v>
      </c>
      <c r="G92" s="15">
        <v>9.33</v>
      </c>
      <c r="H92" s="15">
        <v>0</v>
      </c>
      <c r="I92" s="15">
        <v>37.83</v>
      </c>
      <c r="J92" s="15">
        <v>2.61</v>
      </c>
      <c r="K92" s="15">
        <v>0</v>
      </c>
      <c r="L92" s="15">
        <v>822.65</v>
      </c>
      <c r="M92" s="15">
        <v>2160.31</v>
      </c>
      <c r="N92" s="15">
        <v>1856.04</v>
      </c>
      <c r="O92" s="15">
        <v>10.59</v>
      </c>
      <c r="P92" s="15">
        <v>0</v>
      </c>
      <c r="Q92" s="15">
        <v>355.95</v>
      </c>
      <c r="R92" s="15">
        <v>1852.64</v>
      </c>
      <c r="S92" s="15">
        <v>0.4</v>
      </c>
      <c r="T92" s="15">
        <v>0</v>
      </c>
      <c r="U92" s="15">
        <v>11.39</v>
      </c>
      <c r="V92" s="15">
        <v>364.66</v>
      </c>
      <c r="W92" s="16">
        <v>76.58</v>
      </c>
      <c r="X92" s="31">
        <f>MOD(general_price[[#This Row],[date]], 1)</f>
        <v>0.39583333333575865</v>
      </c>
      <c r="Y92" s="25" t="str">
        <f t="shared" si="1"/>
        <v/>
      </c>
      <c r="Z92" s="22">
        <v>0</v>
      </c>
      <c r="AA92" s="48">
        <f>general_price[[#This Row],[Battery (Charging) -  MW]]+general_price[[#This Row],[Battery (Discharging) -  MW]]</f>
        <v>-15.98</v>
      </c>
      <c r="AB92" s="48">
        <f>general_price[[#This Row],[Pumps -  MW]]+general_price[[#This Row],[Hydro -  MW]]</f>
        <v>-271.38</v>
      </c>
    </row>
    <row r="93" spans="1:28">
      <c r="A93" s="13">
        <v>45851.416666666664</v>
      </c>
      <c r="B93" s="14">
        <v>-35.54</v>
      </c>
      <c r="C93" s="15">
        <v>-284.11</v>
      </c>
      <c r="D93" s="15">
        <v>0</v>
      </c>
      <c r="E93" s="15">
        <v>1468.46</v>
      </c>
      <c r="F93" s="15">
        <v>3656.04</v>
      </c>
      <c r="G93" s="15">
        <v>9.5399999999999991</v>
      </c>
      <c r="H93" s="15">
        <v>0</v>
      </c>
      <c r="I93" s="15">
        <v>37.89</v>
      </c>
      <c r="J93" s="15">
        <v>7.44</v>
      </c>
      <c r="K93" s="15">
        <v>0</v>
      </c>
      <c r="L93" s="15">
        <v>862.94</v>
      </c>
      <c r="M93" s="15">
        <v>2277.1799999999998</v>
      </c>
      <c r="N93" s="15">
        <v>2278.65</v>
      </c>
      <c r="O93" s="15">
        <v>10.98</v>
      </c>
      <c r="P93" s="15">
        <v>0</v>
      </c>
      <c r="Q93" s="15">
        <v>358.93</v>
      </c>
      <c r="R93" s="15">
        <v>1653.52</v>
      </c>
      <c r="S93" s="15">
        <v>0.38</v>
      </c>
      <c r="T93" s="15">
        <v>0</v>
      </c>
      <c r="U93" s="15">
        <v>11.41</v>
      </c>
      <c r="V93" s="15">
        <v>324.04000000000002</v>
      </c>
      <c r="W93" s="16">
        <v>24</v>
      </c>
      <c r="X93" s="31">
        <f>MOD(general_price[[#This Row],[date]], 1)</f>
        <v>0.41666666666424135</v>
      </c>
      <c r="Y93" s="25" t="str">
        <f t="shared" si="1"/>
        <v/>
      </c>
      <c r="Z93" s="22">
        <v>0</v>
      </c>
      <c r="AA93" s="48">
        <f>general_price[[#This Row],[Battery (Charging) -  MW]]+general_price[[#This Row],[Battery (Discharging) -  MW]]</f>
        <v>-28.099999999999998</v>
      </c>
      <c r="AB93" s="48">
        <f>general_price[[#This Row],[Pumps -  MW]]+general_price[[#This Row],[Hydro -  MW]]</f>
        <v>-284.11</v>
      </c>
    </row>
    <row r="94" spans="1:28">
      <c r="A94" s="13">
        <v>45851.4375</v>
      </c>
      <c r="B94" s="14">
        <v>-60.99</v>
      </c>
      <c r="C94" s="15">
        <v>-466.75</v>
      </c>
      <c r="D94" s="15">
        <v>0</v>
      </c>
      <c r="E94" s="15">
        <v>1763.72</v>
      </c>
      <c r="F94" s="15">
        <v>2964.61</v>
      </c>
      <c r="G94" s="15">
        <v>9.11</v>
      </c>
      <c r="H94" s="15">
        <v>0</v>
      </c>
      <c r="I94" s="15">
        <v>37.880000000000003</v>
      </c>
      <c r="J94" s="15">
        <v>3.18</v>
      </c>
      <c r="K94" s="15">
        <v>0</v>
      </c>
      <c r="L94" s="15">
        <v>914.75</v>
      </c>
      <c r="M94" s="15">
        <v>2061.91</v>
      </c>
      <c r="N94" s="15">
        <v>2658.7</v>
      </c>
      <c r="O94" s="15">
        <v>11.97</v>
      </c>
      <c r="P94" s="15">
        <v>0</v>
      </c>
      <c r="Q94" s="15">
        <v>419.83</v>
      </c>
      <c r="R94" s="15">
        <v>1346.49</v>
      </c>
      <c r="S94" s="15">
        <v>0.37</v>
      </c>
      <c r="T94" s="15">
        <v>0</v>
      </c>
      <c r="U94" s="15">
        <v>11.4</v>
      </c>
      <c r="V94" s="15">
        <v>274.77999999999997</v>
      </c>
      <c r="W94" s="16">
        <v>-16.54</v>
      </c>
      <c r="X94" s="31">
        <f>MOD(general_price[[#This Row],[date]], 1)</f>
        <v>0.4375</v>
      </c>
      <c r="Y94" s="25" t="str">
        <f t="shared" si="1"/>
        <v/>
      </c>
      <c r="Z94" s="22">
        <v>0</v>
      </c>
      <c r="AA94" s="48">
        <f>general_price[[#This Row],[Battery (Charging) -  MW]]+general_price[[#This Row],[Battery (Discharging) -  MW]]</f>
        <v>-57.81</v>
      </c>
      <c r="AB94" s="48">
        <f>general_price[[#This Row],[Pumps -  MW]]+general_price[[#This Row],[Hydro -  MW]]</f>
        <v>-466.75</v>
      </c>
    </row>
    <row r="95" spans="1:28">
      <c r="A95" s="13">
        <v>45851.458333333336</v>
      </c>
      <c r="B95" s="14">
        <v>-72.02</v>
      </c>
      <c r="C95" s="15">
        <v>-470.18</v>
      </c>
      <c r="D95" s="15">
        <v>0</v>
      </c>
      <c r="E95" s="15">
        <v>1753.49</v>
      </c>
      <c r="F95" s="15">
        <v>2519.48</v>
      </c>
      <c r="G95" s="15">
        <v>7.68</v>
      </c>
      <c r="H95" s="15">
        <v>0</v>
      </c>
      <c r="I95" s="15">
        <v>37.83</v>
      </c>
      <c r="J95" s="15">
        <v>3.99</v>
      </c>
      <c r="K95" s="15">
        <v>0</v>
      </c>
      <c r="L95" s="15">
        <v>981.91</v>
      </c>
      <c r="M95" s="15">
        <v>2155.25</v>
      </c>
      <c r="N95" s="15">
        <v>2927</v>
      </c>
      <c r="O95" s="15">
        <v>12.91</v>
      </c>
      <c r="P95" s="15">
        <v>0</v>
      </c>
      <c r="Q95" s="15">
        <v>426.21</v>
      </c>
      <c r="R95" s="15">
        <v>1147.97</v>
      </c>
      <c r="S95" s="15">
        <v>0.35</v>
      </c>
      <c r="T95" s="15">
        <v>0</v>
      </c>
      <c r="U95" s="15">
        <v>11.39</v>
      </c>
      <c r="V95" s="15">
        <v>235.61</v>
      </c>
      <c r="W95" s="16">
        <v>-16.54</v>
      </c>
      <c r="X95" s="31">
        <f>MOD(general_price[[#This Row],[date]], 1)</f>
        <v>0.45833333333575865</v>
      </c>
      <c r="Y95" s="25" t="str">
        <f t="shared" si="1"/>
        <v/>
      </c>
      <c r="Z95" s="22">
        <v>0</v>
      </c>
      <c r="AA95" s="48">
        <f>general_price[[#This Row],[Battery (Charging) -  MW]]+general_price[[#This Row],[Battery (Discharging) -  MW]]</f>
        <v>-68.03</v>
      </c>
      <c r="AB95" s="48">
        <f>general_price[[#This Row],[Pumps -  MW]]+general_price[[#This Row],[Hydro -  MW]]</f>
        <v>-470.18</v>
      </c>
    </row>
    <row r="96" spans="1:28">
      <c r="A96" s="13">
        <v>45851.479166666664</v>
      </c>
      <c r="B96" s="14">
        <v>-174.42</v>
      </c>
      <c r="C96" s="15">
        <v>-582.36</v>
      </c>
      <c r="D96" s="15">
        <v>0</v>
      </c>
      <c r="E96" s="15">
        <v>1601.4</v>
      </c>
      <c r="F96" s="15">
        <v>2448.65</v>
      </c>
      <c r="G96" s="15">
        <v>4.12</v>
      </c>
      <c r="H96" s="15">
        <v>0</v>
      </c>
      <c r="I96" s="15">
        <v>37.840000000000003</v>
      </c>
      <c r="J96" s="15">
        <v>0.74</v>
      </c>
      <c r="K96" s="15">
        <v>0</v>
      </c>
      <c r="L96" s="15">
        <v>968.43</v>
      </c>
      <c r="M96" s="15">
        <v>2332.9499999999998</v>
      </c>
      <c r="N96" s="15">
        <v>3166.39</v>
      </c>
      <c r="O96" s="15">
        <v>13.65</v>
      </c>
      <c r="P96" s="15">
        <v>0</v>
      </c>
      <c r="Q96" s="15">
        <v>398.34</v>
      </c>
      <c r="R96" s="15">
        <v>1114.6300000000001</v>
      </c>
      <c r="S96" s="15">
        <v>0.28000000000000003</v>
      </c>
      <c r="T96" s="15">
        <v>0</v>
      </c>
      <c r="U96" s="15">
        <v>11.39</v>
      </c>
      <c r="V96" s="15">
        <v>229.77</v>
      </c>
      <c r="W96" s="16">
        <v>-16.18</v>
      </c>
      <c r="X96" s="31">
        <f>MOD(general_price[[#This Row],[date]], 1)</f>
        <v>0.47916666666424135</v>
      </c>
      <c r="Y96" s="25" t="str">
        <f t="shared" si="1"/>
        <v/>
      </c>
      <c r="Z96" s="22">
        <v>0</v>
      </c>
      <c r="AA96" s="48">
        <f>general_price[[#This Row],[Battery (Charging) -  MW]]+general_price[[#This Row],[Battery (Discharging) -  MW]]</f>
        <v>-173.67999999999998</v>
      </c>
      <c r="AB96" s="48">
        <f>general_price[[#This Row],[Pumps -  MW]]+general_price[[#This Row],[Hydro -  MW]]</f>
        <v>-582.36</v>
      </c>
    </row>
    <row r="97" spans="1:28">
      <c r="A97" s="13">
        <v>45851.5</v>
      </c>
      <c r="B97" s="14">
        <v>-88.23</v>
      </c>
      <c r="C97" s="15">
        <v>-660.52</v>
      </c>
      <c r="D97" s="15">
        <v>0</v>
      </c>
      <c r="E97" s="15">
        <v>1342.77</v>
      </c>
      <c r="F97" s="15">
        <v>2458.89</v>
      </c>
      <c r="G97" s="15">
        <v>1.95</v>
      </c>
      <c r="H97" s="15">
        <v>0</v>
      </c>
      <c r="I97" s="15">
        <v>37.89</v>
      </c>
      <c r="J97" s="15">
        <v>1.59</v>
      </c>
      <c r="K97" s="15">
        <v>0</v>
      </c>
      <c r="L97" s="15">
        <v>1108.4000000000001</v>
      </c>
      <c r="M97" s="15">
        <v>2353.9499999999998</v>
      </c>
      <c r="N97" s="15">
        <v>3250.92</v>
      </c>
      <c r="O97" s="15">
        <v>14.42</v>
      </c>
      <c r="P97" s="15">
        <v>0</v>
      </c>
      <c r="Q97" s="15">
        <v>349.16</v>
      </c>
      <c r="R97" s="15">
        <v>1118.68</v>
      </c>
      <c r="S97" s="15">
        <v>0.24</v>
      </c>
      <c r="T97" s="15">
        <v>0</v>
      </c>
      <c r="U97" s="15">
        <v>11.41</v>
      </c>
      <c r="V97" s="15">
        <v>230.5</v>
      </c>
      <c r="W97" s="16">
        <v>-14.71</v>
      </c>
      <c r="X97" s="31">
        <f>MOD(general_price[[#This Row],[date]], 1)</f>
        <v>0.5</v>
      </c>
      <c r="Y97" s="25" t="str">
        <f t="shared" si="1"/>
        <v/>
      </c>
      <c r="Z97" s="22">
        <v>0</v>
      </c>
      <c r="AA97" s="48">
        <f>general_price[[#This Row],[Battery (Charging) -  MW]]+general_price[[#This Row],[Battery (Discharging) -  MW]]</f>
        <v>-86.64</v>
      </c>
      <c r="AB97" s="48">
        <f>general_price[[#This Row],[Pumps -  MW]]+general_price[[#This Row],[Hydro -  MW]]</f>
        <v>-660.52</v>
      </c>
    </row>
    <row r="98" spans="1:28">
      <c r="A98" s="13">
        <v>45851.520833333336</v>
      </c>
      <c r="B98" s="14">
        <v>-179.28</v>
      </c>
      <c r="C98" s="15">
        <v>-660.59</v>
      </c>
      <c r="D98" s="15">
        <v>0</v>
      </c>
      <c r="E98" s="15">
        <v>1342.74</v>
      </c>
      <c r="F98" s="15">
        <v>2389.2800000000002</v>
      </c>
      <c r="G98" s="15">
        <v>0.11</v>
      </c>
      <c r="H98" s="15">
        <v>0</v>
      </c>
      <c r="I98" s="15">
        <v>37.840000000000003</v>
      </c>
      <c r="J98" s="15">
        <v>0.3</v>
      </c>
      <c r="K98" s="15">
        <v>0</v>
      </c>
      <c r="L98" s="15">
        <v>1244.3499999999999</v>
      </c>
      <c r="M98" s="15">
        <v>2246.4699999999998</v>
      </c>
      <c r="N98" s="15">
        <v>3236.69</v>
      </c>
      <c r="O98" s="15">
        <v>15.17</v>
      </c>
      <c r="P98" s="15">
        <v>0</v>
      </c>
      <c r="Q98" s="15">
        <v>357.06</v>
      </c>
      <c r="R98" s="15">
        <v>1087.6199999999999</v>
      </c>
      <c r="S98" s="15">
        <v>0.21</v>
      </c>
      <c r="T98" s="15">
        <v>0</v>
      </c>
      <c r="U98" s="15">
        <v>11.39</v>
      </c>
      <c r="V98" s="15">
        <v>227.63</v>
      </c>
      <c r="W98" s="16">
        <v>-14.01</v>
      </c>
      <c r="X98" s="31">
        <f>MOD(general_price[[#This Row],[date]], 1)</f>
        <v>0.52083333333575865</v>
      </c>
      <c r="Y98" s="25" t="str">
        <f t="shared" si="1"/>
        <v/>
      </c>
      <c r="Z98" s="22">
        <v>0</v>
      </c>
      <c r="AA98" s="48">
        <f>general_price[[#This Row],[Battery (Charging) -  MW]]+general_price[[#This Row],[Battery (Discharging) -  MW]]</f>
        <v>-178.98</v>
      </c>
      <c r="AB98" s="48">
        <f>general_price[[#This Row],[Pumps -  MW]]+general_price[[#This Row],[Hydro -  MW]]</f>
        <v>-660.59</v>
      </c>
    </row>
    <row r="99" spans="1:28">
      <c r="A99" s="13">
        <v>45851.541666666664</v>
      </c>
      <c r="B99" s="14">
        <v>-193.5</v>
      </c>
      <c r="C99" s="15">
        <v>-659.32</v>
      </c>
      <c r="D99" s="15">
        <v>0</v>
      </c>
      <c r="E99" s="15">
        <v>1313.14</v>
      </c>
      <c r="F99" s="15">
        <v>2388.5500000000002</v>
      </c>
      <c r="G99" s="15">
        <v>-0.12</v>
      </c>
      <c r="H99" s="15">
        <v>0</v>
      </c>
      <c r="I99" s="15">
        <v>37.81</v>
      </c>
      <c r="J99" s="15">
        <v>0.96</v>
      </c>
      <c r="K99" s="15">
        <v>0</v>
      </c>
      <c r="L99" s="15">
        <v>1347.9</v>
      </c>
      <c r="M99" s="15">
        <v>2265.35</v>
      </c>
      <c r="N99" s="15">
        <v>3104.69</v>
      </c>
      <c r="O99" s="15">
        <v>16.100000000000001</v>
      </c>
      <c r="P99" s="15">
        <v>0</v>
      </c>
      <c r="Q99" s="15">
        <v>350.99</v>
      </c>
      <c r="R99" s="15">
        <v>1087.4000000000001</v>
      </c>
      <c r="S99" s="15">
        <v>0.21</v>
      </c>
      <c r="T99" s="15">
        <v>0</v>
      </c>
      <c r="U99" s="15">
        <v>11.38</v>
      </c>
      <c r="V99" s="15">
        <v>228.83</v>
      </c>
      <c r="W99" s="16">
        <v>-14.01</v>
      </c>
      <c r="X99" s="31">
        <f>MOD(general_price[[#This Row],[date]], 1)</f>
        <v>0.54166666666424135</v>
      </c>
      <c r="Y99" s="25" t="str">
        <f t="shared" si="1"/>
        <v/>
      </c>
      <c r="Z99" s="22">
        <v>0</v>
      </c>
      <c r="AA99" s="48">
        <f>general_price[[#This Row],[Battery (Charging) -  MW]]+general_price[[#This Row],[Battery (Discharging) -  MW]]</f>
        <v>-192.54</v>
      </c>
      <c r="AB99" s="48">
        <f>general_price[[#This Row],[Pumps -  MW]]+general_price[[#This Row],[Hydro -  MW]]</f>
        <v>-659.32</v>
      </c>
    </row>
    <row r="100" spans="1:28">
      <c r="A100" s="13">
        <v>45851.5625</v>
      </c>
      <c r="B100" s="14">
        <v>-238</v>
      </c>
      <c r="C100" s="15">
        <v>-660.04</v>
      </c>
      <c r="D100" s="15">
        <v>0</v>
      </c>
      <c r="E100" s="15">
        <v>1389.56</v>
      </c>
      <c r="F100" s="15">
        <v>2374.46</v>
      </c>
      <c r="G100" s="15">
        <v>-0.39</v>
      </c>
      <c r="H100" s="15">
        <v>0</v>
      </c>
      <c r="I100" s="15">
        <v>37.82</v>
      </c>
      <c r="J100" s="15">
        <v>0.4</v>
      </c>
      <c r="K100" s="15">
        <v>0</v>
      </c>
      <c r="L100" s="15">
        <v>1414.94</v>
      </c>
      <c r="M100" s="15">
        <v>2192.02</v>
      </c>
      <c r="N100" s="15">
        <v>2834.4</v>
      </c>
      <c r="O100" s="15">
        <v>16.899999999999999</v>
      </c>
      <c r="P100" s="15">
        <v>0</v>
      </c>
      <c r="Q100" s="15">
        <v>361.32</v>
      </c>
      <c r="R100" s="15">
        <v>1080.98</v>
      </c>
      <c r="S100" s="15">
        <v>0.2</v>
      </c>
      <c r="T100" s="15">
        <v>0</v>
      </c>
      <c r="U100" s="15">
        <v>11.39</v>
      </c>
      <c r="V100" s="15">
        <v>233.83</v>
      </c>
      <c r="W100" s="16">
        <v>-15.17</v>
      </c>
      <c r="X100" s="31">
        <f>MOD(general_price[[#This Row],[date]], 1)</f>
        <v>0.5625</v>
      </c>
      <c r="Y100" s="25" t="str">
        <f t="shared" si="1"/>
        <v/>
      </c>
      <c r="Z100" s="22">
        <v>0</v>
      </c>
      <c r="AA100" s="48">
        <f>general_price[[#This Row],[Battery (Charging) -  MW]]+general_price[[#This Row],[Battery (Discharging) -  MW]]</f>
        <v>-237.6</v>
      </c>
      <c r="AB100" s="48">
        <f>general_price[[#This Row],[Pumps -  MW]]+general_price[[#This Row],[Hydro -  MW]]</f>
        <v>-660.04</v>
      </c>
    </row>
    <row r="101" spans="1:28">
      <c r="A101" s="13">
        <v>45851.583333333336</v>
      </c>
      <c r="B101" s="14">
        <v>-299.37</v>
      </c>
      <c r="C101" s="15">
        <v>-658.02</v>
      </c>
      <c r="D101" s="15">
        <v>0</v>
      </c>
      <c r="E101" s="15">
        <v>1556.16</v>
      </c>
      <c r="F101" s="15">
        <v>2492.27</v>
      </c>
      <c r="G101" s="15">
        <v>-0.02</v>
      </c>
      <c r="H101" s="15">
        <v>0</v>
      </c>
      <c r="I101" s="15">
        <v>37.880000000000003</v>
      </c>
      <c r="J101" s="15">
        <v>0.48</v>
      </c>
      <c r="K101" s="15">
        <v>0</v>
      </c>
      <c r="L101" s="15">
        <v>1447.94</v>
      </c>
      <c r="M101" s="15">
        <v>2011.07</v>
      </c>
      <c r="N101" s="15">
        <v>2495.69</v>
      </c>
      <c r="O101" s="15">
        <v>17.350000000000001</v>
      </c>
      <c r="P101" s="15">
        <v>0</v>
      </c>
      <c r="Q101" s="15">
        <v>400.13</v>
      </c>
      <c r="R101" s="15">
        <v>1132.96</v>
      </c>
      <c r="S101" s="15">
        <v>0.21</v>
      </c>
      <c r="T101" s="15">
        <v>0</v>
      </c>
      <c r="U101" s="15">
        <v>11.41</v>
      </c>
      <c r="V101" s="15">
        <v>252</v>
      </c>
      <c r="W101" s="16">
        <v>-17.28</v>
      </c>
      <c r="X101" s="31">
        <f>MOD(general_price[[#This Row],[date]], 1)</f>
        <v>0.58333333333575865</v>
      </c>
      <c r="Y101" s="25" t="str">
        <f t="shared" si="1"/>
        <v/>
      </c>
      <c r="Z101" s="22">
        <v>0</v>
      </c>
      <c r="AA101" s="48">
        <f>general_price[[#This Row],[Battery (Charging) -  MW]]+general_price[[#This Row],[Battery (Discharging) -  MW]]</f>
        <v>-298.89</v>
      </c>
      <c r="AB101" s="48">
        <f>general_price[[#This Row],[Pumps -  MW]]+general_price[[#This Row],[Hydro -  MW]]</f>
        <v>-658.02</v>
      </c>
    </row>
    <row r="102" spans="1:28">
      <c r="A102" s="13">
        <v>45851.604166666664</v>
      </c>
      <c r="B102" s="14">
        <v>-254.92</v>
      </c>
      <c r="C102" s="15">
        <v>-657.84</v>
      </c>
      <c r="D102" s="15">
        <v>0</v>
      </c>
      <c r="E102" s="15">
        <v>1566.3</v>
      </c>
      <c r="F102" s="15">
        <v>2708.77</v>
      </c>
      <c r="G102" s="15">
        <v>-0.12</v>
      </c>
      <c r="H102" s="15">
        <v>0</v>
      </c>
      <c r="I102" s="15">
        <v>37.82</v>
      </c>
      <c r="J102" s="15">
        <v>1.42</v>
      </c>
      <c r="K102" s="15">
        <v>0</v>
      </c>
      <c r="L102" s="15">
        <v>1471.44</v>
      </c>
      <c r="M102" s="15">
        <v>2257.34</v>
      </c>
      <c r="N102" s="15">
        <v>1969.91</v>
      </c>
      <c r="O102" s="15">
        <v>17.48</v>
      </c>
      <c r="P102" s="15">
        <v>0</v>
      </c>
      <c r="Q102" s="15">
        <v>390.11</v>
      </c>
      <c r="R102" s="15">
        <v>1228.1400000000001</v>
      </c>
      <c r="S102" s="15">
        <v>0.2</v>
      </c>
      <c r="T102" s="15">
        <v>0</v>
      </c>
      <c r="U102" s="15">
        <v>11.39</v>
      </c>
      <c r="V102" s="15">
        <v>272.45999999999998</v>
      </c>
      <c r="W102" s="16">
        <v>24</v>
      </c>
      <c r="X102" s="31">
        <f>MOD(general_price[[#This Row],[date]], 1)</f>
        <v>0.60416666666424135</v>
      </c>
      <c r="Y102" s="25" t="str">
        <f t="shared" si="1"/>
        <v/>
      </c>
      <c r="Z102" s="22">
        <v>0</v>
      </c>
      <c r="AA102" s="48">
        <f>general_price[[#This Row],[Battery (Charging) -  MW]]+general_price[[#This Row],[Battery (Discharging) -  MW]]</f>
        <v>-253.5</v>
      </c>
      <c r="AB102" s="48">
        <f>general_price[[#This Row],[Pumps -  MW]]+general_price[[#This Row],[Hydro -  MW]]</f>
        <v>-657.84</v>
      </c>
    </row>
    <row r="103" spans="1:28">
      <c r="A103" s="13">
        <v>45851.625</v>
      </c>
      <c r="B103" s="14">
        <v>-269.14</v>
      </c>
      <c r="C103" s="15">
        <v>-658.88</v>
      </c>
      <c r="D103" s="15">
        <v>0</v>
      </c>
      <c r="E103" s="15">
        <v>1534.91</v>
      </c>
      <c r="F103" s="15">
        <v>3432.06</v>
      </c>
      <c r="G103" s="15">
        <v>-0.49</v>
      </c>
      <c r="H103" s="15">
        <v>0</v>
      </c>
      <c r="I103" s="15">
        <v>37.83</v>
      </c>
      <c r="J103" s="15">
        <v>0.95</v>
      </c>
      <c r="K103" s="15">
        <v>0</v>
      </c>
      <c r="L103" s="15">
        <v>1450.15</v>
      </c>
      <c r="M103" s="15">
        <v>2138.2399999999998</v>
      </c>
      <c r="N103" s="15">
        <v>1472.47</v>
      </c>
      <c r="O103" s="15">
        <v>16.72</v>
      </c>
      <c r="P103" s="15">
        <v>0</v>
      </c>
      <c r="Q103" s="15">
        <v>364.23</v>
      </c>
      <c r="R103" s="15">
        <v>1549.69</v>
      </c>
      <c r="S103" s="15">
        <v>0.2</v>
      </c>
      <c r="T103" s="15">
        <v>0</v>
      </c>
      <c r="U103" s="15">
        <v>11.39</v>
      </c>
      <c r="V103" s="15">
        <v>341.71</v>
      </c>
      <c r="W103" s="16">
        <v>4.71</v>
      </c>
      <c r="X103" s="31">
        <f>MOD(general_price[[#This Row],[date]], 1)</f>
        <v>0.625</v>
      </c>
      <c r="Y103" s="25" t="str">
        <f t="shared" si="1"/>
        <v/>
      </c>
      <c r="Z103" s="22">
        <v>0</v>
      </c>
      <c r="AA103" s="48">
        <f>general_price[[#This Row],[Battery (Charging) -  MW]]+general_price[[#This Row],[Battery (Discharging) -  MW]]</f>
        <v>-268.19</v>
      </c>
      <c r="AB103" s="48">
        <f>general_price[[#This Row],[Pumps -  MW]]+general_price[[#This Row],[Hydro -  MW]]</f>
        <v>-658.88</v>
      </c>
    </row>
    <row r="104" spans="1:28">
      <c r="A104" s="13">
        <v>45851.645833333336</v>
      </c>
      <c r="B104" s="14">
        <v>-215.94</v>
      </c>
      <c r="C104" s="15">
        <v>-657.04</v>
      </c>
      <c r="D104" s="15">
        <v>0</v>
      </c>
      <c r="E104" s="15">
        <v>1500.02</v>
      </c>
      <c r="F104" s="15">
        <v>4114.53</v>
      </c>
      <c r="G104" s="15">
        <v>0.55000000000000004</v>
      </c>
      <c r="H104" s="15">
        <v>0</v>
      </c>
      <c r="I104" s="15">
        <v>37.869999999999997</v>
      </c>
      <c r="J104" s="15">
        <v>1.91</v>
      </c>
      <c r="K104" s="15">
        <v>0</v>
      </c>
      <c r="L104" s="15">
        <v>1513.1</v>
      </c>
      <c r="M104" s="15">
        <v>1908.83</v>
      </c>
      <c r="N104" s="15">
        <v>1077.3599999999999</v>
      </c>
      <c r="O104" s="15">
        <v>16.16</v>
      </c>
      <c r="P104" s="15">
        <v>0</v>
      </c>
      <c r="Q104" s="15">
        <v>361.06</v>
      </c>
      <c r="R104" s="15">
        <v>1852.86</v>
      </c>
      <c r="S104" s="15">
        <v>0.22</v>
      </c>
      <c r="T104" s="15">
        <v>0</v>
      </c>
      <c r="U104" s="15">
        <v>11.4</v>
      </c>
      <c r="V104" s="15">
        <v>401.78</v>
      </c>
      <c r="W104" s="16">
        <v>-0.02</v>
      </c>
      <c r="X104" s="31">
        <f>MOD(general_price[[#This Row],[date]], 1)</f>
        <v>0.64583333333575865</v>
      </c>
      <c r="Y104" s="25" t="str">
        <f t="shared" si="1"/>
        <v/>
      </c>
      <c r="Z104" s="22">
        <v>0</v>
      </c>
      <c r="AA104" s="48">
        <f>general_price[[#This Row],[Battery (Charging) -  MW]]+general_price[[#This Row],[Battery (Discharging) -  MW]]</f>
        <v>-214.03</v>
      </c>
      <c r="AB104" s="48">
        <f>general_price[[#This Row],[Pumps -  MW]]+general_price[[#This Row],[Hydro -  MW]]</f>
        <v>-657.04</v>
      </c>
    </row>
    <row r="105" spans="1:28">
      <c r="A105" s="13">
        <v>45851.666666666664</v>
      </c>
      <c r="B105" s="14">
        <v>-126.78</v>
      </c>
      <c r="C105" s="15">
        <v>-656.15</v>
      </c>
      <c r="D105" s="15">
        <v>0</v>
      </c>
      <c r="E105" s="15">
        <v>1607.4</v>
      </c>
      <c r="F105" s="15">
        <v>4724.3100000000004</v>
      </c>
      <c r="G105" s="15">
        <v>7.25</v>
      </c>
      <c r="H105" s="15">
        <v>0</v>
      </c>
      <c r="I105" s="15">
        <v>39.4</v>
      </c>
      <c r="J105" s="15">
        <v>1.72</v>
      </c>
      <c r="K105" s="15">
        <v>-0.06</v>
      </c>
      <c r="L105" s="15">
        <v>1592.88</v>
      </c>
      <c r="M105" s="15">
        <v>1459.36</v>
      </c>
      <c r="N105" s="15">
        <v>694.37</v>
      </c>
      <c r="O105" s="15">
        <v>15.83</v>
      </c>
      <c r="P105" s="15">
        <v>0</v>
      </c>
      <c r="Q105" s="15">
        <v>426.05</v>
      </c>
      <c r="R105" s="15">
        <v>2127.4</v>
      </c>
      <c r="S105" s="15">
        <v>0.34</v>
      </c>
      <c r="T105" s="15">
        <v>0</v>
      </c>
      <c r="U105" s="15">
        <v>11.86</v>
      </c>
      <c r="V105" s="15">
        <v>457.98</v>
      </c>
      <c r="W105" s="16">
        <v>21.26</v>
      </c>
      <c r="X105" s="31">
        <f>MOD(general_price[[#This Row],[date]], 1)</f>
        <v>0.66666666666424135</v>
      </c>
      <c r="Y105" s="25" t="str">
        <f t="shared" si="1"/>
        <v/>
      </c>
      <c r="Z105" s="22">
        <v>0</v>
      </c>
      <c r="AA105" s="48">
        <f>general_price[[#This Row],[Battery (Charging) -  MW]]+general_price[[#This Row],[Battery (Discharging) -  MW]]</f>
        <v>-125.06</v>
      </c>
      <c r="AB105" s="48">
        <f>general_price[[#This Row],[Pumps -  MW]]+general_price[[#This Row],[Hydro -  MW]]</f>
        <v>-656.20999999999992</v>
      </c>
    </row>
    <row r="106" spans="1:28">
      <c r="A106" s="13">
        <v>45851.6875</v>
      </c>
      <c r="B106" s="14">
        <v>-3.51</v>
      </c>
      <c r="C106" s="15">
        <v>-354.68</v>
      </c>
      <c r="D106" s="15">
        <v>0</v>
      </c>
      <c r="E106" s="15">
        <v>1632.29</v>
      </c>
      <c r="F106" s="15">
        <v>5543.33</v>
      </c>
      <c r="G106" s="15">
        <v>3.33</v>
      </c>
      <c r="H106" s="15">
        <v>0</v>
      </c>
      <c r="I106" s="15">
        <v>42.78</v>
      </c>
      <c r="J106" s="15">
        <v>4.62</v>
      </c>
      <c r="K106" s="15">
        <v>48.43</v>
      </c>
      <c r="L106" s="15">
        <v>1627.76</v>
      </c>
      <c r="M106" s="15">
        <v>790.13</v>
      </c>
      <c r="N106" s="15">
        <v>354.66</v>
      </c>
      <c r="O106" s="15">
        <v>15.61</v>
      </c>
      <c r="P106" s="15">
        <v>0</v>
      </c>
      <c r="Q106" s="15">
        <v>482.97</v>
      </c>
      <c r="R106" s="15">
        <v>2502.31</v>
      </c>
      <c r="S106" s="15">
        <v>0.37</v>
      </c>
      <c r="T106" s="15">
        <v>0</v>
      </c>
      <c r="U106" s="15">
        <v>12.88</v>
      </c>
      <c r="V106" s="15">
        <v>519.25</v>
      </c>
      <c r="W106" s="16">
        <v>57.01</v>
      </c>
      <c r="X106" s="31">
        <f>MOD(general_price[[#This Row],[date]], 1)</f>
        <v>0.6875</v>
      </c>
      <c r="Y106" s="25" t="str">
        <f t="shared" si="1"/>
        <v/>
      </c>
      <c r="Z106" s="22">
        <v>0</v>
      </c>
      <c r="AA106" s="48">
        <f>general_price[[#This Row],[Battery (Charging) -  MW]]+general_price[[#This Row],[Battery (Discharging) -  MW]]</f>
        <v>1.1100000000000003</v>
      </c>
      <c r="AB106" s="48">
        <f>general_price[[#This Row],[Pumps -  MW]]+general_price[[#This Row],[Hydro -  MW]]</f>
        <v>-306.25</v>
      </c>
    </row>
    <row r="107" spans="1:28">
      <c r="A107" s="13">
        <v>45851.708333333336</v>
      </c>
      <c r="B107" s="14">
        <v>-2.37</v>
      </c>
      <c r="C107" s="15">
        <v>0</v>
      </c>
      <c r="D107" s="15">
        <v>0</v>
      </c>
      <c r="E107" s="15">
        <v>1409.38</v>
      </c>
      <c r="F107" s="15">
        <v>6377.1</v>
      </c>
      <c r="G107" s="15">
        <v>-1.0900000000000001</v>
      </c>
      <c r="H107" s="15">
        <v>0</v>
      </c>
      <c r="I107" s="15">
        <v>42.55</v>
      </c>
      <c r="J107" s="15">
        <v>207.02</v>
      </c>
      <c r="K107" s="15">
        <v>248.33</v>
      </c>
      <c r="L107" s="15">
        <v>1637.74</v>
      </c>
      <c r="M107" s="15">
        <v>175.55</v>
      </c>
      <c r="N107" s="15">
        <v>107.74</v>
      </c>
      <c r="O107" s="15">
        <v>15.37</v>
      </c>
      <c r="P107" s="15">
        <v>0</v>
      </c>
      <c r="Q107" s="15">
        <v>446.37</v>
      </c>
      <c r="R107" s="15">
        <v>2884.87</v>
      </c>
      <c r="S107" s="15">
        <v>0.42</v>
      </c>
      <c r="T107" s="15">
        <v>0</v>
      </c>
      <c r="U107" s="15">
        <v>12.81</v>
      </c>
      <c r="V107" s="15">
        <v>568.15</v>
      </c>
      <c r="W107" s="16">
        <v>125.69</v>
      </c>
      <c r="X107" s="31">
        <f>MOD(general_price[[#This Row],[date]], 1)</f>
        <v>0.70833333333575865</v>
      </c>
      <c r="Y107" s="25" t="str">
        <f t="shared" si="1"/>
        <v/>
      </c>
      <c r="Z107" s="22">
        <v>0</v>
      </c>
      <c r="AA107" s="48">
        <f>general_price[[#This Row],[Battery (Charging) -  MW]]+general_price[[#This Row],[Battery (Discharging) -  MW]]</f>
        <v>204.65</v>
      </c>
      <c r="AB107" s="48">
        <f>general_price[[#This Row],[Pumps -  MW]]+general_price[[#This Row],[Hydro -  MW]]</f>
        <v>248.33</v>
      </c>
    </row>
    <row r="108" spans="1:28">
      <c r="A108" s="13">
        <v>45851.729166666664</v>
      </c>
      <c r="B108" s="14">
        <v>-2.3199999999999998</v>
      </c>
      <c r="C108" s="15">
        <v>0</v>
      </c>
      <c r="D108" s="15">
        <v>0</v>
      </c>
      <c r="E108" s="15">
        <v>1305.17</v>
      </c>
      <c r="F108" s="15">
        <v>6798.69</v>
      </c>
      <c r="G108" s="15">
        <v>-2.9</v>
      </c>
      <c r="H108" s="15">
        <v>0</v>
      </c>
      <c r="I108" s="15">
        <v>71.83</v>
      </c>
      <c r="J108" s="15">
        <v>309.89999999999998</v>
      </c>
      <c r="K108" s="15">
        <v>604.82000000000005</v>
      </c>
      <c r="L108" s="15">
        <v>1641.12</v>
      </c>
      <c r="M108" s="15">
        <v>5.61</v>
      </c>
      <c r="N108" s="15">
        <v>12.89</v>
      </c>
      <c r="O108" s="15">
        <v>15.45</v>
      </c>
      <c r="P108" s="15">
        <v>0</v>
      </c>
      <c r="Q108" s="15">
        <v>427.1</v>
      </c>
      <c r="R108" s="15">
        <v>3078.16</v>
      </c>
      <c r="S108" s="15">
        <v>0.41</v>
      </c>
      <c r="T108" s="15">
        <v>0</v>
      </c>
      <c r="U108" s="15">
        <v>24.61</v>
      </c>
      <c r="V108" s="15">
        <v>577.61</v>
      </c>
      <c r="W108" s="16">
        <v>138.72999999999999</v>
      </c>
      <c r="X108" s="31">
        <f>MOD(general_price[[#This Row],[date]], 1)</f>
        <v>0.72916666666424135</v>
      </c>
      <c r="Y108" s="25" t="str">
        <f t="shared" si="1"/>
        <v/>
      </c>
      <c r="Z108" s="22">
        <v>0</v>
      </c>
      <c r="AA108" s="48">
        <f>general_price[[#This Row],[Battery (Charging) -  MW]]+general_price[[#This Row],[Battery (Discharging) -  MW]]</f>
        <v>307.58</v>
      </c>
      <c r="AB108" s="48">
        <f>general_price[[#This Row],[Pumps -  MW]]+general_price[[#This Row],[Hydro -  MW]]</f>
        <v>604.82000000000005</v>
      </c>
    </row>
    <row r="109" spans="1:28">
      <c r="A109" s="13">
        <v>45851.75</v>
      </c>
      <c r="B109" s="14">
        <v>-1.58</v>
      </c>
      <c r="C109" s="15">
        <v>0</v>
      </c>
      <c r="D109" s="15">
        <v>-92.12</v>
      </c>
      <c r="E109" s="15">
        <v>970.41</v>
      </c>
      <c r="F109" s="15">
        <v>6926.95</v>
      </c>
      <c r="G109" s="15">
        <v>-3.66</v>
      </c>
      <c r="H109" s="15">
        <v>0</v>
      </c>
      <c r="I109" s="15">
        <v>341.22</v>
      </c>
      <c r="J109" s="15">
        <v>420.47</v>
      </c>
      <c r="K109" s="15">
        <v>654.4</v>
      </c>
      <c r="L109" s="15">
        <v>1690.78</v>
      </c>
      <c r="M109" s="15">
        <v>0.05</v>
      </c>
      <c r="N109" s="15">
        <v>0.17</v>
      </c>
      <c r="O109" s="15">
        <v>15.35</v>
      </c>
      <c r="P109" s="15">
        <v>29.85</v>
      </c>
      <c r="Q109" s="15">
        <v>303.81</v>
      </c>
      <c r="R109" s="15">
        <v>3138.37</v>
      </c>
      <c r="S109" s="15">
        <v>0.4</v>
      </c>
      <c r="T109" s="15">
        <v>0</v>
      </c>
      <c r="U109" s="15">
        <v>129.77000000000001</v>
      </c>
      <c r="V109" s="15">
        <v>599.34</v>
      </c>
      <c r="W109" s="16">
        <v>140.03</v>
      </c>
      <c r="X109" s="31">
        <f>MOD(general_price[[#This Row],[date]], 1)</f>
        <v>0.75</v>
      </c>
      <c r="Y109" s="25" t="str">
        <f t="shared" si="1"/>
        <v/>
      </c>
      <c r="Z109" s="22">
        <v>0</v>
      </c>
      <c r="AA109" s="48">
        <f>general_price[[#This Row],[Battery (Charging) -  MW]]+general_price[[#This Row],[Battery (Discharging) -  MW]]</f>
        <v>418.89000000000004</v>
      </c>
      <c r="AB109" s="48">
        <f>general_price[[#This Row],[Pumps -  MW]]+general_price[[#This Row],[Hydro -  MW]]</f>
        <v>654.4</v>
      </c>
    </row>
    <row r="110" spans="1:28">
      <c r="A110" s="13">
        <v>45851.770833333336</v>
      </c>
      <c r="B110" s="14">
        <v>-1.45</v>
      </c>
      <c r="C110" s="15">
        <v>0</v>
      </c>
      <c r="D110" s="15">
        <v>-78.16</v>
      </c>
      <c r="E110" s="15">
        <v>877.65</v>
      </c>
      <c r="F110" s="15">
        <v>6945.25</v>
      </c>
      <c r="G110" s="15">
        <v>-2.25</v>
      </c>
      <c r="H110" s="15">
        <v>0</v>
      </c>
      <c r="I110" s="15">
        <v>354.04</v>
      </c>
      <c r="J110" s="15">
        <v>352.46</v>
      </c>
      <c r="K110" s="15">
        <v>667.13</v>
      </c>
      <c r="L110" s="15">
        <v>1801.5</v>
      </c>
      <c r="M110" s="15">
        <v>0.05</v>
      </c>
      <c r="N110" s="15">
        <v>0</v>
      </c>
      <c r="O110" s="15">
        <v>15.42</v>
      </c>
      <c r="P110" s="15">
        <v>25.2</v>
      </c>
      <c r="Q110" s="15">
        <v>277.14</v>
      </c>
      <c r="R110" s="15">
        <v>3146.71</v>
      </c>
      <c r="S110" s="15">
        <v>0.43</v>
      </c>
      <c r="T110" s="15">
        <v>0</v>
      </c>
      <c r="U110" s="15">
        <v>134.76</v>
      </c>
      <c r="V110" s="15">
        <v>601.29</v>
      </c>
      <c r="W110" s="16">
        <v>185.01</v>
      </c>
      <c r="X110" s="31">
        <f>MOD(general_price[[#This Row],[date]], 1)</f>
        <v>0.77083333333575865</v>
      </c>
      <c r="Y110" s="25" t="str">
        <f t="shared" si="1"/>
        <v/>
      </c>
      <c r="Z110" s="22">
        <v>0</v>
      </c>
      <c r="AA110" s="48">
        <f>general_price[[#This Row],[Battery (Charging) -  MW]]+general_price[[#This Row],[Battery (Discharging) -  MW]]</f>
        <v>351.01</v>
      </c>
      <c r="AB110" s="48">
        <f>general_price[[#This Row],[Pumps -  MW]]+general_price[[#This Row],[Hydro -  MW]]</f>
        <v>667.13</v>
      </c>
    </row>
    <row r="111" spans="1:28">
      <c r="A111" s="13">
        <v>45851.791666666664</v>
      </c>
      <c r="B111" s="14">
        <v>-1.53</v>
      </c>
      <c r="C111" s="15">
        <v>0</v>
      </c>
      <c r="D111" s="15">
        <v>-115.62</v>
      </c>
      <c r="E111" s="15">
        <v>918.65</v>
      </c>
      <c r="F111" s="15">
        <v>6942.21</v>
      </c>
      <c r="G111" s="15">
        <v>-2.2599999999999998</v>
      </c>
      <c r="H111" s="15">
        <v>0</v>
      </c>
      <c r="I111" s="15">
        <v>353.65</v>
      </c>
      <c r="J111" s="15">
        <v>293.27</v>
      </c>
      <c r="K111" s="15">
        <v>512.80999999999995</v>
      </c>
      <c r="L111" s="15">
        <v>1949.97</v>
      </c>
      <c r="M111" s="15">
        <v>0.05</v>
      </c>
      <c r="N111" s="15">
        <v>0</v>
      </c>
      <c r="O111" s="15">
        <v>14.98</v>
      </c>
      <c r="P111" s="15">
        <v>37.64</v>
      </c>
      <c r="Q111" s="15">
        <v>279.98</v>
      </c>
      <c r="R111" s="15">
        <v>3145.32</v>
      </c>
      <c r="S111" s="15">
        <v>0.43</v>
      </c>
      <c r="T111" s="15">
        <v>0</v>
      </c>
      <c r="U111" s="15">
        <v>134.58000000000001</v>
      </c>
      <c r="V111" s="15">
        <v>604.6</v>
      </c>
      <c r="W111" s="16">
        <v>138.06</v>
      </c>
      <c r="X111" s="31">
        <f>MOD(general_price[[#This Row],[date]], 1)</f>
        <v>0.79166666666424135</v>
      </c>
      <c r="Y111" s="25" t="str">
        <f t="shared" si="1"/>
        <v/>
      </c>
      <c r="Z111" s="22">
        <v>0</v>
      </c>
      <c r="AA111" s="48">
        <f>general_price[[#This Row],[Battery (Charging) -  MW]]+general_price[[#This Row],[Battery (Discharging) -  MW]]</f>
        <v>291.74</v>
      </c>
      <c r="AB111" s="48">
        <f>general_price[[#This Row],[Pumps -  MW]]+general_price[[#This Row],[Hydro -  MW]]</f>
        <v>512.80999999999995</v>
      </c>
    </row>
    <row r="112" spans="1:28">
      <c r="A112" s="13">
        <v>45851.8125</v>
      </c>
      <c r="B112" s="14">
        <v>-2.15</v>
      </c>
      <c r="C112" s="15">
        <v>0</v>
      </c>
      <c r="D112" s="15">
        <v>-186.1</v>
      </c>
      <c r="E112" s="15">
        <v>937.92</v>
      </c>
      <c r="F112" s="15">
        <v>6938.83</v>
      </c>
      <c r="G112" s="15">
        <v>-2.15</v>
      </c>
      <c r="H112" s="15">
        <v>0</v>
      </c>
      <c r="I112" s="15">
        <v>330.67</v>
      </c>
      <c r="J112" s="15">
        <v>168.55</v>
      </c>
      <c r="K112" s="15">
        <v>516.33000000000004</v>
      </c>
      <c r="L112" s="15">
        <v>2046.18</v>
      </c>
      <c r="M112" s="15">
        <v>0.05</v>
      </c>
      <c r="N112" s="15">
        <v>0</v>
      </c>
      <c r="O112" s="15">
        <v>14.75</v>
      </c>
      <c r="P112" s="15">
        <v>60.69</v>
      </c>
      <c r="Q112" s="15">
        <v>285.86</v>
      </c>
      <c r="R112" s="15">
        <v>3143.85</v>
      </c>
      <c r="S112" s="15">
        <v>0.43</v>
      </c>
      <c r="T112" s="15">
        <v>0</v>
      </c>
      <c r="U112" s="15">
        <v>125.6</v>
      </c>
      <c r="V112" s="15">
        <v>608.45000000000005</v>
      </c>
      <c r="W112" s="16">
        <v>136.86000000000001</v>
      </c>
      <c r="X112" s="31">
        <f>MOD(general_price[[#This Row],[date]], 1)</f>
        <v>0.8125</v>
      </c>
      <c r="Y112" s="25" t="str">
        <f t="shared" si="1"/>
        <v/>
      </c>
      <c r="Z112" s="22">
        <v>0</v>
      </c>
      <c r="AA112" s="48">
        <f>general_price[[#This Row],[Battery (Charging) -  MW]]+general_price[[#This Row],[Battery (Discharging) -  MW]]</f>
        <v>166.4</v>
      </c>
      <c r="AB112" s="48">
        <f>general_price[[#This Row],[Pumps -  MW]]+general_price[[#This Row],[Hydro -  MW]]</f>
        <v>516.33000000000004</v>
      </c>
    </row>
    <row r="113" spans="1:28">
      <c r="A113" s="13">
        <v>45851.833333333336</v>
      </c>
      <c r="B113" s="14">
        <v>-3.45</v>
      </c>
      <c r="C113" s="15">
        <v>0</v>
      </c>
      <c r="D113" s="15">
        <v>-194.37</v>
      </c>
      <c r="E113" s="15">
        <v>913.67</v>
      </c>
      <c r="F113" s="15">
        <v>6935.89</v>
      </c>
      <c r="G113" s="15">
        <v>-0.85</v>
      </c>
      <c r="H113" s="15">
        <v>0</v>
      </c>
      <c r="I113" s="15">
        <v>305.45</v>
      </c>
      <c r="J113" s="15">
        <v>43.64</v>
      </c>
      <c r="K113" s="15">
        <v>485.39</v>
      </c>
      <c r="L113" s="15">
        <v>2096.2800000000002</v>
      </c>
      <c r="M113" s="15">
        <v>0.05</v>
      </c>
      <c r="N113" s="15">
        <v>0</v>
      </c>
      <c r="O113" s="15">
        <v>14.82</v>
      </c>
      <c r="P113" s="15">
        <v>64.03</v>
      </c>
      <c r="Q113" s="15">
        <v>280.06</v>
      </c>
      <c r="R113" s="15">
        <v>3142.51</v>
      </c>
      <c r="S113" s="15">
        <v>0.44</v>
      </c>
      <c r="T113" s="15">
        <v>0</v>
      </c>
      <c r="U113" s="15">
        <v>115.75</v>
      </c>
      <c r="V113" s="15">
        <v>615.91</v>
      </c>
      <c r="W113" s="16">
        <v>110.96</v>
      </c>
      <c r="X113" s="31">
        <f>MOD(general_price[[#This Row],[date]], 1)</f>
        <v>0.83333333333575865</v>
      </c>
      <c r="Y113" s="25" t="str">
        <f t="shared" si="1"/>
        <v/>
      </c>
      <c r="Z113" s="22">
        <v>0</v>
      </c>
      <c r="AA113" s="48">
        <f>general_price[[#This Row],[Battery (Charging) -  MW]]+general_price[[#This Row],[Battery (Discharging) -  MW]]</f>
        <v>40.19</v>
      </c>
      <c r="AB113" s="48">
        <f>general_price[[#This Row],[Pumps -  MW]]+general_price[[#This Row],[Hydro -  MW]]</f>
        <v>485.39</v>
      </c>
    </row>
    <row r="114" spans="1:28">
      <c r="A114" s="13">
        <v>45851.854166666664</v>
      </c>
      <c r="B114" s="14">
        <v>-2.67</v>
      </c>
      <c r="C114" s="15">
        <v>0</v>
      </c>
      <c r="D114" s="15">
        <v>-197.29</v>
      </c>
      <c r="E114" s="15">
        <v>908.85</v>
      </c>
      <c r="F114" s="15">
        <v>6948.12</v>
      </c>
      <c r="G114" s="15">
        <v>-0.95</v>
      </c>
      <c r="H114" s="15">
        <v>0</v>
      </c>
      <c r="I114" s="15">
        <v>187.96</v>
      </c>
      <c r="J114" s="15">
        <v>21.47</v>
      </c>
      <c r="K114" s="15">
        <v>418.43</v>
      </c>
      <c r="L114" s="15">
        <v>2138.23</v>
      </c>
      <c r="M114" s="15">
        <v>0.05</v>
      </c>
      <c r="N114" s="15">
        <v>0</v>
      </c>
      <c r="O114" s="15">
        <v>14.45</v>
      </c>
      <c r="P114" s="15">
        <v>65.16</v>
      </c>
      <c r="Q114" s="15">
        <v>277.61</v>
      </c>
      <c r="R114" s="15">
        <v>3147.98</v>
      </c>
      <c r="S114" s="15">
        <v>0.44</v>
      </c>
      <c r="T114" s="15">
        <v>0</v>
      </c>
      <c r="U114" s="15">
        <v>69.72</v>
      </c>
      <c r="V114" s="15">
        <v>617.55999999999995</v>
      </c>
      <c r="W114" s="16">
        <v>140.03</v>
      </c>
      <c r="X114" s="31">
        <f>MOD(general_price[[#This Row],[date]], 1)</f>
        <v>0.85416666666424135</v>
      </c>
      <c r="Y114" s="25" t="str">
        <f t="shared" si="1"/>
        <v/>
      </c>
      <c r="Z114" s="22">
        <v>0</v>
      </c>
      <c r="AA114" s="48">
        <f>general_price[[#This Row],[Battery (Charging) -  MW]]+general_price[[#This Row],[Battery (Discharging) -  MW]]</f>
        <v>18.799999999999997</v>
      </c>
      <c r="AB114" s="48">
        <f>general_price[[#This Row],[Pumps -  MW]]+general_price[[#This Row],[Hydro -  MW]]</f>
        <v>418.43</v>
      </c>
    </row>
    <row r="115" spans="1:28">
      <c r="A115" s="13">
        <v>45851.875</v>
      </c>
      <c r="B115" s="14">
        <v>-11.84</v>
      </c>
      <c r="C115" s="15">
        <v>0</v>
      </c>
      <c r="D115" s="15">
        <v>-241.96</v>
      </c>
      <c r="E115" s="15">
        <v>972.69</v>
      </c>
      <c r="F115" s="15">
        <v>6973.47</v>
      </c>
      <c r="G115" s="15">
        <v>-1.49</v>
      </c>
      <c r="H115" s="15">
        <v>0</v>
      </c>
      <c r="I115" s="15">
        <v>42.95</v>
      </c>
      <c r="J115" s="15">
        <v>10.91</v>
      </c>
      <c r="K115" s="15">
        <v>210.94</v>
      </c>
      <c r="L115" s="15">
        <v>2158.5300000000002</v>
      </c>
      <c r="M115" s="15">
        <v>0.05</v>
      </c>
      <c r="N115" s="15">
        <v>0</v>
      </c>
      <c r="O115" s="15">
        <v>14.76</v>
      </c>
      <c r="P115" s="15">
        <v>81.650000000000006</v>
      </c>
      <c r="Q115" s="15">
        <v>296.8</v>
      </c>
      <c r="R115" s="15">
        <v>3159.32</v>
      </c>
      <c r="S115" s="15">
        <v>0.43</v>
      </c>
      <c r="T115" s="15">
        <v>0</v>
      </c>
      <c r="U115" s="15">
        <v>12.93</v>
      </c>
      <c r="V115" s="15">
        <v>627.37</v>
      </c>
      <c r="W115" s="16">
        <v>100.01</v>
      </c>
      <c r="X115" s="31">
        <f>MOD(general_price[[#This Row],[date]], 1)</f>
        <v>0.875</v>
      </c>
      <c r="Y115" s="25" t="str">
        <f t="shared" si="1"/>
        <v/>
      </c>
      <c r="Z115" s="22">
        <v>0</v>
      </c>
      <c r="AA115" s="48">
        <f>general_price[[#This Row],[Battery (Charging) -  MW]]+general_price[[#This Row],[Battery (Discharging) -  MW]]</f>
        <v>-0.92999999999999972</v>
      </c>
      <c r="AB115" s="48">
        <f>general_price[[#This Row],[Pumps -  MW]]+general_price[[#This Row],[Hydro -  MW]]</f>
        <v>210.94</v>
      </c>
    </row>
    <row r="116" spans="1:28">
      <c r="A116" s="13">
        <v>45851.895833333336</v>
      </c>
      <c r="B116" s="14">
        <v>-7.38</v>
      </c>
      <c r="C116" s="15">
        <v>0</v>
      </c>
      <c r="D116" s="15">
        <v>-327.3</v>
      </c>
      <c r="E116" s="15">
        <v>946.89</v>
      </c>
      <c r="F116" s="15">
        <v>6949.76</v>
      </c>
      <c r="G116" s="15">
        <v>-0.97</v>
      </c>
      <c r="H116" s="15">
        <v>0</v>
      </c>
      <c r="I116" s="15">
        <v>43.15</v>
      </c>
      <c r="J116" s="15">
        <v>2.4300000000000002</v>
      </c>
      <c r="K116" s="15">
        <v>48.35</v>
      </c>
      <c r="L116" s="15">
        <v>2151.7600000000002</v>
      </c>
      <c r="M116" s="15">
        <v>0.05</v>
      </c>
      <c r="N116" s="15">
        <v>0</v>
      </c>
      <c r="O116" s="15">
        <v>14.5</v>
      </c>
      <c r="P116" s="15">
        <v>112.17</v>
      </c>
      <c r="Q116" s="15">
        <v>277.38</v>
      </c>
      <c r="R116" s="15">
        <v>3146.23</v>
      </c>
      <c r="S116" s="15">
        <v>0.44</v>
      </c>
      <c r="T116" s="15">
        <v>0</v>
      </c>
      <c r="U116" s="15">
        <v>12.99</v>
      </c>
      <c r="V116" s="15">
        <v>644.39</v>
      </c>
      <c r="W116" s="16">
        <v>76.8</v>
      </c>
      <c r="X116" s="31">
        <f>MOD(general_price[[#This Row],[date]], 1)</f>
        <v>0.89583333333575865</v>
      </c>
      <c r="Y116" s="25" t="str">
        <f t="shared" si="1"/>
        <v/>
      </c>
      <c r="Z116" s="22">
        <v>0</v>
      </c>
      <c r="AA116" s="48">
        <f>general_price[[#This Row],[Battery (Charging) -  MW]]+general_price[[#This Row],[Battery (Discharging) -  MW]]</f>
        <v>-4.9499999999999993</v>
      </c>
      <c r="AB116" s="48">
        <f>general_price[[#This Row],[Pumps -  MW]]+general_price[[#This Row],[Hydro -  MW]]</f>
        <v>48.35</v>
      </c>
    </row>
    <row r="117" spans="1:28">
      <c r="A117" s="13">
        <v>45851.916666666664</v>
      </c>
      <c r="B117" s="14">
        <v>-83.85</v>
      </c>
      <c r="C117" s="15">
        <v>0</v>
      </c>
      <c r="D117" s="15">
        <v>-360.81</v>
      </c>
      <c r="E117" s="15">
        <v>1010.1</v>
      </c>
      <c r="F117" s="15">
        <v>6692.86</v>
      </c>
      <c r="G117" s="15">
        <v>-0.57999999999999996</v>
      </c>
      <c r="H117" s="15">
        <v>0</v>
      </c>
      <c r="I117" s="15">
        <v>43.14</v>
      </c>
      <c r="J117" s="15">
        <v>1.77</v>
      </c>
      <c r="K117" s="15">
        <v>30.8</v>
      </c>
      <c r="L117" s="15">
        <v>2106.94</v>
      </c>
      <c r="M117" s="15">
        <v>0.05</v>
      </c>
      <c r="N117" s="15">
        <v>0</v>
      </c>
      <c r="O117" s="15">
        <v>14.54</v>
      </c>
      <c r="P117" s="15">
        <v>123.16</v>
      </c>
      <c r="Q117" s="15">
        <v>281.61</v>
      </c>
      <c r="R117" s="15">
        <v>3024.4</v>
      </c>
      <c r="S117" s="15">
        <v>0.44</v>
      </c>
      <c r="T117" s="15">
        <v>0</v>
      </c>
      <c r="U117" s="15">
        <v>12.99</v>
      </c>
      <c r="V117" s="15">
        <v>643.58000000000004</v>
      </c>
      <c r="W117" s="16">
        <v>49.78</v>
      </c>
      <c r="X117" s="31">
        <f>MOD(general_price[[#This Row],[date]], 1)</f>
        <v>0.91666666666424135</v>
      </c>
      <c r="Y117" s="25" t="str">
        <f t="shared" si="1"/>
        <v/>
      </c>
      <c r="Z117" s="22">
        <v>0</v>
      </c>
      <c r="AA117" s="48">
        <f>general_price[[#This Row],[Battery (Charging) -  MW]]+general_price[[#This Row],[Battery (Discharging) -  MW]]</f>
        <v>-82.08</v>
      </c>
      <c r="AB117" s="48">
        <f>general_price[[#This Row],[Pumps -  MW]]+general_price[[#This Row],[Hydro -  MW]]</f>
        <v>30.8</v>
      </c>
    </row>
    <row r="118" spans="1:28">
      <c r="A118" s="13">
        <v>45851.9375</v>
      </c>
      <c r="B118" s="14">
        <v>-155.27000000000001</v>
      </c>
      <c r="C118" s="15">
        <v>0</v>
      </c>
      <c r="D118" s="15">
        <v>-374.4</v>
      </c>
      <c r="E118" s="15">
        <v>978.88</v>
      </c>
      <c r="F118" s="15">
        <v>6625.97</v>
      </c>
      <c r="G118" s="15">
        <v>-0.85</v>
      </c>
      <c r="H118" s="15">
        <v>0</v>
      </c>
      <c r="I118" s="15">
        <v>42.51</v>
      </c>
      <c r="J118" s="15">
        <v>3.37</v>
      </c>
      <c r="K118" s="15">
        <v>31.03</v>
      </c>
      <c r="L118" s="15">
        <v>2065.66</v>
      </c>
      <c r="M118" s="15">
        <v>0.05</v>
      </c>
      <c r="N118" s="15">
        <v>0</v>
      </c>
      <c r="O118" s="15">
        <v>14.35</v>
      </c>
      <c r="P118" s="15">
        <v>127.82</v>
      </c>
      <c r="Q118" s="15">
        <v>271.63</v>
      </c>
      <c r="R118" s="15">
        <v>2988.84</v>
      </c>
      <c r="S118" s="15">
        <v>0.44</v>
      </c>
      <c r="T118" s="15">
        <v>0</v>
      </c>
      <c r="U118" s="15">
        <v>12.8</v>
      </c>
      <c r="V118" s="15">
        <v>651.41999999999996</v>
      </c>
      <c r="W118" s="16">
        <v>65.23</v>
      </c>
      <c r="X118" s="31">
        <f>MOD(general_price[[#This Row],[date]], 1)</f>
        <v>0.9375</v>
      </c>
      <c r="Y118" s="25" t="str">
        <f t="shared" si="1"/>
        <v/>
      </c>
      <c r="Z118" s="22">
        <v>0</v>
      </c>
      <c r="AA118" s="48">
        <f>general_price[[#This Row],[Battery (Charging) -  MW]]+general_price[[#This Row],[Battery (Discharging) -  MW]]</f>
        <v>-151.9</v>
      </c>
      <c r="AB118" s="48">
        <f>general_price[[#This Row],[Pumps -  MW]]+general_price[[#This Row],[Hydro -  MW]]</f>
        <v>31.03</v>
      </c>
    </row>
    <row r="119" spans="1:28">
      <c r="A119" s="13">
        <v>45851.958333333336</v>
      </c>
      <c r="B119" s="14">
        <v>-62.67</v>
      </c>
      <c r="C119" s="15">
        <v>0</v>
      </c>
      <c r="D119" s="15">
        <v>-394.42</v>
      </c>
      <c r="E119" s="15">
        <v>942.93</v>
      </c>
      <c r="F119" s="15">
        <v>6276.39</v>
      </c>
      <c r="G119" s="15">
        <v>1.53</v>
      </c>
      <c r="H119" s="15">
        <v>0</v>
      </c>
      <c r="I119" s="15">
        <v>42.52</v>
      </c>
      <c r="J119" s="15">
        <v>1.39</v>
      </c>
      <c r="K119" s="15">
        <v>30.94</v>
      </c>
      <c r="L119" s="15">
        <v>2095.64</v>
      </c>
      <c r="M119" s="15">
        <v>0.05</v>
      </c>
      <c r="N119" s="15">
        <v>0</v>
      </c>
      <c r="O119" s="15">
        <v>14.28</v>
      </c>
      <c r="P119" s="15">
        <v>132.37</v>
      </c>
      <c r="Q119" s="15">
        <v>283.27999999999997</v>
      </c>
      <c r="R119" s="15">
        <v>2829.85</v>
      </c>
      <c r="S119" s="15">
        <v>0.44</v>
      </c>
      <c r="T119" s="15">
        <v>0</v>
      </c>
      <c r="U119" s="15">
        <v>12.8</v>
      </c>
      <c r="V119" s="15">
        <v>636.44000000000005</v>
      </c>
      <c r="W119" s="16">
        <v>58.83</v>
      </c>
      <c r="X119" s="31">
        <f>MOD(general_price[[#This Row],[date]], 1)</f>
        <v>0.95833333333575865</v>
      </c>
      <c r="Y119" s="25" t="str">
        <f t="shared" si="1"/>
        <v/>
      </c>
      <c r="Z119" s="22">
        <v>0</v>
      </c>
      <c r="AA119" s="48">
        <f>general_price[[#This Row],[Battery (Charging) -  MW]]+general_price[[#This Row],[Battery (Discharging) -  MW]]</f>
        <v>-61.28</v>
      </c>
      <c r="AB119" s="48">
        <f>general_price[[#This Row],[Pumps -  MW]]+general_price[[#This Row],[Hydro -  MW]]</f>
        <v>30.94</v>
      </c>
    </row>
    <row r="120" spans="1:28">
      <c r="A120" s="13">
        <v>45851.979166666664</v>
      </c>
      <c r="B120" s="14">
        <v>-101.41</v>
      </c>
      <c r="C120" s="15">
        <v>0</v>
      </c>
      <c r="D120" s="15">
        <v>-396.14</v>
      </c>
      <c r="E120" s="15">
        <v>946.21</v>
      </c>
      <c r="F120" s="15">
        <v>5983.07</v>
      </c>
      <c r="G120" s="15">
        <v>2.4</v>
      </c>
      <c r="H120" s="15">
        <v>0</v>
      </c>
      <c r="I120" s="15">
        <v>43.16</v>
      </c>
      <c r="J120" s="15">
        <v>1.05</v>
      </c>
      <c r="K120" s="15">
        <v>30.87</v>
      </c>
      <c r="L120" s="15">
        <v>2144.85</v>
      </c>
      <c r="M120" s="15">
        <v>0.05</v>
      </c>
      <c r="N120" s="15">
        <v>0</v>
      </c>
      <c r="O120" s="15">
        <v>14.03</v>
      </c>
      <c r="P120" s="15">
        <v>130.6</v>
      </c>
      <c r="Q120" s="15">
        <v>297.70999999999998</v>
      </c>
      <c r="R120" s="15">
        <v>2699.06</v>
      </c>
      <c r="S120" s="15">
        <v>0.45</v>
      </c>
      <c r="T120" s="15">
        <v>0</v>
      </c>
      <c r="U120" s="15">
        <v>13</v>
      </c>
      <c r="V120" s="15">
        <v>626.87</v>
      </c>
      <c r="W120" s="16">
        <v>53.54</v>
      </c>
      <c r="X120" s="31">
        <f>MOD(general_price[[#This Row],[date]], 1)</f>
        <v>0.97916666666424135</v>
      </c>
      <c r="Y120" s="25" t="str">
        <f t="shared" si="1"/>
        <v/>
      </c>
      <c r="Z120" s="22">
        <v>0</v>
      </c>
      <c r="AA120" s="48">
        <f>general_price[[#This Row],[Battery (Charging) -  MW]]+general_price[[#This Row],[Battery (Discharging) -  MW]]</f>
        <v>-100.36</v>
      </c>
      <c r="AB120" s="48">
        <f>general_price[[#This Row],[Pumps -  MW]]+general_price[[#This Row],[Hydro -  MW]]</f>
        <v>30.87</v>
      </c>
    </row>
    <row r="121" spans="1:28">
      <c r="A121" s="13">
        <v>45852</v>
      </c>
      <c r="B121" s="14">
        <v>-87.13</v>
      </c>
      <c r="C121" s="15">
        <v>0</v>
      </c>
      <c r="D121" s="15">
        <v>-487.28</v>
      </c>
      <c r="E121" s="15">
        <v>856.24</v>
      </c>
      <c r="F121" s="15">
        <v>5820.55</v>
      </c>
      <c r="G121" s="15">
        <v>1.32</v>
      </c>
      <c r="H121" s="15">
        <v>0</v>
      </c>
      <c r="I121" s="15">
        <v>43.36</v>
      </c>
      <c r="J121" s="15">
        <v>0.6</v>
      </c>
      <c r="K121" s="15">
        <v>30.93</v>
      </c>
      <c r="L121" s="15">
        <v>2190.79</v>
      </c>
      <c r="M121" s="15">
        <v>0.05</v>
      </c>
      <c r="N121" s="15">
        <v>0</v>
      </c>
      <c r="O121" s="15">
        <v>13.92</v>
      </c>
      <c r="P121" s="15">
        <v>158.55000000000001</v>
      </c>
      <c r="Q121" s="15">
        <v>279.98</v>
      </c>
      <c r="R121" s="15">
        <v>2626.43</v>
      </c>
      <c r="S121" s="15">
        <v>0.44</v>
      </c>
      <c r="T121" s="15">
        <v>0</v>
      </c>
      <c r="U121" s="15">
        <v>13.05</v>
      </c>
      <c r="V121" s="15">
        <v>630.85</v>
      </c>
      <c r="W121" s="16">
        <v>65.36</v>
      </c>
      <c r="X121" s="31">
        <f>MOD(general_price[[#This Row],[date]], 1)</f>
        <v>0</v>
      </c>
      <c r="Y121" s="25" t="str">
        <f t="shared" si="1"/>
        <v>14 Jul</v>
      </c>
      <c r="Z121" s="22">
        <v>0</v>
      </c>
      <c r="AA121" s="48">
        <f>general_price[[#This Row],[Battery (Charging) -  MW]]+general_price[[#This Row],[Battery (Discharging) -  MW]]</f>
        <v>-86.53</v>
      </c>
      <c r="AB121" s="48">
        <f>general_price[[#This Row],[Pumps -  MW]]+general_price[[#This Row],[Hydro -  MW]]</f>
        <v>30.93</v>
      </c>
    </row>
    <row r="122" spans="1:28">
      <c r="A122" s="13">
        <v>45852.020833333336</v>
      </c>
      <c r="B122" s="14">
        <v>-50.52</v>
      </c>
      <c r="C122" s="15">
        <v>0</v>
      </c>
      <c r="D122" s="15">
        <v>-536.12</v>
      </c>
      <c r="E122" s="15">
        <v>809.98</v>
      </c>
      <c r="F122" s="15">
        <v>5517.03</v>
      </c>
      <c r="G122" s="15">
        <v>-0.23</v>
      </c>
      <c r="H122" s="15">
        <v>0</v>
      </c>
      <c r="I122" s="15">
        <v>43.19</v>
      </c>
      <c r="J122" s="15">
        <v>0.18</v>
      </c>
      <c r="K122" s="15">
        <v>25.74</v>
      </c>
      <c r="L122" s="15">
        <v>2233.4299999999998</v>
      </c>
      <c r="M122" s="15">
        <v>0.05</v>
      </c>
      <c r="N122" s="15">
        <v>0</v>
      </c>
      <c r="O122" s="15">
        <v>14.68</v>
      </c>
      <c r="P122" s="15">
        <v>171.28</v>
      </c>
      <c r="Q122" s="15">
        <v>274.22000000000003</v>
      </c>
      <c r="R122" s="15">
        <v>2492.0700000000002</v>
      </c>
      <c r="S122" s="15">
        <v>0.43</v>
      </c>
      <c r="T122" s="15">
        <v>0</v>
      </c>
      <c r="U122" s="15">
        <v>13</v>
      </c>
      <c r="V122" s="15">
        <v>623.04999999999995</v>
      </c>
      <c r="W122" s="16">
        <v>57.01</v>
      </c>
      <c r="X122" s="31">
        <f>MOD(general_price[[#This Row],[date]], 1)</f>
        <v>2.0833333335758653E-2</v>
      </c>
      <c r="Y122" s="25" t="str">
        <f t="shared" si="1"/>
        <v/>
      </c>
      <c r="Z122" s="22">
        <v>0</v>
      </c>
      <c r="AA122" s="48">
        <f>general_price[[#This Row],[Battery (Charging) -  MW]]+general_price[[#This Row],[Battery (Discharging) -  MW]]</f>
        <v>-50.34</v>
      </c>
      <c r="AB122" s="48">
        <f>general_price[[#This Row],[Pumps -  MW]]+general_price[[#This Row],[Hydro -  MW]]</f>
        <v>25.74</v>
      </c>
    </row>
    <row r="123" spans="1:28">
      <c r="A123" s="13">
        <v>45852.041666666664</v>
      </c>
      <c r="B123" s="14">
        <v>-4.3099999999999996</v>
      </c>
      <c r="C123" s="15">
        <v>0</v>
      </c>
      <c r="D123" s="15">
        <v>-538.34</v>
      </c>
      <c r="E123" s="15">
        <v>797.4</v>
      </c>
      <c r="F123" s="15">
        <v>5349.02</v>
      </c>
      <c r="G123" s="15">
        <v>0.21</v>
      </c>
      <c r="H123" s="15">
        <v>0</v>
      </c>
      <c r="I123" s="15">
        <v>42.53</v>
      </c>
      <c r="J123" s="15">
        <v>1.05</v>
      </c>
      <c r="K123" s="15">
        <v>0</v>
      </c>
      <c r="L123" s="15">
        <v>2282.92</v>
      </c>
      <c r="M123" s="15">
        <v>0.05</v>
      </c>
      <c r="N123" s="15">
        <v>0</v>
      </c>
      <c r="O123" s="15">
        <v>14.54</v>
      </c>
      <c r="P123" s="15">
        <v>169.91</v>
      </c>
      <c r="Q123" s="15">
        <v>281.60000000000002</v>
      </c>
      <c r="R123" s="15">
        <v>2417.1999999999998</v>
      </c>
      <c r="S123" s="15">
        <v>0.43</v>
      </c>
      <c r="T123" s="15">
        <v>0</v>
      </c>
      <c r="U123" s="15">
        <v>12.8</v>
      </c>
      <c r="V123" s="15">
        <v>612.92999999999995</v>
      </c>
      <c r="W123" s="16">
        <v>64.89</v>
      </c>
      <c r="X123" s="31">
        <f>MOD(general_price[[#This Row],[date]], 1)</f>
        <v>4.1666666664241347E-2</v>
      </c>
      <c r="Y123" s="25" t="str">
        <f t="shared" si="1"/>
        <v/>
      </c>
      <c r="Z123" s="22">
        <v>0</v>
      </c>
      <c r="AA123" s="48">
        <f>general_price[[#This Row],[Battery (Charging) -  MW]]+general_price[[#This Row],[Battery (Discharging) -  MW]]</f>
        <v>-3.26</v>
      </c>
      <c r="AB123" s="48">
        <f>general_price[[#This Row],[Pumps -  MW]]+general_price[[#This Row],[Hydro -  MW]]</f>
        <v>0</v>
      </c>
    </row>
    <row r="124" spans="1:28">
      <c r="A124" s="13">
        <v>45852.0625</v>
      </c>
      <c r="B124" s="14">
        <v>-51.03</v>
      </c>
      <c r="C124" s="15">
        <v>0</v>
      </c>
      <c r="D124" s="15">
        <v>-513.83000000000004</v>
      </c>
      <c r="E124" s="15">
        <v>792.88</v>
      </c>
      <c r="F124" s="15">
        <v>5143.7</v>
      </c>
      <c r="G124" s="15">
        <v>0.69</v>
      </c>
      <c r="H124" s="15">
        <v>0</v>
      </c>
      <c r="I124" s="15">
        <v>42.41</v>
      </c>
      <c r="J124" s="15">
        <v>0.28999999999999998</v>
      </c>
      <c r="K124" s="15">
        <v>0</v>
      </c>
      <c r="L124" s="15">
        <v>2301.21</v>
      </c>
      <c r="M124" s="15">
        <v>0.05</v>
      </c>
      <c r="N124" s="15">
        <v>0</v>
      </c>
      <c r="O124" s="15">
        <v>14.27</v>
      </c>
      <c r="P124" s="15">
        <v>160.04</v>
      </c>
      <c r="Q124" s="15">
        <v>284.89</v>
      </c>
      <c r="R124" s="15">
        <v>2325.7600000000002</v>
      </c>
      <c r="S124" s="15">
        <v>0.44</v>
      </c>
      <c r="T124" s="15">
        <v>0</v>
      </c>
      <c r="U124" s="15">
        <v>12.77</v>
      </c>
      <c r="V124" s="15">
        <v>606.24</v>
      </c>
      <c r="W124" s="16">
        <v>68.540000000000006</v>
      </c>
      <c r="X124" s="31">
        <f>MOD(general_price[[#This Row],[date]], 1)</f>
        <v>6.25E-2</v>
      </c>
      <c r="Y124" s="25" t="str">
        <f t="shared" si="1"/>
        <v/>
      </c>
      <c r="Z124" s="22">
        <v>0</v>
      </c>
      <c r="AA124" s="48">
        <f>general_price[[#This Row],[Battery (Charging) -  MW]]+general_price[[#This Row],[Battery (Discharging) -  MW]]</f>
        <v>-50.74</v>
      </c>
      <c r="AB124" s="48">
        <f>general_price[[#This Row],[Pumps -  MW]]+general_price[[#This Row],[Hydro -  MW]]</f>
        <v>0</v>
      </c>
    </row>
    <row r="125" spans="1:28">
      <c r="A125" s="13">
        <v>45852.083333333336</v>
      </c>
      <c r="B125" s="14">
        <v>-52.8</v>
      </c>
      <c r="C125" s="15">
        <v>0</v>
      </c>
      <c r="D125" s="15">
        <v>-459.97</v>
      </c>
      <c r="E125" s="15">
        <v>761.6</v>
      </c>
      <c r="F125" s="15">
        <v>4920.88</v>
      </c>
      <c r="G125" s="15">
        <v>0.38</v>
      </c>
      <c r="H125" s="15">
        <v>0</v>
      </c>
      <c r="I125" s="15">
        <v>42.87</v>
      </c>
      <c r="J125" s="15">
        <v>0.35</v>
      </c>
      <c r="K125" s="15">
        <v>0</v>
      </c>
      <c r="L125" s="15">
        <v>2267.08</v>
      </c>
      <c r="M125" s="15">
        <v>0.05</v>
      </c>
      <c r="N125" s="15">
        <v>0</v>
      </c>
      <c r="O125" s="15">
        <v>14.4</v>
      </c>
      <c r="P125" s="15">
        <v>142.07</v>
      </c>
      <c r="Q125" s="15">
        <v>277.07</v>
      </c>
      <c r="R125" s="15">
        <v>2227.5100000000002</v>
      </c>
      <c r="S125" s="15">
        <v>0.44</v>
      </c>
      <c r="T125" s="15">
        <v>0</v>
      </c>
      <c r="U125" s="15">
        <v>12.91</v>
      </c>
      <c r="V125" s="15">
        <v>599.12</v>
      </c>
      <c r="W125" s="16">
        <v>69.52</v>
      </c>
      <c r="X125" s="31">
        <f>MOD(general_price[[#This Row],[date]], 1)</f>
        <v>8.3333333335758653E-2</v>
      </c>
      <c r="Y125" s="25" t="str">
        <f t="shared" si="1"/>
        <v/>
      </c>
      <c r="Z125" s="22">
        <v>0</v>
      </c>
      <c r="AA125" s="48">
        <f>general_price[[#This Row],[Battery (Charging) -  MW]]+general_price[[#This Row],[Battery (Discharging) -  MW]]</f>
        <v>-52.449999999999996</v>
      </c>
      <c r="AB125" s="48">
        <f>general_price[[#This Row],[Pumps -  MW]]+general_price[[#This Row],[Hydro -  MW]]</f>
        <v>0</v>
      </c>
    </row>
    <row r="126" spans="1:28">
      <c r="A126" s="13">
        <v>45852.104166666664</v>
      </c>
      <c r="B126" s="14">
        <v>-67.489999999999995</v>
      </c>
      <c r="C126" s="15">
        <v>0</v>
      </c>
      <c r="D126" s="15">
        <v>-495.82</v>
      </c>
      <c r="E126" s="15">
        <v>791.54</v>
      </c>
      <c r="F126" s="15">
        <v>4781.75</v>
      </c>
      <c r="G126" s="15">
        <v>0.89</v>
      </c>
      <c r="H126" s="15">
        <v>0</v>
      </c>
      <c r="I126" s="15">
        <v>43.16</v>
      </c>
      <c r="J126" s="15">
        <v>1.51</v>
      </c>
      <c r="K126" s="15">
        <v>0</v>
      </c>
      <c r="L126" s="15">
        <v>2249.91</v>
      </c>
      <c r="M126" s="15">
        <v>0.05</v>
      </c>
      <c r="N126" s="15">
        <v>0</v>
      </c>
      <c r="O126" s="15">
        <v>14.03</v>
      </c>
      <c r="P126" s="15">
        <v>152.12</v>
      </c>
      <c r="Q126" s="15">
        <v>287.83999999999997</v>
      </c>
      <c r="R126" s="15">
        <v>2165.6</v>
      </c>
      <c r="S126" s="15">
        <v>0.45</v>
      </c>
      <c r="T126" s="15">
        <v>0</v>
      </c>
      <c r="U126" s="15">
        <v>13</v>
      </c>
      <c r="V126" s="15">
        <v>596.54999999999995</v>
      </c>
      <c r="W126" s="16">
        <v>51.17</v>
      </c>
      <c r="X126" s="31">
        <f>MOD(general_price[[#This Row],[date]], 1)</f>
        <v>0.10416666666424135</v>
      </c>
      <c r="Y126" s="25" t="str">
        <f t="shared" si="1"/>
        <v/>
      </c>
      <c r="Z126" s="22">
        <v>0</v>
      </c>
      <c r="AA126" s="48">
        <f>general_price[[#This Row],[Battery (Charging) -  MW]]+general_price[[#This Row],[Battery (Discharging) -  MW]]</f>
        <v>-65.97999999999999</v>
      </c>
      <c r="AB126" s="48">
        <f>general_price[[#This Row],[Pumps -  MW]]+general_price[[#This Row],[Hydro -  MW]]</f>
        <v>0</v>
      </c>
    </row>
    <row r="127" spans="1:28">
      <c r="A127" s="13">
        <v>45852.125</v>
      </c>
      <c r="B127" s="14">
        <v>-63.85</v>
      </c>
      <c r="C127" s="15">
        <v>0</v>
      </c>
      <c r="D127" s="15">
        <v>-498.8</v>
      </c>
      <c r="E127" s="15">
        <v>780.83</v>
      </c>
      <c r="F127" s="15">
        <v>4703</v>
      </c>
      <c r="G127" s="15">
        <v>-0.04</v>
      </c>
      <c r="H127" s="15">
        <v>0</v>
      </c>
      <c r="I127" s="15">
        <v>43.29</v>
      </c>
      <c r="J127" s="15">
        <v>1.01</v>
      </c>
      <c r="K127" s="15">
        <v>0</v>
      </c>
      <c r="L127" s="15">
        <v>2264.0500000000002</v>
      </c>
      <c r="M127" s="15">
        <v>0.05</v>
      </c>
      <c r="N127" s="15">
        <v>0</v>
      </c>
      <c r="O127" s="15">
        <v>14.21</v>
      </c>
      <c r="P127" s="15">
        <v>152.94999999999999</v>
      </c>
      <c r="Q127" s="15">
        <v>284.14999999999998</v>
      </c>
      <c r="R127" s="15">
        <v>2130.5300000000002</v>
      </c>
      <c r="S127" s="15">
        <v>0.44</v>
      </c>
      <c r="T127" s="15">
        <v>0</v>
      </c>
      <c r="U127" s="15">
        <v>13.04</v>
      </c>
      <c r="V127" s="15">
        <v>593.12</v>
      </c>
      <c r="W127" s="16">
        <v>56.71</v>
      </c>
      <c r="X127" s="31">
        <f>MOD(general_price[[#This Row],[date]], 1)</f>
        <v>0.125</v>
      </c>
      <c r="Y127" s="25" t="str">
        <f t="shared" si="1"/>
        <v/>
      </c>
      <c r="Z127" s="22">
        <v>0</v>
      </c>
      <c r="AA127" s="48">
        <f>general_price[[#This Row],[Battery (Charging) -  MW]]+general_price[[#This Row],[Battery (Discharging) -  MW]]</f>
        <v>-62.84</v>
      </c>
      <c r="AB127" s="48">
        <f>general_price[[#This Row],[Pumps -  MW]]+general_price[[#This Row],[Hydro -  MW]]</f>
        <v>0</v>
      </c>
    </row>
    <row r="128" spans="1:28">
      <c r="A128" s="13">
        <v>45852.145833333336</v>
      </c>
      <c r="B128" s="14">
        <v>-43.63</v>
      </c>
      <c r="C128" s="15">
        <v>0</v>
      </c>
      <c r="D128" s="15">
        <v>-380.66</v>
      </c>
      <c r="E128" s="15">
        <v>713.11</v>
      </c>
      <c r="F128" s="15">
        <v>4627.54</v>
      </c>
      <c r="G128" s="15">
        <v>-0.24</v>
      </c>
      <c r="H128" s="15">
        <v>0</v>
      </c>
      <c r="I128" s="15">
        <v>43.32</v>
      </c>
      <c r="J128" s="15">
        <v>1.59</v>
      </c>
      <c r="K128" s="15">
        <v>0</v>
      </c>
      <c r="L128" s="15">
        <v>2116.71</v>
      </c>
      <c r="M128" s="15">
        <v>0.05</v>
      </c>
      <c r="N128" s="15">
        <v>0</v>
      </c>
      <c r="O128" s="15">
        <v>13.98</v>
      </c>
      <c r="P128" s="15">
        <v>117.83</v>
      </c>
      <c r="Q128" s="15">
        <v>269.75</v>
      </c>
      <c r="R128" s="15">
        <v>2096.8000000000002</v>
      </c>
      <c r="S128" s="15">
        <v>0.45</v>
      </c>
      <c r="T128" s="15">
        <v>0</v>
      </c>
      <c r="U128" s="15">
        <v>13.04</v>
      </c>
      <c r="V128" s="15">
        <v>596.32000000000005</v>
      </c>
      <c r="W128" s="16">
        <v>56.98</v>
      </c>
      <c r="X128" s="31">
        <f>MOD(general_price[[#This Row],[date]], 1)</f>
        <v>0.14583333333575865</v>
      </c>
      <c r="Y128" s="25" t="str">
        <f t="shared" si="1"/>
        <v/>
      </c>
      <c r="Z128" s="22">
        <v>0</v>
      </c>
      <c r="AA128" s="48">
        <f>general_price[[#This Row],[Battery (Charging) -  MW]]+general_price[[#This Row],[Battery (Discharging) -  MW]]</f>
        <v>-42.04</v>
      </c>
      <c r="AB128" s="48">
        <f>general_price[[#This Row],[Pumps -  MW]]+general_price[[#This Row],[Hydro -  MW]]</f>
        <v>0</v>
      </c>
    </row>
    <row r="129" spans="1:28">
      <c r="A129" s="13">
        <v>45852.166666666664</v>
      </c>
      <c r="B129" s="14">
        <v>-55.86</v>
      </c>
      <c r="C129" s="15">
        <v>0</v>
      </c>
      <c r="D129" s="15">
        <v>-325.73</v>
      </c>
      <c r="E129" s="15">
        <v>661.26</v>
      </c>
      <c r="F129" s="15">
        <v>4765.43</v>
      </c>
      <c r="G129" s="15">
        <v>-1.26</v>
      </c>
      <c r="H129" s="15">
        <v>0</v>
      </c>
      <c r="I129" s="15">
        <v>43.3</v>
      </c>
      <c r="J129" s="15">
        <v>11.02</v>
      </c>
      <c r="K129" s="15">
        <v>-0.05</v>
      </c>
      <c r="L129" s="15">
        <v>2004.46</v>
      </c>
      <c r="M129" s="15">
        <v>0.05</v>
      </c>
      <c r="N129" s="15">
        <v>0</v>
      </c>
      <c r="O129" s="15">
        <v>13.29</v>
      </c>
      <c r="P129" s="15">
        <v>102.66</v>
      </c>
      <c r="Q129" s="15">
        <v>256.02</v>
      </c>
      <c r="R129" s="15">
        <v>2158.77</v>
      </c>
      <c r="S129" s="15">
        <v>0.44</v>
      </c>
      <c r="T129" s="15">
        <v>0</v>
      </c>
      <c r="U129" s="15">
        <v>13.04</v>
      </c>
      <c r="V129" s="15">
        <v>611.67999999999995</v>
      </c>
      <c r="W129" s="16">
        <v>57.01</v>
      </c>
      <c r="X129" s="31">
        <f>MOD(general_price[[#This Row],[date]], 1)</f>
        <v>0.16666666666424135</v>
      </c>
      <c r="Y129" s="25" t="str">
        <f t="shared" si="1"/>
        <v/>
      </c>
      <c r="Z129" s="22">
        <v>0</v>
      </c>
      <c r="AA129" s="48">
        <f>general_price[[#This Row],[Battery (Charging) -  MW]]+general_price[[#This Row],[Battery (Discharging) -  MW]]</f>
        <v>-44.84</v>
      </c>
      <c r="AB129" s="48">
        <f>general_price[[#This Row],[Pumps -  MW]]+general_price[[#This Row],[Hydro -  MW]]</f>
        <v>-0.05</v>
      </c>
    </row>
    <row r="130" spans="1:28">
      <c r="A130" s="13">
        <v>45852.1875</v>
      </c>
      <c r="B130" s="14">
        <v>-95.96</v>
      </c>
      <c r="C130" s="15">
        <v>0</v>
      </c>
      <c r="D130" s="15">
        <v>-381.76</v>
      </c>
      <c r="E130" s="15">
        <v>578.07000000000005</v>
      </c>
      <c r="F130" s="15">
        <v>5265.24</v>
      </c>
      <c r="G130" s="15">
        <v>-0.54</v>
      </c>
      <c r="H130" s="15">
        <v>0</v>
      </c>
      <c r="I130" s="15">
        <v>43.4</v>
      </c>
      <c r="J130" s="15">
        <v>0.69</v>
      </c>
      <c r="K130" s="15">
        <v>0</v>
      </c>
      <c r="L130" s="15">
        <v>1914.67</v>
      </c>
      <c r="M130" s="15">
        <v>0.05</v>
      </c>
      <c r="N130" s="15">
        <v>0</v>
      </c>
      <c r="O130" s="15">
        <v>12.77</v>
      </c>
      <c r="P130" s="15">
        <v>121.8</v>
      </c>
      <c r="Q130" s="15">
        <v>223.28</v>
      </c>
      <c r="R130" s="15">
        <v>2389.5100000000002</v>
      </c>
      <c r="S130" s="15">
        <v>0.44</v>
      </c>
      <c r="T130" s="15">
        <v>0</v>
      </c>
      <c r="U130" s="15">
        <v>13.07</v>
      </c>
      <c r="V130" s="15">
        <v>656.22</v>
      </c>
      <c r="W130" s="16">
        <v>72.489999999999995</v>
      </c>
      <c r="X130" s="31">
        <f>MOD(general_price[[#This Row],[date]], 1)</f>
        <v>0.1875</v>
      </c>
      <c r="Y130" s="25" t="str">
        <f t="shared" ref="Y130:Y193" si="2">IF(AND(HOUR(A130)=0,MINUTE(A130)=0),TEXT(A130,"d mmm"),"")</f>
        <v/>
      </c>
      <c r="Z130" s="22">
        <v>0</v>
      </c>
      <c r="AA130" s="48">
        <f>general_price[[#This Row],[Battery (Charging) -  MW]]+general_price[[#This Row],[Battery (Discharging) -  MW]]</f>
        <v>-95.27</v>
      </c>
      <c r="AB130" s="48">
        <f>general_price[[#This Row],[Pumps -  MW]]+general_price[[#This Row],[Hydro -  MW]]</f>
        <v>0</v>
      </c>
    </row>
    <row r="131" spans="1:28">
      <c r="A131" s="13">
        <v>45852.208333333336</v>
      </c>
      <c r="B131" s="14">
        <v>-37.93</v>
      </c>
      <c r="C131" s="15">
        <v>0</v>
      </c>
      <c r="D131" s="15">
        <v>-461.29</v>
      </c>
      <c r="E131" s="15">
        <v>475.77</v>
      </c>
      <c r="F131" s="15">
        <v>5618.82</v>
      </c>
      <c r="G131" s="15">
        <v>0.56999999999999995</v>
      </c>
      <c r="H131" s="15">
        <v>0</v>
      </c>
      <c r="I131" s="15">
        <v>42.88</v>
      </c>
      <c r="J131" s="15">
        <v>5.82</v>
      </c>
      <c r="K131" s="15">
        <v>0</v>
      </c>
      <c r="L131" s="15">
        <v>1963.07</v>
      </c>
      <c r="M131" s="15">
        <v>0.05</v>
      </c>
      <c r="N131" s="15">
        <v>0</v>
      </c>
      <c r="O131" s="15">
        <v>12.53</v>
      </c>
      <c r="P131" s="15">
        <v>147.88999999999999</v>
      </c>
      <c r="Q131" s="15">
        <v>186.06</v>
      </c>
      <c r="R131" s="15">
        <v>2547.91</v>
      </c>
      <c r="S131" s="15">
        <v>0.45</v>
      </c>
      <c r="T131" s="15">
        <v>0</v>
      </c>
      <c r="U131" s="15">
        <v>12.91</v>
      </c>
      <c r="V131" s="15">
        <v>673.33</v>
      </c>
      <c r="W131" s="16">
        <v>69.599999999999994</v>
      </c>
      <c r="X131" s="31">
        <f>MOD(general_price[[#This Row],[date]], 1)</f>
        <v>0.20833333333575865</v>
      </c>
      <c r="Y131" s="25" t="str">
        <f t="shared" si="2"/>
        <v/>
      </c>
      <c r="Z131" s="22">
        <v>0</v>
      </c>
      <c r="AA131" s="48">
        <f>general_price[[#This Row],[Battery (Charging) -  MW]]+general_price[[#This Row],[Battery (Discharging) -  MW]]</f>
        <v>-32.11</v>
      </c>
      <c r="AB131" s="48">
        <f>general_price[[#This Row],[Pumps -  MW]]+general_price[[#This Row],[Hydro -  MW]]</f>
        <v>0</v>
      </c>
    </row>
    <row r="132" spans="1:28">
      <c r="A132" s="13">
        <v>45852.229166666664</v>
      </c>
      <c r="B132" s="14">
        <v>-10.93</v>
      </c>
      <c r="C132" s="15">
        <v>0</v>
      </c>
      <c r="D132" s="15">
        <v>-472.02</v>
      </c>
      <c r="E132" s="15">
        <v>210.95</v>
      </c>
      <c r="F132" s="15">
        <v>6309.23</v>
      </c>
      <c r="G132" s="15">
        <v>-0.28999999999999998</v>
      </c>
      <c r="H132" s="15">
        <v>0</v>
      </c>
      <c r="I132" s="15">
        <v>42.53</v>
      </c>
      <c r="J132" s="15">
        <v>4.59</v>
      </c>
      <c r="K132" s="15">
        <v>57.01</v>
      </c>
      <c r="L132" s="15">
        <v>1767.6</v>
      </c>
      <c r="M132" s="15">
        <v>0.05</v>
      </c>
      <c r="N132" s="15">
        <v>0</v>
      </c>
      <c r="O132" s="15">
        <v>12.42</v>
      </c>
      <c r="P132" s="15">
        <v>160.69999999999999</v>
      </c>
      <c r="Q132" s="15">
        <v>83.17</v>
      </c>
      <c r="R132" s="15">
        <v>2858.13</v>
      </c>
      <c r="S132" s="15">
        <v>0.45</v>
      </c>
      <c r="T132" s="15">
        <v>0</v>
      </c>
      <c r="U132" s="15">
        <v>12.81</v>
      </c>
      <c r="V132" s="15">
        <v>726.13</v>
      </c>
      <c r="W132" s="16">
        <v>77.510000000000005</v>
      </c>
      <c r="X132" s="31">
        <f>MOD(general_price[[#This Row],[date]], 1)</f>
        <v>0.22916666666424135</v>
      </c>
      <c r="Y132" s="25" t="str">
        <f t="shared" si="2"/>
        <v/>
      </c>
      <c r="Z132" s="22">
        <v>0</v>
      </c>
      <c r="AA132" s="48">
        <f>general_price[[#This Row],[Battery (Charging) -  MW]]+general_price[[#This Row],[Battery (Discharging) -  MW]]</f>
        <v>-6.34</v>
      </c>
      <c r="AB132" s="48">
        <f>general_price[[#This Row],[Pumps -  MW]]+general_price[[#This Row],[Hydro -  MW]]</f>
        <v>57.01</v>
      </c>
    </row>
    <row r="133" spans="1:28">
      <c r="A133" s="13">
        <v>45852.25</v>
      </c>
      <c r="B133" s="14">
        <v>-10.5</v>
      </c>
      <c r="C133" s="15">
        <v>0</v>
      </c>
      <c r="D133" s="15">
        <v>-573.94000000000005</v>
      </c>
      <c r="E133" s="15">
        <v>0</v>
      </c>
      <c r="F133" s="15">
        <v>6751.5</v>
      </c>
      <c r="G133" s="15">
        <v>-1.1299999999999999</v>
      </c>
      <c r="H133" s="15">
        <v>0</v>
      </c>
      <c r="I133" s="15">
        <v>43</v>
      </c>
      <c r="J133" s="15">
        <v>83.72</v>
      </c>
      <c r="K133" s="15">
        <v>233.36</v>
      </c>
      <c r="L133" s="15">
        <v>1750.97</v>
      </c>
      <c r="M133" s="15">
        <v>0.05</v>
      </c>
      <c r="N133" s="15">
        <v>0</v>
      </c>
      <c r="O133" s="15">
        <v>11.77</v>
      </c>
      <c r="P133" s="15">
        <v>197.92</v>
      </c>
      <c r="Q133" s="15">
        <v>0</v>
      </c>
      <c r="R133" s="15">
        <v>3055.82</v>
      </c>
      <c r="S133" s="15">
        <v>0.44</v>
      </c>
      <c r="T133" s="15">
        <v>0</v>
      </c>
      <c r="U133" s="15">
        <v>12.95</v>
      </c>
      <c r="V133" s="15">
        <v>741.62</v>
      </c>
      <c r="W133" s="16">
        <v>93.14</v>
      </c>
      <c r="X133" s="31">
        <f>MOD(general_price[[#This Row],[date]], 1)</f>
        <v>0.25</v>
      </c>
      <c r="Y133" s="25" t="str">
        <f t="shared" si="2"/>
        <v/>
      </c>
      <c r="Z133" s="22">
        <v>0</v>
      </c>
      <c r="AA133" s="48">
        <f>general_price[[#This Row],[Battery (Charging) -  MW]]+general_price[[#This Row],[Battery (Discharging) -  MW]]</f>
        <v>73.22</v>
      </c>
      <c r="AB133" s="48">
        <f>general_price[[#This Row],[Pumps -  MW]]+general_price[[#This Row],[Hydro -  MW]]</f>
        <v>233.36</v>
      </c>
    </row>
    <row r="134" spans="1:28">
      <c r="A134" s="13">
        <v>45852.270833333336</v>
      </c>
      <c r="B134" s="14">
        <v>-15.9</v>
      </c>
      <c r="C134" s="15">
        <v>0</v>
      </c>
      <c r="D134" s="15">
        <v>-418.29</v>
      </c>
      <c r="E134" s="15">
        <v>0</v>
      </c>
      <c r="F134" s="15">
        <v>7123.99</v>
      </c>
      <c r="G134" s="15">
        <v>-3.58</v>
      </c>
      <c r="H134" s="15">
        <v>0</v>
      </c>
      <c r="I134" s="15">
        <v>43.75</v>
      </c>
      <c r="J134" s="15">
        <v>146.22999999999999</v>
      </c>
      <c r="K134" s="15">
        <v>190.83</v>
      </c>
      <c r="L134" s="15">
        <v>1760.49</v>
      </c>
      <c r="M134" s="15">
        <v>0.05</v>
      </c>
      <c r="N134" s="15">
        <v>0.12</v>
      </c>
      <c r="O134" s="15">
        <v>11.87</v>
      </c>
      <c r="P134" s="15">
        <v>145.72999999999999</v>
      </c>
      <c r="Q134" s="15">
        <v>0</v>
      </c>
      <c r="R134" s="15">
        <v>3224.4</v>
      </c>
      <c r="S134" s="15">
        <v>0.44</v>
      </c>
      <c r="T134" s="15">
        <v>0</v>
      </c>
      <c r="U134" s="15">
        <v>13.17</v>
      </c>
      <c r="V134" s="15">
        <v>733.6</v>
      </c>
      <c r="W134" s="16">
        <v>153.1</v>
      </c>
      <c r="X134" s="31">
        <f>MOD(general_price[[#This Row],[date]], 1)</f>
        <v>0.27083333333575865</v>
      </c>
      <c r="Y134" s="25" t="str">
        <f t="shared" si="2"/>
        <v/>
      </c>
      <c r="Z134" s="22">
        <v>0</v>
      </c>
      <c r="AA134" s="48">
        <f>general_price[[#This Row],[Battery (Charging) -  MW]]+general_price[[#This Row],[Battery (Discharging) -  MW]]</f>
        <v>130.32999999999998</v>
      </c>
      <c r="AB134" s="48">
        <f>general_price[[#This Row],[Pumps -  MW]]+general_price[[#This Row],[Hydro -  MW]]</f>
        <v>190.83</v>
      </c>
    </row>
    <row r="135" spans="1:28">
      <c r="A135" s="13">
        <v>45852.291666666664</v>
      </c>
      <c r="B135" s="14">
        <v>-2.09</v>
      </c>
      <c r="C135" s="15">
        <v>0</v>
      </c>
      <c r="D135" s="15">
        <v>-376.64</v>
      </c>
      <c r="E135" s="15">
        <v>15.8</v>
      </c>
      <c r="F135" s="15">
        <v>7297.42</v>
      </c>
      <c r="G135" s="15">
        <v>-1.92</v>
      </c>
      <c r="H135" s="15">
        <v>0</v>
      </c>
      <c r="I135" s="15">
        <v>43.23</v>
      </c>
      <c r="J135" s="15">
        <v>240.67</v>
      </c>
      <c r="K135" s="15">
        <v>358.43</v>
      </c>
      <c r="L135" s="15">
        <v>1750.08</v>
      </c>
      <c r="M135" s="15">
        <v>5.23</v>
      </c>
      <c r="N135" s="15">
        <v>7.84</v>
      </c>
      <c r="O135" s="15">
        <v>12.89</v>
      </c>
      <c r="P135" s="15">
        <v>128.53</v>
      </c>
      <c r="Q135" s="15">
        <v>5.47</v>
      </c>
      <c r="R135" s="15">
        <v>3304.27</v>
      </c>
      <c r="S135" s="15">
        <v>0.45</v>
      </c>
      <c r="T135" s="15">
        <v>0</v>
      </c>
      <c r="U135" s="15">
        <v>13.02</v>
      </c>
      <c r="V135" s="15">
        <v>710.58</v>
      </c>
      <c r="W135" s="16">
        <v>147.21</v>
      </c>
      <c r="X135" s="31">
        <f>MOD(general_price[[#This Row],[date]], 1)</f>
        <v>0.29166666666424135</v>
      </c>
      <c r="Y135" s="25" t="str">
        <f t="shared" si="2"/>
        <v/>
      </c>
      <c r="Z135" s="22">
        <v>0</v>
      </c>
      <c r="AA135" s="48">
        <f>general_price[[#This Row],[Battery (Charging) -  MW]]+general_price[[#This Row],[Battery (Discharging) -  MW]]</f>
        <v>238.57999999999998</v>
      </c>
      <c r="AB135" s="48">
        <f>general_price[[#This Row],[Pumps -  MW]]+general_price[[#This Row],[Hydro -  MW]]</f>
        <v>358.43</v>
      </c>
    </row>
    <row r="136" spans="1:28">
      <c r="A136" s="13">
        <v>45852.3125</v>
      </c>
      <c r="B136" s="14">
        <v>-4.78</v>
      </c>
      <c r="C136" s="15">
        <v>0</v>
      </c>
      <c r="D136" s="15">
        <v>-305.26</v>
      </c>
      <c r="E136" s="15">
        <v>0</v>
      </c>
      <c r="F136" s="15">
        <v>7328.85</v>
      </c>
      <c r="G136" s="15">
        <v>-3.31</v>
      </c>
      <c r="H136" s="15">
        <v>0</v>
      </c>
      <c r="I136" s="15">
        <v>43.32</v>
      </c>
      <c r="J136" s="15">
        <v>89.95</v>
      </c>
      <c r="K136" s="15">
        <v>577.28</v>
      </c>
      <c r="L136" s="15">
        <v>1818.48</v>
      </c>
      <c r="M136" s="15">
        <v>136.53</v>
      </c>
      <c r="N136" s="15">
        <v>94.14</v>
      </c>
      <c r="O136" s="15">
        <v>13.92</v>
      </c>
      <c r="P136" s="15">
        <v>101.53</v>
      </c>
      <c r="Q136" s="15">
        <v>0</v>
      </c>
      <c r="R136" s="15">
        <v>3319.64</v>
      </c>
      <c r="S136" s="15">
        <v>0.45</v>
      </c>
      <c r="T136" s="15">
        <v>0</v>
      </c>
      <c r="U136" s="15">
        <v>13.04</v>
      </c>
      <c r="V136" s="15">
        <v>681.96</v>
      </c>
      <c r="W136" s="16">
        <v>154.78</v>
      </c>
      <c r="X136" s="31">
        <f>MOD(general_price[[#This Row],[date]], 1)</f>
        <v>0.3125</v>
      </c>
      <c r="Y136" s="25" t="str">
        <f t="shared" si="2"/>
        <v/>
      </c>
      <c r="Z136" s="22">
        <v>0</v>
      </c>
      <c r="AA136" s="48">
        <f>general_price[[#This Row],[Battery (Charging) -  MW]]+general_price[[#This Row],[Battery (Discharging) -  MW]]</f>
        <v>85.17</v>
      </c>
      <c r="AB136" s="48">
        <f>general_price[[#This Row],[Pumps -  MW]]+general_price[[#This Row],[Hydro -  MW]]</f>
        <v>577.28</v>
      </c>
    </row>
    <row r="137" spans="1:28">
      <c r="A137" s="13">
        <v>45852.333333333336</v>
      </c>
      <c r="B137" s="14">
        <v>-5.0999999999999996</v>
      </c>
      <c r="C137" s="15">
        <v>0</v>
      </c>
      <c r="D137" s="15">
        <v>-223.76</v>
      </c>
      <c r="E137" s="15">
        <v>8.4600000000000009</v>
      </c>
      <c r="F137" s="15">
        <v>6969.81</v>
      </c>
      <c r="G137" s="15">
        <v>-3.44</v>
      </c>
      <c r="H137" s="15">
        <v>0</v>
      </c>
      <c r="I137" s="15">
        <v>43.3</v>
      </c>
      <c r="J137" s="15">
        <v>80.38</v>
      </c>
      <c r="K137" s="15">
        <v>298.17</v>
      </c>
      <c r="L137" s="15">
        <v>1670.48</v>
      </c>
      <c r="M137" s="15">
        <v>735.66</v>
      </c>
      <c r="N137" s="15">
        <v>389.47</v>
      </c>
      <c r="O137" s="15">
        <v>14.14</v>
      </c>
      <c r="P137" s="15">
        <v>72.239999999999995</v>
      </c>
      <c r="Q137" s="15">
        <v>2.44</v>
      </c>
      <c r="R137" s="15">
        <v>3155.92</v>
      </c>
      <c r="S137" s="15">
        <v>0.44</v>
      </c>
      <c r="T137" s="15">
        <v>0</v>
      </c>
      <c r="U137" s="15">
        <v>13.04</v>
      </c>
      <c r="V137" s="15">
        <v>636.20000000000005</v>
      </c>
      <c r="W137" s="16">
        <v>81.06</v>
      </c>
      <c r="X137" s="31">
        <f>MOD(general_price[[#This Row],[date]], 1)</f>
        <v>0.33333333333575865</v>
      </c>
      <c r="Y137" s="25" t="str">
        <f t="shared" si="2"/>
        <v/>
      </c>
      <c r="Z137" s="22">
        <v>0</v>
      </c>
      <c r="AA137" s="48">
        <f>general_price[[#This Row],[Battery (Charging) -  MW]]+general_price[[#This Row],[Battery (Discharging) -  MW]]</f>
        <v>75.28</v>
      </c>
      <c r="AB137" s="48">
        <f>general_price[[#This Row],[Pumps -  MW]]+general_price[[#This Row],[Hydro -  MW]]</f>
        <v>298.17</v>
      </c>
    </row>
    <row r="138" spans="1:28">
      <c r="A138" s="13">
        <v>45852.354166666664</v>
      </c>
      <c r="B138" s="14">
        <v>-35.28</v>
      </c>
      <c r="C138" s="15">
        <v>0</v>
      </c>
      <c r="D138" s="15">
        <v>-158.31</v>
      </c>
      <c r="E138" s="15">
        <v>242.69</v>
      </c>
      <c r="F138" s="15">
        <v>5979.68</v>
      </c>
      <c r="G138" s="15">
        <v>-3.45</v>
      </c>
      <c r="H138" s="15">
        <v>0</v>
      </c>
      <c r="I138" s="15">
        <v>43.44</v>
      </c>
      <c r="J138" s="15">
        <v>1.1599999999999999</v>
      </c>
      <c r="K138" s="15">
        <v>0</v>
      </c>
      <c r="L138" s="15">
        <v>1447.65</v>
      </c>
      <c r="M138" s="15">
        <v>1700.98</v>
      </c>
      <c r="N138" s="15">
        <v>873.76</v>
      </c>
      <c r="O138" s="15">
        <v>14.6</v>
      </c>
      <c r="P138" s="15">
        <v>46.23</v>
      </c>
      <c r="Q138" s="15">
        <v>63.07</v>
      </c>
      <c r="R138" s="15">
        <v>2703.21</v>
      </c>
      <c r="S138" s="15">
        <v>0.44</v>
      </c>
      <c r="T138" s="15">
        <v>0</v>
      </c>
      <c r="U138" s="15">
        <v>13.08</v>
      </c>
      <c r="V138" s="15">
        <v>538.37</v>
      </c>
      <c r="W138" s="16">
        <v>-14.01</v>
      </c>
      <c r="X138" s="31">
        <f>MOD(general_price[[#This Row],[date]], 1)</f>
        <v>0.35416666666424135</v>
      </c>
      <c r="Y138" s="25" t="str">
        <f t="shared" si="2"/>
        <v/>
      </c>
      <c r="Z138" s="22">
        <v>0</v>
      </c>
      <c r="AA138" s="48">
        <f>general_price[[#This Row],[Battery (Charging) -  MW]]+general_price[[#This Row],[Battery (Discharging) -  MW]]</f>
        <v>-34.120000000000005</v>
      </c>
      <c r="AB138" s="48">
        <f>general_price[[#This Row],[Pumps -  MW]]+general_price[[#This Row],[Hydro -  MW]]</f>
        <v>0</v>
      </c>
    </row>
    <row r="139" spans="1:28">
      <c r="A139" s="13">
        <v>45852.375</v>
      </c>
      <c r="B139" s="14">
        <v>-38.520000000000003</v>
      </c>
      <c r="C139" s="15">
        <v>-26.8</v>
      </c>
      <c r="D139" s="15">
        <v>-324.17</v>
      </c>
      <c r="E139" s="15">
        <v>599.24</v>
      </c>
      <c r="F139" s="15">
        <v>5028.6499999999996</v>
      </c>
      <c r="G139" s="15">
        <v>0.96</v>
      </c>
      <c r="H139" s="15">
        <v>0</v>
      </c>
      <c r="I139" s="15">
        <v>42.44</v>
      </c>
      <c r="J139" s="15">
        <v>0.81</v>
      </c>
      <c r="K139" s="15">
        <v>0</v>
      </c>
      <c r="L139" s="15">
        <v>1171.56</v>
      </c>
      <c r="M139" s="15">
        <v>2574.77</v>
      </c>
      <c r="N139" s="15">
        <v>1457.97</v>
      </c>
      <c r="O139" s="15">
        <v>15.48</v>
      </c>
      <c r="P139" s="15">
        <v>83.25</v>
      </c>
      <c r="Q139" s="15">
        <v>144.63</v>
      </c>
      <c r="R139" s="15">
        <v>2268.7199999999998</v>
      </c>
      <c r="S139" s="15">
        <v>0.43</v>
      </c>
      <c r="T139" s="15">
        <v>0</v>
      </c>
      <c r="U139" s="15">
        <v>12.78</v>
      </c>
      <c r="V139" s="15">
        <v>435.2</v>
      </c>
      <c r="W139" s="16">
        <v>16.04</v>
      </c>
      <c r="X139" s="31">
        <f>MOD(general_price[[#This Row],[date]], 1)</f>
        <v>0.375</v>
      </c>
      <c r="Y139" s="25" t="str">
        <f t="shared" si="2"/>
        <v/>
      </c>
      <c r="Z139" s="22">
        <v>0</v>
      </c>
      <c r="AA139" s="48">
        <f>general_price[[#This Row],[Battery (Charging) -  MW]]+general_price[[#This Row],[Battery (Discharging) -  MW]]</f>
        <v>-37.71</v>
      </c>
      <c r="AB139" s="48">
        <f>general_price[[#This Row],[Pumps -  MW]]+general_price[[#This Row],[Hydro -  MW]]</f>
        <v>-26.8</v>
      </c>
    </row>
    <row r="140" spans="1:28">
      <c r="A140" s="13">
        <v>45852.395833333336</v>
      </c>
      <c r="B140" s="14">
        <v>-8.85</v>
      </c>
      <c r="C140" s="15">
        <v>-97.44</v>
      </c>
      <c r="D140" s="15">
        <v>-393.87</v>
      </c>
      <c r="E140" s="15">
        <v>701.08</v>
      </c>
      <c r="F140" s="15">
        <v>4242.24</v>
      </c>
      <c r="G140" s="15">
        <v>11.53</v>
      </c>
      <c r="H140" s="15">
        <v>0</v>
      </c>
      <c r="I140" s="15">
        <v>40.770000000000003</v>
      </c>
      <c r="J140" s="15">
        <v>1.08</v>
      </c>
      <c r="K140" s="15">
        <v>0</v>
      </c>
      <c r="L140" s="15">
        <v>1027.68</v>
      </c>
      <c r="M140" s="15">
        <v>2910.9</v>
      </c>
      <c r="N140" s="15">
        <v>2056.14</v>
      </c>
      <c r="O140" s="15">
        <v>16.13</v>
      </c>
      <c r="P140" s="15">
        <v>90.59</v>
      </c>
      <c r="Q140" s="15">
        <v>160.27000000000001</v>
      </c>
      <c r="R140" s="15">
        <v>1910.6</v>
      </c>
      <c r="S140" s="15">
        <v>0.44</v>
      </c>
      <c r="T140" s="15">
        <v>0</v>
      </c>
      <c r="U140" s="15">
        <v>12.27</v>
      </c>
      <c r="V140" s="15">
        <v>366.65</v>
      </c>
      <c r="W140" s="16">
        <v>50.35</v>
      </c>
      <c r="X140" s="31">
        <f>MOD(general_price[[#This Row],[date]], 1)</f>
        <v>0.39583333333575865</v>
      </c>
      <c r="Y140" s="25" t="str">
        <f t="shared" si="2"/>
        <v/>
      </c>
      <c r="Z140" s="22">
        <v>0</v>
      </c>
      <c r="AA140" s="48">
        <f>general_price[[#This Row],[Battery (Charging) -  MW]]+general_price[[#This Row],[Battery (Discharging) -  MW]]</f>
        <v>-7.77</v>
      </c>
      <c r="AB140" s="48">
        <f>general_price[[#This Row],[Pumps -  MW]]+general_price[[#This Row],[Hydro -  MW]]</f>
        <v>-97.44</v>
      </c>
    </row>
    <row r="141" spans="1:28">
      <c r="A141" s="13">
        <v>45852.416666666664</v>
      </c>
      <c r="B141" s="14">
        <v>-81.27</v>
      </c>
      <c r="C141" s="15">
        <v>-283.64</v>
      </c>
      <c r="D141" s="15">
        <v>-359.41</v>
      </c>
      <c r="E141" s="15">
        <v>752.54</v>
      </c>
      <c r="F141" s="15">
        <v>3632.09</v>
      </c>
      <c r="G141" s="15">
        <v>13.54</v>
      </c>
      <c r="H141" s="15">
        <v>0</v>
      </c>
      <c r="I141" s="15">
        <v>38.119999999999997</v>
      </c>
      <c r="J141" s="15">
        <v>2.21</v>
      </c>
      <c r="K141" s="15">
        <v>0</v>
      </c>
      <c r="L141" s="15">
        <v>960.08</v>
      </c>
      <c r="M141" s="15">
        <v>3022.31</v>
      </c>
      <c r="N141" s="15">
        <v>2593.56</v>
      </c>
      <c r="O141" s="15">
        <v>16.489999999999998</v>
      </c>
      <c r="P141" s="15">
        <v>74.67</v>
      </c>
      <c r="Q141" s="15">
        <v>176.01</v>
      </c>
      <c r="R141" s="15">
        <v>1639.68</v>
      </c>
      <c r="S141" s="15">
        <v>0.45</v>
      </c>
      <c r="T141" s="15">
        <v>0</v>
      </c>
      <c r="U141" s="15">
        <v>11.48</v>
      </c>
      <c r="V141" s="15">
        <v>321.01</v>
      </c>
      <c r="W141" s="16">
        <v>24</v>
      </c>
      <c r="X141" s="31">
        <f>MOD(general_price[[#This Row],[date]], 1)</f>
        <v>0.41666666666424135</v>
      </c>
      <c r="Y141" s="25" t="str">
        <f t="shared" si="2"/>
        <v/>
      </c>
      <c r="Z141" s="22">
        <v>0</v>
      </c>
      <c r="AA141" s="48">
        <f>general_price[[#This Row],[Battery (Charging) -  MW]]+general_price[[#This Row],[Battery (Discharging) -  MW]]</f>
        <v>-79.06</v>
      </c>
      <c r="AB141" s="48">
        <f>general_price[[#This Row],[Pumps -  MW]]+general_price[[#This Row],[Hydro -  MW]]</f>
        <v>-283.64</v>
      </c>
    </row>
    <row r="142" spans="1:28">
      <c r="A142" s="13">
        <v>45852.4375</v>
      </c>
      <c r="B142" s="14">
        <v>-106.43</v>
      </c>
      <c r="C142" s="15">
        <v>-480.14</v>
      </c>
      <c r="D142" s="15">
        <v>-342.47</v>
      </c>
      <c r="E142" s="15">
        <v>720</v>
      </c>
      <c r="F142" s="15">
        <v>3455.68</v>
      </c>
      <c r="G142" s="15">
        <v>13.92</v>
      </c>
      <c r="H142" s="15">
        <v>0</v>
      </c>
      <c r="I142" s="15">
        <v>40.619999999999997</v>
      </c>
      <c r="J142" s="15">
        <v>1.74</v>
      </c>
      <c r="K142" s="15">
        <v>0</v>
      </c>
      <c r="L142" s="15">
        <v>905.81</v>
      </c>
      <c r="M142" s="15">
        <v>3084.05</v>
      </c>
      <c r="N142" s="15">
        <v>3022.73</v>
      </c>
      <c r="O142" s="15">
        <v>16.97</v>
      </c>
      <c r="P142" s="15">
        <v>67.48</v>
      </c>
      <c r="Q142" s="15">
        <v>172.94</v>
      </c>
      <c r="R142" s="15">
        <v>1562.77</v>
      </c>
      <c r="S142" s="15">
        <v>0.45</v>
      </c>
      <c r="T142" s="15">
        <v>0</v>
      </c>
      <c r="U142" s="15">
        <v>12.23</v>
      </c>
      <c r="V142" s="15">
        <v>305.45</v>
      </c>
      <c r="W142" s="16">
        <v>45</v>
      </c>
      <c r="X142" s="31">
        <f>MOD(general_price[[#This Row],[date]], 1)</f>
        <v>0.4375</v>
      </c>
      <c r="Y142" s="25" t="str">
        <f t="shared" si="2"/>
        <v/>
      </c>
      <c r="Z142" s="22">
        <v>0</v>
      </c>
      <c r="AA142" s="48">
        <f>general_price[[#This Row],[Battery (Charging) -  MW]]+general_price[[#This Row],[Battery (Discharging) -  MW]]</f>
        <v>-104.69000000000001</v>
      </c>
      <c r="AB142" s="48">
        <f>general_price[[#This Row],[Pumps -  MW]]+general_price[[#This Row],[Hydro -  MW]]</f>
        <v>-480.14</v>
      </c>
    </row>
    <row r="143" spans="1:28">
      <c r="A143" s="13">
        <v>45852.458333333336</v>
      </c>
      <c r="B143" s="14">
        <v>-244.89</v>
      </c>
      <c r="C143" s="15">
        <v>-657.9</v>
      </c>
      <c r="D143" s="15">
        <v>-315.85000000000002</v>
      </c>
      <c r="E143" s="15">
        <v>718.44</v>
      </c>
      <c r="F143" s="15">
        <v>3370.09</v>
      </c>
      <c r="G143" s="15">
        <v>13.54</v>
      </c>
      <c r="H143" s="15">
        <v>0</v>
      </c>
      <c r="I143" s="15">
        <v>38.700000000000003</v>
      </c>
      <c r="J143" s="15">
        <v>0.02</v>
      </c>
      <c r="K143" s="15">
        <v>0</v>
      </c>
      <c r="L143" s="15">
        <v>892.28</v>
      </c>
      <c r="M143" s="15">
        <v>2987.13</v>
      </c>
      <c r="N143" s="15">
        <v>3352.07</v>
      </c>
      <c r="O143" s="15">
        <v>17.53</v>
      </c>
      <c r="P143" s="15">
        <v>60.85</v>
      </c>
      <c r="Q143" s="15">
        <v>180.02</v>
      </c>
      <c r="R143" s="15">
        <v>1525.04</v>
      </c>
      <c r="S143" s="15">
        <v>0.44</v>
      </c>
      <c r="T143" s="15">
        <v>0</v>
      </c>
      <c r="U143" s="15">
        <v>11.65</v>
      </c>
      <c r="V143" s="15">
        <v>302.77</v>
      </c>
      <c r="W143" s="16">
        <v>-9.5</v>
      </c>
      <c r="X143" s="31">
        <f>MOD(general_price[[#This Row],[date]], 1)</f>
        <v>0.45833333333575865</v>
      </c>
      <c r="Y143" s="25" t="str">
        <f t="shared" si="2"/>
        <v/>
      </c>
      <c r="Z143" s="22">
        <v>0</v>
      </c>
      <c r="AA143" s="48">
        <f>general_price[[#This Row],[Battery (Charging) -  MW]]+general_price[[#This Row],[Battery (Discharging) -  MW]]</f>
        <v>-244.86999999999998</v>
      </c>
      <c r="AB143" s="48">
        <f>general_price[[#This Row],[Pumps -  MW]]+general_price[[#This Row],[Hydro -  MW]]</f>
        <v>-657.9</v>
      </c>
    </row>
    <row r="144" spans="1:28">
      <c r="A144" s="13">
        <v>45852.479166666664</v>
      </c>
      <c r="B144" s="14">
        <v>-458.77</v>
      </c>
      <c r="C144" s="15">
        <v>-657.57</v>
      </c>
      <c r="D144" s="15">
        <v>-389.6</v>
      </c>
      <c r="E144" s="15">
        <v>722.83</v>
      </c>
      <c r="F144" s="15">
        <v>3416</v>
      </c>
      <c r="G144" s="15">
        <v>13.34</v>
      </c>
      <c r="H144" s="15">
        <v>0</v>
      </c>
      <c r="I144" s="15">
        <v>38.369999999999997</v>
      </c>
      <c r="J144" s="15">
        <v>0.31</v>
      </c>
      <c r="K144" s="15">
        <v>0</v>
      </c>
      <c r="L144" s="15">
        <v>952.99</v>
      </c>
      <c r="M144" s="15">
        <v>2926.51</v>
      </c>
      <c r="N144" s="15">
        <v>3570.13</v>
      </c>
      <c r="O144" s="15">
        <v>17.86</v>
      </c>
      <c r="P144" s="15">
        <v>75.72</v>
      </c>
      <c r="Q144" s="15">
        <v>182.28</v>
      </c>
      <c r="R144" s="15">
        <v>1545.61</v>
      </c>
      <c r="S144" s="15">
        <v>0.44</v>
      </c>
      <c r="T144" s="15">
        <v>0</v>
      </c>
      <c r="U144" s="15">
        <v>11.55</v>
      </c>
      <c r="V144" s="15">
        <v>307.39</v>
      </c>
      <c r="W144" s="16">
        <v>22.93</v>
      </c>
      <c r="X144" s="31">
        <f>MOD(general_price[[#This Row],[date]], 1)</f>
        <v>0.47916666666424135</v>
      </c>
      <c r="Y144" s="25" t="str">
        <f t="shared" si="2"/>
        <v/>
      </c>
      <c r="Z144" s="22">
        <v>0</v>
      </c>
      <c r="AA144" s="48">
        <f>general_price[[#This Row],[Battery (Charging) -  MW]]+general_price[[#This Row],[Battery (Discharging) -  MW]]</f>
        <v>-458.46</v>
      </c>
      <c r="AB144" s="48">
        <f>general_price[[#This Row],[Pumps -  MW]]+general_price[[#This Row],[Hydro -  MW]]</f>
        <v>-657.57</v>
      </c>
    </row>
    <row r="145" spans="1:28">
      <c r="A145" s="13">
        <v>45852.5</v>
      </c>
      <c r="B145" s="14">
        <v>-292.61</v>
      </c>
      <c r="C145" s="15">
        <v>-657.06</v>
      </c>
      <c r="D145" s="15">
        <v>-520.09</v>
      </c>
      <c r="E145" s="15">
        <v>644.71</v>
      </c>
      <c r="F145" s="15">
        <v>3325.91</v>
      </c>
      <c r="G145" s="15">
        <v>9.8000000000000007</v>
      </c>
      <c r="H145" s="15">
        <v>0</v>
      </c>
      <c r="I145" s="15">
        <v>38.18</v>
      </c>
      <c r="J145" s="15">
        <v>275.94</v>
      </c>
      <c r="K145" s="15">
        <v>0</v>
      </c>
      <c r="L145" s="15">
        <v>940.11</v>
      </c>
      <c r="M145" s="15">
        <v>2611.9499999999998</v>
      </c>
      <c r="N145" s="15">
        <v>3687.66</v>
      </c>
      <c r="O145" s="15">
        <v>18.03</v>
      </c>
      <c r="P145" s="15">
        <v>100.25</v>
      </c>
      <c r="Q145" s="15">
        <v>168.33</v>
      </c>
      <c r="R145" s="15">
        <v>1505.37</v>
      </c>
      <c r="S145" s="15">
        <v>0.39</v>
      </c>
      <c r="T145" s="15">
        <v>0</v>
      </c>
      <c r="U145" s="15">
        <v>11.49</v>
      </c>
      <c r="V145" s="15">
        <v>301.51</v>
      </c>
      <c r="W145" s="16">
        <v>-18</v>
      </c>
      <c r="X145" s="31">
        <f>MOD(general_price[[#This Row],[date]], 1)</f>
        <v>0.5</v>
      </c>
      <c r="Y145" s="25" t="str">
        <f t="shared" si="2"/>
        <v/>
      </c>
      <c r="Z145" s="22">
        <v>0</v>
      </c>
      <c r="AA145" s="48">
        <f>general_price[[#This Row],[Battery (Charging) -  MW]]+general_price[[#This Row],[Battery (Discharging) -  MW]]</f>
        <v>-16.670000000000016</v>
      </c>
      <c r="AB145" s="48">
        <f>general_price[[#This Row],[Pumps -  MW]]+general_price[[#This Row],[Hydro -  MW]]</f>
        <v>-657.06</v>
      </c>
    </row>
    <row r="146" spans="1:28">
      <c r="A146" s="13">
        <v>45852.520833333336</v>
      </c>
      <c r="B146" s="14">
        <v>-403.44</v>
      </c>
      <c r="C146" s="15">
        <v>-655.29999999999995</v>
      </c>
      <c r="D146" s="15">
        <v>-447.76</v>
      </c>
      <c r="E146" s="15">
        <v>764.03</v>
      </c>
      <c r="F146" s="15">
        <v>3347.89</v>
      </c>
      <c r="G146" s="15">
        <v>7.17</v>
      </c>
      <c r="H146" s="15">
        <v>0</v>
      </c>
      <c r="I146" s="15">
        <v>37.9</v>
      </c>
      <c r="J146" s="15">
        <v>47.4</v>
      </c>
      <c r="K146" s="15">
        <v>0</v>
      </c>
      <c r="L146" s="15">
        <v>1044</v>
      </c>
      <c r="M146" s="15">
        <v>2359.9499999999998</v>
      </c>
      <c r="N146" s="15">
        <v>3701.36</v>
      </c>
      <c r="O146" s="15">
        <v>18.55</v>
      </c>
      <c r="P146" s="15">
        <v>90.97</v>
      </c>
      <c r="Q146" s="15">
        <v>204.01</v>
      </c>
      <c r="R146" s="15">
        <v>1515.19</v>
      </c>
      <c r="S146" s="15">
        <v>0.35</v>
      </c>
      <c r="T146" s="15">
        <v>0</v>
      </c>
      <c r="U146" s="15">
        <v>11.41</v>
      </c>
      <c r="V146" s="15">
        <v>311.52</v>
      </c>
      <c r="W146" s="16">
        <v>-19.690000000000001</v>
      </c>
      <c r="X146" s="31">
        <f>MOD(general_price[[#This Row],[date]], 1)</f>
        <v>0.52083333333575865</v>
      </c>
      <c r="Y146" s="25" t="str">
        <f t="shared" si="2"/>
        <v/>
      </c>
      <c r="Z146" s="22">
        <v>0</v>
      </c>
      <c r="AA146" s="48">
        <f>general_price[[#This Row],[Battery (Charging) -  MW]]+general_price[[#This Row],[Battery (Discharging) -  MW]]</f>
        <v>-356.04</v>
      </c>
      <c r="AB146" s="48">
        <f>general_price[[#This Row],[Pumps -  MW]]+general_price[[#This Row],[Hydro -  MW]]</f>
        <v>-655.29999999999995</v>
      </c>
    </row>
    <row r="147" spans="1:28">
      <c r="A147" s="13">
        <v>45852.541666666664</v>
      </c>
      <c r="B147" s="14">
        <v>-473.85</v>
      </c>
      <c r="C147" s="15">
        <v>-654.79999999999995</v>
      </c>
      <c r="D147" s="15">
        <v>-440.61</v>
      </c>
      <c r="E147" s="15">
        <v>757.75</v>
      </c>
      <c r="F147" s="15">
        <v>3353.05</v>
      </c>
      <c r="G147" s="15">
        <v>6.59</v>
      </c>
      <c r="H147" s="15">
        <v>0</v>
      </c>
      <c r="I147" s="15">
        <v>37.869999999999997</v>
      </c>
      <c r="J147" s="15">
        <v>1.51</v>
      </c>
      <c r="K147" s="15">
        <v>0</v>
      </c>
      <c r="L147" s="15">
        <v>1128.8499999999999</v>
      </c>
      <c r="M147" s="15">
        <v>2382.64</v>
      </c>
      <c r="N147" s="15">
        <v>3594.25</v>
      </c>
      <c r="O147" s="15">
        <v>19.079999999999998</v>
      </c>
      <c r="P147" s="15">
        <v>88.9</v>
      </c>
      <c r="Q147" s="15">
        <v>204.82</v>
      </c>
      <c r="R147" s="15">
        <v>1517.51</v>
      </c>
      <c r="S147" s="15">
        <v>0.34</v>
      </c>
      <c r="T147" s="15">
        <v>0</v>
      </c>
      <c r="U147" s="15">
        <v>11.4</v>
      </c>
      <c r="V147" s="15">
        <v>315.52999999999997</v>
      </c>
      <c r="W147" s="16">
        <v>-14.01</v>
      </c>
      <c r="X147" s="31">
        <f>MOD(general_price[[#This Row],[date]], 1)</f>
        <v>0.54166666666424135</v>
      </c>
      <c r="Y147" s="25" t="str">
        <f t="shared" si="2"/>
        <v/>
      </c>
      <c r="Z147" s="22">
        <v>0</v>
      </c>
      <c r="AA147" s="48">
        <f>general_price[[#This Row],[Battery (Charging) -  MW]]+general_price[[#This Row],[Battery (Discharging) -  MW]]</f>
        <v>-472.34000000000003</v>
      </c>
      <c r="AB147" s="48">
        <f>general_price[[#This Row],[Pumps -  MW]]+general_price[[#This Row],[Hydro -  MW]]</f>
        <v>-654.79999999999995</v>
      </c>
    </row>
    <row r="148" spans="1:28">
      <c r="A148" s="13">
        <v>45852.5625</v>
      </c>
      <c r="B148" s="14">
        <v>-248.12</v>
      </c>
      <c r="C148" s="15">
        <v>-655.72</v>
      </c>
      <c r="D148" s="15">
        <v>-470.68</v>
      </c>
      <c r="E148" s="15">
        <v>747.46</v>
      </c>
      <c r="F148" s="15">
        <v>3321.31</v>
      </c>
      <c r="G148" s="15">
        <v>6.74</v>
      </c>
      <c r="H148" s="15">
        <v>0</v>
      </c>
      <c r="I148" s="15">
        <v>37.799999999999997</v>
      </c>
      <c r="J148" s="15">
        <v>0.09</v>
      </c>
      <c r="K148" s="15">
        <v>0</v>
      </c>
      <c r="L148" s="15">
        <v>1011.38</v>
      </c>
      <c r="M148" s="15">
        <v>2442.44</v>
      </c>
      <c r="N148" s="15">
        <v>3387.69</v>
      </c>
      <c r="O148" s="15">
        <v>18.989999999999998</v>
      </c>
      <c r="P148" s="15">
        <v>95.3</v>
      </c>
      <c r="Q148" s="15">
        <v>197.07</v>
      </c>
      <c r="R148" s="15">
        <v>1503.36</v>
      </c>
      <c r="S148" s="15">
        <v>0.34</v>
      </c>
      <c r="T148" s="15">
        <v>0</v>
      </c>
      <c r="U148" s="15">
        <v>11.38</v>
      </c>
      <c r="V148" s="15">
        <v>316.29000000000002</v>
      </c>
      <c r="W148" s="16">
        <v>-14.01</v>
      </c>
      <c r="X148" s="31">
        <f>MOD(general_price[[#This Row],[date]], 1)</f>
        <v>0.5625</v>
      </c>
      <c r="Y148" s="25" t="str">
        <f t="shared" si="2"/>
        <v/>
      </c>
      <c r="Z148" s="22">
        <v>0</v>
      </c>
      <c r="AA148" s="48">
        <f>general_price[[#This Row],[Battery (Charging) -  MW]]+general_price[[#This Row],[Battery (Discharging) -  MW]]</f>
        <v>-248.03</v>
      </c>
      <c r="AB148" s="48">
        <f>general_price[[#This Row],[Pumps -  MW]]+general_price[[#This Row],[Hydro -  MW]]</f>
        <v>-655.72</v>
      </c>
    </row>
    <row r="149" spans="1:28">
      <c r="A149" s="13">
        <v>45852.583333333336</v>
      </c>
      <c r="B149" s="14">
        <v>-35.68</v>
      </c>
      <c r="C149" s="15">
        <v>-653.5</v>
      </c>
      <c r="D149" s="15">
        <v>-477.19</v>
      </c>
      <c r="E149" s="15">
        <v>785.57</v>
      </c>
      <c r="F149" s="15">
        <v>3353.2</v>
      </c>
      <c r="G149" s="15">
        <v>6.09</v>
      </c>
      <c r="H149" s="15">
        <v>1.33</v>
      </c>
      <c r="I149" s="15">
        <v>37.9</v>
      </c>
      <c r="J149" s="15">
        <v>0.33</v>
      </c>
      <c r="K149" s="15">
        <v>0</v>
      </c>
      <c r="L149" s="15">
        <v>910.82</v>
      </c>
      <c r="M149" s="15">
        <v>2422.38</v>
      </c>
      <c r="N149" s="15">
        <v>3085.14</v>
      </c>
      <c r="O149" s="15">
        <v>19.32</v>
      </c>
      <c r="P149" s="15">
        <v>98.6</v>
      </c>
      <c r="Q149" s="15">
        <v>206.98</v>
      </c>
      <c r="R149" s="15">
        <v>1517.61</v>
      </c>
      <c r="S149" s="15">
        <v>0.33</v>
      </c>
      <c r="T149" s="15">
        <v>0.25</v>
      </c>
      <c r="U149" s="15">
        <v>11.41</v>
      </c>
      <c r="V149" s="15">
        <v>324.19</v>
      </c>
      <c r="W149" s="16">
        <v>-18</v>
      </c>
      <c r="X149" s="31">
        <f>MOD(general_price[[#This Row],[date]], 1)</f>
        <v>0.58333333333575865</v>
      </c>
      <c r="Y149" s="25" t="str">
        <f t="shared" si="2"/>
        <v/>
      </c>
      <c r="Z149" s="22">
        <v>0</v>
      </c>
      <c r="AA149" s="48">
        <f>general_price[[#This Row],[Battery (Charging) -  MW]]+general_price[[#This Row],[Battery (Discharging) -  MW]]</f>
        <v>-35.35</v>
      </c>
      <c r="AB149" s="48">
        <f>general_price[[#This Row],[Pumps -  MW]]+general_price[[#This Row],[Hydro -  MW]]</f>
        <v>-653.5</v>
      </c>
    </row>
    <row r="150" spans="1:28">
      <c r="A150" s="13">
        <v>45852.604166666664</v>
      </c>
      <c r="B150" s="14">
        <v>-3.48</v>
      </c>
      <c r="C150" s="15">
        <v>-653.39</v>
      </c>
      <c r="D150" s="15">
        <v>-450.68</v>
      </c>
      <c r="E150" s="15">
        <v>758.32</v>
      </c>
      <c r="F150" s="15">
        <v>3396.13</v>
      </c>
      <c r="G150" s="15">
        <v>6.7</v>
      </c>
      <c r="H150" s="15">
        <v>14.5</v>
      </c>
      <c r="I150" s="15">
        <v>37.86</v>
      </c>
      <c r="J150" s="15">
        <v>143.33000000000001</v>
      </c>
      <c r="K150" s="15">
        <v>0</v>
      </c>
      <c r="L150" s="15">
        <v>911.78</v>
      </c>
      <c r="M150" s="15">
        <v>2449.9299999999998</v>
      </c>
      <c r="N150" s="15">
        <v>2714.41</v>
      </c>
      <c r="O150" s="15">
        <v>19.489999999999998</v>
      </c>
      <c r="P150" s="15">
        <v>91.73</v>
      </c>
      <c r="Q150" s="15">
        <v>196.22</v>
      </c>
      <c r="R150" s="15">
        <v>1536.68</v>
      </c>
      <c r="S150" s="15">
        <v>0.34</v>
      </c>
      <c r="T150" s="15">
        <v>2.7</v>
      </c>
      <c r="U150" s="15">
        <v>11.4</v>
      </c>
      <c r="V150" s="15">
        <v>332.66</v>
      </c>
      <c r="W150" s="16">
        <v>-17.5</v>
      </c>
      <c r="X150" s="31">
        <f>MOD(general_price[[#This Row],[date]], 1)</f>
        <v>0.60416666666424135</v>
      </c>
      <c r="Y150" s="25" t="str">
        <f t="shared" si="2"/>
        <v/>
      </c>
      <c r="Z150" s="22">
        <v>0</v>
      </c>
      <c r="AA150" s="48">
        <f>general_price[[#This Row],[Battery (Charging) -  MW]]+general_price[[#This Row],[Battery (Discharging) -  MW]]</f>
        <v>139.85000000000002</v>
      </c>
      <c r="AB150" s="48">
        <f>general_price[[#This Row],[Pumps -  MW]]+general_price[[#This Row],[Hydro -  MW]]</f>
        <v>-653.39</v>
      </c>
    </row>
    <row r="151" spans="1:28">
      <c r="A151" s="13">
        <v>45852.625</v>
      </c>
      <c r="B151" s="14">
        <v>-53.08</v>
      </c>
      <c r="C151" s="15">
        <v>-639.83000000000004</v>
      </c>
      <c r="D151" s="15">
        <v>-394</v>
      </c>
      <c r="E151" s="15">
        <v>894.25</v>
      </c>
      <c r="F151" s="15">
        <v>3611.65</v>
      </c>
      <c r="G151" s="15">
        <v>6.89</v>
      </c>
      <c r="H151" s="15">
        <v>17.329999999999998</v>
      </c>
      <c r="I151" s="15">
        <v>37.880000000000003</v>
      </c>
      <c r="J151" s="15">
        <v>281.5</v>
      </c>
      <c r="K151" s="15">
        <v>0</v>
      </c>
      <c r="L151" s="15">
        <v>948.64</v>
      </c>
      <c r="M151" s="15">
        <v>2426.56</v>
      </c>
      <c r="N151" s="15">
        <v>2221.29</v>
      </c>
      <c r="O151" s="15">
        <v>19.46</v>
      </c>
      <c r="P151" s="15">
        <v>81.3</v>
      </c>
      <c r="Q151" s="15">
        <v>223.55</v>
      </c>
      <c r="R151" s="15">
        <v>1632.81</v>
      </c>
      <c r="S151" s="15">
        <v>0.35</v>
      </c>
      <c r="T151" s="15">
        <v>3.22</v>
      </c>
      <c r="U151" s="15">
        <v>11.41</v>
      </c>
      <c r="V151" s="15">
        <v>352.13</v>
      </c>
      <c r="W151" s="16">
        <v>-14.99</v>
      </c>
      <c r="X151" s="31">
        <f>MOD(general_price[[#This Row],[date]], 1)</f>
        <v>0.625</v>
      </c>
      <c r="Y151" s="25" t="str">
        <f t="shared" si="2"/>
        <v/>
      </c>
      <c r="Z151" s="22">
        <v>0</v>
      </c>
      <c r="AA151" s="48">
        <f>general_price[[#This Row],[Battery (Charging) -  MW]]+general_price[[#This Row],[Battery (Discharging) -  MW]]</f>
        <v>228.42000000000002</v>
      </c>
      <c r="AB151" s="48">
        <f>general_price[[#This Row],[Pumps -  MW]]+general_price[[#This Row],[Hydro -  MW]]</f>
        <v>-639.83000000000004</v>
      </c>
    </row>
    <row r="152" spans="1:28">
      <c r="A152" s="13">
        <v>45852.645833333336</v>
      </c>
      <c r="B152" s="14">
        <v>-118.18</v>
      </c>
      <c r="C152" s="15">
        <v>-572.38</v>
      </c>
      <c r="D152" s="15">
        <v>-300.33</v>
      </c>
      <c r="E152" s="15">
        <v>743.74</v>
      </c>
      <c r="F152" s="15">
        <v>4298.8100000000004</v>
      </c>
      <c r="G152" s="15">
        <v>8.69</v>
      </c>
      <c r="H152" s="15">
        <v>37</v>
      </c>
      <c r="I152" s="15">
        <v>37.799999999999997</v>
      </c>
      <c r="J152" s="15">
        <v>245.71</v>
      </c>
      <c r="K152" s="15">
        <v>0</v>
      </c>
      <c r="L152" s="15">
        <v>981.61</v>
      </c>
      <c r="M152" s="15">
        <v>2378.91</v>
      </c>
      <c r="N152" s="15">
        <v>1656.36</v>
      </c>
      <c r="O152" s="15">
        <v>18.18</v>
      </c>
      <c r="P152" s="15">
        <v>68.11</v>
      </c>
      <c r="Q152" s="15">
        <v>183.84</v>
      </c>
      <c r="R152" s="15">
        <v>1938.09</v>
      </c>
      <c r="S152" s="15">
        <v>0.4</v>
      </c>
      <c r="T152" s="15">
        <v>6.88</v>
      </c>
      <c r="U152" s="15">
        <v>11.38</v>
      </c>
      <c r="V152" s="15">
        <v>416.43</v>
      </c>
      <c r="W152" s="16">
        <v>-14.05</v>
      </c>
      <c r="X152" s="31">
        <f>MOD(general_price[[#This Row],[date]], 1)</f>
        <v>0.64583333333575865</v>
      </c>
      <c r="Y152" s="25" t="str">
        <f t="shared" si="2"/>
        <v/>
      </c>
      <c r="Z152" s="22">
        <v>0</v>
      </c>
      <c r="AA152" s="48">
        <f>general_price[[#This Row],[Battery (Charging) -  MW]]+general_price[[#This Row],[Battery (Discharging) -  MW]]</f>
        <v>127.53</v>
      </c>
      <c r="AB152" s="48">
        <f>general_price[[#This Row],[Pumps -  MW]]+general_price[[#This Row],[Hydro -  MW]]</f>
        <v>-572.38</v>
      </c>
    </row>
    <row r="153" spans="1:28">
      <c r="A153" s="13">
        <v>45852.666666666664</v>
      </c>
      <c r="B153" s="14">
        <v>-371.88</v>
      </c>
      <c r="C153" s="15">
        <v>-254.63</v>
      </c>
      <c r="D153" s="15">
        <v>-314.72000000000003</v>
      </c>
      <c r="E153" s="15">
        <v>828.73</v>
      </c>
      <c r="F153" s="15">
        <v>5171.8599999999997</v>
      </c>
      <c r="G153" s="15">
        <v>0.46</v>
      </c>
      <c r="H153" s="15">
        <v>181.67</v>
      </c>
      <c r="I153" s="15">
        <v>39.65</v>
      </c>
      <c r="J153" s="15">
        <v>15.72</v>
      </c>
      <c r="K153" s="15">
        <v>0</v>
      </c>
      <c r="L153" s="15">
        <v>954.63</v>
      </c>
      <c r="M153" s="15">
        <v>2025.63</v>
      </c>
      <c r="N153" s="15">
        <v>1067.83</v>
      </c>
      <c r="O153" s="15">
        <v>16.37</v>
      </c>
      <c r="P153" s="15">
        <v>86.44</v>
      </c>
      <c r="Q153" s="15">
        <v>217.63</v>
      </c>
      <c r="R153" s="15">
        <v>2330.5700000000002</v>
      </c>
      <c r="S153" s="15">
        <v>0.43</v>
      </c>
      <c r="T153" s="15">
        <v>33.770000000000003</v>
      </c>
      <c r="U153" s="15">
        <v>11.94</v>
      </c>
      <c r="V153" s="15">
        <v>508.66</v>
      </c>
      <c r="W153" s="16">
        <v>38.6</v>
      </c>
      <c r="X153" s="31">
        <f>MOD(general_price[[#This Row],[date]], 1)</f>
        <v>0.66666666666424135</v>
      </c>
      <c r="Y153" s="25" t="str">
        <f t="shared" si="2"/>
        <v/>
      </c>
      <c r="Z153" s="22">
        <v>0</v>
      </c>
      <c r="AA153" s="48">
        <f>general_price[[#This Row],[Battery (Charging) -  MW]]+general_price[[#This Row],[Battery (Discharging) -  MW]]</f>
        <v>-356.15999999999997</v>
      </c>
      <c r="AB153" s="48">
        <f>general_price[[#This Row],[Pumps -  MW]]+general_price[[#This Row],[Hydro -  MW]]</f>
        <v>-254.63</v>
      </c>
    </row>
    <row r="154" spans="1:28">
      <c r="A154" s="13">
        <v>45852.6875</v>
      </c>
      <c r="B154" s="14">
        <v>-303.89999999999998</v>
      </c>
      <c r="C154" s="15">
        <v>0</v>
      </c>
      <c r="D154" s="15">
        <v>-198.04</v>
      </c>
      <c r="E154" s="15">
        <v>890.41</v>
      </c>
      <c r="F154" s="15">
        <v>6325.23</v>
      </c>
      <c r="G154" s="15">
        <v>-1.73</v>
      </c>
      <c r="H154" s="15">
        <v>199.5</v>
      </c>
      <c r="I154" s="15">
        <v>47.35</v>
      </c>
      <c r="J154" s="15">
        <v>8.73</v>
      </c>
      <c r="K154" s="15">
        <v>0</v>
      </c>
      <c r="L154" s="15">
        <v>873.6</v>
      </c>
      <c r="M154" s="15">
        <v>1067.3399999999999</v>
      </c>
      <c r="N154" s="15">
        <v>535.07000000000005</v>
      </c>
      <c r="O154" s="15">
        <v>15.4</v>
      </c>
      <c r="P154" s="15">
        <v>65.62</v>
      </c>
      <c r="Q154" s="15">
        <v>273.24</v>
      </c>
      <c r="R154" s="15">
        <v>2854.43</v>
      </c>
      <c r="S154" s="15">
        <v>0.44</v>
      </c>
      <c r="T154" s="15">
        <v>37.090000000000003</v>
      </c>
      <c r="U154" s="15">
        <v>14.51</v>
      </c>
      <c r="V154" s="15">
        <v>615.54999999999995</v>
      </c>
      <c r="W154" s="16">
        <v>61.64</v>
      </c>
      <c r="X154" s="31">
        <f>MOD(general_price[[#This Row],[date]], 1)</f>
        <v>0.6875</v>
      </c>
      <c r="Y154" s="25" t="str">
        <f t="shared" si="2"/>
        <v/>
      </c>
      <c r="Z154" s="22">
        <v>0</v>
      </c>
      <c r="AA154" s="48">
        <f>general_price[[#This Row],[Battery (Charging) -  MW]]+general_price[[#This Row],[Battery (Discharging) -  MW]]</f>
        <v>-295.16999999999996</v>
      </c>
      <c r="AB154" s="48">
        <f>general_price[[#This Row],[Pumps -  MW]]+general_price[[#This Row],[Hydro -  MW]]</f>
        <v>0</v>
      </c>
    </row>
    <row r="155" spans="1:28">
      <c r="A155" s="13">
        <v>45852.708333333336</v>
      </c>
      <c r="B155" s="14">
        <v>-53.59</v>
      </c>
      <c r="C155" s="15">
        <v>0</v>
      </c>
      <c r="D155" s="15">
        <v>-265.77999999999997</v>
      </c>
      <c r="E155" s="15">
        <v>742.64</v>
      </c>
      <c r="F155" s="15">
        <v>7169.81</v>
      </c>
      <c r="G155" s="15">
        <v>-1.71</v>
      </c>
      <c r="H155" s="15">
        <v>400</v>
      </c>
      <c r="I155" s="15">
        <v>475.02</v>
      </c>
      <c r="J155" s="15">
        <v>19.29</v>
      </c>
      <c r="K155" s="15">
        <v>340.54</v>
      </c>
      <c r="L155" s="15">
        <v>806.58</v>
      </c>
      <c r="M155" s="15">
        <v>212.16</v>
      </c>
      <c r="N155" s="15">
        <v>156.63</v>
      </c>
      <c r="O155" s="15">
        <v>14.94</v>
      </c>
      <c r="P155" s="15">
        <v>97.66</v>
      </c>
      <c r="Q155" s="15">
        <v>249.93</v>
      </c>
      <c r="R155" s="15">
        <v>3240.67</v>
      </c>
      <c r="S155" s="15">
        <v>0.44</v>
      </c>
      <c r="T155" s="15">
        <v>74.36</v>
      </c>
      <c r="U155" s="15">
        <v>154.25</v>
      </c>
      <c r="V155" s="15">
        <v>693.83</v>
      </c>
      <c r="W155" s="16">
        <v>174.6</v>
      </c>
      <c r="X155" s="31">
        <f>MOD(general_price[[#This Row],[date]], 1)</f>
        <v>0.70833333333575865</v>
      </c>
      <c r="Y155" s="25" t="str">
        <f t="shared" si="2"/>
        <v/>
      </c>
      <c r="Z155" s="22">
        <v>0</v>
      </c>
      <c r="AA155" s="48">
        <f>general_price[[#This Row],[Battery (Charging) -  MW]]+general_price[[#This Row],[Battery (Discharging) -  MW]]</f>
        <v>-34.300000000000004</v>
      </c>
      <c r="AB155" s="48">
        <f>general_price[[#This Row],[Pumps -  MW]]+general_price[[#This Row],[Hydro -  MW]]</f>
        <v>340.54</v>
      </c>
    </row>
    <row r="156" spans="1:28">
      <c r="A156" s="13">
        <v>45852.729166666664</v>
      </c>
      <c r="B156" s="14">
        <v>-8.41</v>
      </c>
      <c r="C156" s="15">
        <v>0</v>
      </c>
      <c r="D156" s="15">
        <v>-239.5</v>
      </c>
      <c r="E156" s="15">
        <v>743.34</v>
      </c>
      <c r="F156" s="15">
        <v>7371.24</v>
      </c>
      <c r="G156" s="15">
        <v>-1.51</v>
      </c>
      <c r="H156" s="15">
        <v>443.83</v>
      </c>
      <c r="I156" s="15">
        <v>980.74</v>
      </c>
      <c r="J156" s="15">
        <v>80.709999999999994</v>
      </c>
      <c r="K156" s="15">
        <v>532.32000000000005</v>
      </c>
      <c r="L156" s="15">
        <v>735.13</v>
      </c>
      <c r="M156" s="15">
        <v>5.21</v>
      </c>
      <c r="N156" s="15">
        <v>18.329999999999998</v>
      </c>
      <c r="O156" s="15">
        <v>14.64</v>
      </c>
      <c r="P156" s="15">
        <v>87.87</v>
      </c>
      <c r="Q156" s="15">
        <v>258.17</v>
      </c>
      <c r="R156" s="15">
        <v>3336.18</v>
      </c>
      <c r="S156" s="15">
        <v>0.44</v>
      </c>
      <c r="T156" s="15">
        <v>82.51</v>
      </c>
      <c r="U156" s="15">
        <v>312.17</v>
      </c>
      <c r="V156" s="15">
        <v>699.96</v>
      </c>
      <c r="W156" s="16">
        <v>173.02</v>
      </c>
      <c r="X156" s="31">
        <f>MOD(general_price[[#This Row],[date]], 1)</f>
        <v>0.72916666666424135</v>
      </c>
      <c r="Y156" s="25" t="str">
        <f t="shared" si="2"/>
        <v/>
      </c>
      <c r="Z156" s="22">
        <v>0</v>
      </c>
      <c r="AA156" s="48">
        <f>general_price[[#This Row],[Battery (Charging) -  MW]]+general_price[[#This Row],[Battery (Discharging) -  MW]]</f>
        <v>72.3</v>
      </c>
      <c r="AB156" s="48">
        <f>general_price[[#This Row],[Pumps -  MW]]+general_price[[#This Row],[Hydro -  MW]]</f>
        <v>532.32000000000005</v>
      </c>
    </row>
    <row r="157" spans="1:28">
      <c r="A157" s="13">
        <v>45852.75</v>
      </c>
      <c r="B157" s="14">
        <v>-10.9</v>
      </c>
      <c r="C157" s="15">
        <v>0</v>
      </c>
      <c r="D157" s="15">
        <v>-19.45</v>
      </c>
      <c r="E157" s="15">
        <v>888.89</v>
      </c>
      <c r="F157" s="15">
        <v>7437.64</v>
      </c>
      <c r="G157" s="15">
        <v>-1.55</v>
      </c>
      <c r="H157" s="15">
        <v>442.83</v>
      </c>
      <c r="I157" s="15">
        <v>1022.08</v>
      </c>
      <c r="J157" s="15">
        <v>147.34</v>
      </c>
      <c r="K157" s="15">
        <v>581.86</v>
      </c>
      <c r="L157" s="15">
        <v>698.01</v>
      </c>
      <c r="M157" s="15">
        <v>0.04</v>
      </c>
      <c r="N157" s="15">
        <v>0.27</v>
      </c>
      <c r="O157" s="15">
        <v>14.46</v>
      </c>
      <c r="P157" s="15">
        <v>7.19</v>
      </c>
      <c r="Q157" s="15">
        <v>312.63</v>
      </c>
      <c r="R157" s="15">
        <v>3368.71</v>
      </c>
      <c r="S157" s="15">
        <v>0.44</v>
      </c>
      <c r="T157" s="15">
        <v>82.32</v>
      </c>
      <c r="U157" s="15">
        <v>323.49</v>
      </c>
      <c r="V157" s="15">
        <v>674.88</v>
      </c>
      <c r="W157" s="16">
        <v>210.1</v>
      </c>
      <c r="X157" s="31">
        <f>MOD(general_price[[#This Row],[date]], 1)</f>
        <v>0.75</v>
      </c>
      <c r="Y157" s="25" t="str">
        <f t="shared" si="2"/>
        <v/>
      </c>
      <c r="Z157" s="22">
        <v>0</v>
      </c>
      <c r="AA157" s="48">
        <f>general_price[[#This Row],[Battery (Charging) -  MW]]+general_price[[#This Row],[Battery (Discharging) -  MW]]</f>
        <v>136.44</v>
      </c>
      <c r="AB157" s="48">
        <f>general_price[[#This Row],[Pumps -  MW]]+general_price[[#This Row],[Hydro -  MW]]</f>
        <v>581.86</v>
      </c>
    </row>
    <row r="158" spans="1:28">
      <c r="A158" s="13">
        <v>45852.770833333336</v>
      </c>
      <c r="B158" s="14">
        <v>-5.97</v>
      </c>
      <c r="C158" s="15">
        <v>0</v>
      </c>
      <c r="D158" s="15">
        <v>0</v>
      </c>
      <c r="E158" s="15">
        <v>901.02</v>
      </c>
      <c r="F158" s="15">
        <v>7437.2</v>
      </c>
      <c r="G158" s="15">
        <v>-1.6</v>
      </c>
      <c r="H158" s="15">
        <v>441.83</v>
      </c>
      <c r="I158" s="15">
        <v>1039.98</v>
      </c>
      <c r="J158" s="15">
        <v>232.35</v>
      </c>
      <c r="K158" s="15">
        <v>607.35</v>
      </c>
      <c r="L158" s="15">
        <v>757.01</v>
      </c>
      <c r="M158" s="15">
        <v>0.04</v>
      </c>
      <c r="N158" s="15">
        <v>0</v>
      </c>
      <c r="O158" s="15">
        <v>13.88</v>
      </c>
      <c r="P158" s="15">
        <v>0</v>
      </c>
      <c r="Q158" s="15">
        <v>319.14</v>
      </c>
      <c r="R158" s="15">
        <v>3368.29</v>
      </c>
      <c r="S158" s="15">
        <v>0.44</v>
      </c>
      <c r="T158" s="15">
        <v>82.14</v>
      </c>
      <c r="U158" s="15">
        <v>328.52</v>
      </c>
      <c r="V158" s="15">
        <v>662.51</v>
      </c>
      <c r="W158" s="16">
        <v>226.15</v>
      </c>
      <c r="X158" s="31">
        <f>MOD(general_price[[#This Row],[date]], 1)</f>
        <v>0.77083333333575865</v>
      </c>
      <c r="Y158" s="25" t="str">
        <f t="shared" si="2"/>
        <v/>
      </c>
      <c r="Z158" s="22">
        <v>0</v>
      </c>
      <c r="AA158" s="48">
        <f>general_price[[#This Row],[Battery (Charging) -  MW]]+general_price[[#This Row],[Battery (Discharging) -  MW]]</f>
        <v>226.38</v>
      </c>
      <c r="AB158" s="48">
        <f>general_price[[#This Row],[Pumps -  MW]]+general_price[[#This Row],[Hydro -  MW]]</f>
        <v>607.35</v>
      </c>
    </row>
    <row r="159" spans="1:28">
      <c r="A159" s="13">
        <v>45852.791666666664</v>
      </c>
      <c r="B159" s="14">
        <v>-7.68</v>
      </c>
      <c r="C159" s="15">
        <v>0</v>
      </c>
      <c r="D159" s="15">
        <v>0</v>
      </c>
      <c r="E159" s="15">
        <v>852.39</v>
      </c>
      <c r="F159" s="15">
        <v>7414.18</v>
      </c>
      <c r="G159" s="15">
        <v>-1.92</v>
      </c>
      <c r="H159" s="15">
        <v>442.33</v>
      </c>
      <c r="I159" s="15">
        <v>1035.82</v>
      </c>
      <c r="J159" s="15">
        <v>158.43</v>
      </c>
      <c r="K159" s="15">
        <v>606.84</v>
      </c>
      <c r="L159" s="15">
        <v>899.33</v>
      </c>
      <c r="M159" s="15">
        <v>0.04</v>
      </c>
      <c r="N159" s="15">
        <v>0</v>
      </c>
      <c r="O159" s="15">
        <v>13.34</v>
      </c>
      <c r="P159" s="15">
        <v>0</v>
      </c>
      <c r="Q159" s="15">
        <v>299.93</v>
      </c>
      <c r="R159" s="15">
        <v>3357.26</v>
      </c>
      <c r="S159" s="15">
        <v>0.44</v>
      </c>
      <c r="T159" s="15">
        <v>82.23</v>
      </c>
      <c r="U159" s="15">
        <v>327.08999999999997</v>
      </c>
      <c r="V159" s="15">
        <v>660.89</v>
      </c>
      <c r="W159" s="16">
        <v>155.22999999999999</v>
      </c>
      <c r="X159" s="31">
        <f>MOD(general_price[[#This Row],[date]], 1)</f>
        <v>0.79166666666424135</v>
      </c>
      <c r="Y159" s="25" t="str">
        <f t="shared" si="2"/>
        <v/>
      </c>
      <c r="Z159" s="22">
        <v>0</v>
      </c>
      <c r="AA159" s="48">
        <f>general_price[[#This Row],[Battery (Charging) -  MW]]+general_price[[#This Row],[Battery (Discharging) -  MW]]</f>
        <v>150.75</v>
      </c>
      <c r="AB159" s="48">
        <f>general_price[[#This Row],[Pumps -  MW]]+general_price[[#This Row],[Hydro -  MW]]</f>
        <v>606.84</v>
      </c>
    </row>
    <row r="160" spans="1:28">
      <c r="A160" s="13">
        <v>45852.8125</v>
      </c>
      <c r="B160" s="14">
        <v>-5.16</v>
      </c>
      <c r="C160" s="15">
        <v>0</v>
      </c>
      <c r="D160" s="15">
        <v>0</v>
      </c>
      <c r="E160" s="15">
        <v>767.93</v>
      </c>
      <c r="F160" s="15">
        <v>7423.35</v>
      </c>
      <c r="G160" s="15">
        <v>-1.74</v>
      </c>
      <c r="H160" s="15">
        <v>443.83</v>
      </c>
      <c r="I160" s="15">
        <v>1023.49</v>
      </c>
      <c r="J160" s="15">
        <v>98.18</v>
      </c>
      <c r="K160" s="15">
        <v>607.63</v>
      </c>
      <c r="L160" s="15">
        <v>982.25</v>
      </c>
      <c r="M160" s="15">
        <v>0.04</v>
      </c>
      <c r="N160" s="15">
        <v>0</v>
      </c>
      <c r="O160" s="15">
        <v>12.79</v>
      </c>
      <c r="P160" s="15">
        <v>0</v>
      </c>
      <c r="Q160" s="15">
        <v>274.37</v>
      </c>
      <c r="R160" s="15">
        <v>3361.38</v>
      </c>
      <c r="S160" s="15">
        <v>0.45</v>
      </c>
      <c r="T160" s="15">
        <v>82.51</v>
      </c>
      <c r="U160" s="15">
        <v>323.79000000000002</v>
      </c>
      <c r="V160" s="15">
        <v>664.58</v>
      </c>
      <c r="W160" s="16">
        <v>153.5</v>
      </c>
      <c r="X160" s="31">
        <f>MOD(general_price[[#This Row],[date]], 1)</f>
        <v>0.8125</v>
      </c>
      <c r="Y160" s="25" t="str">
        <f t="shared" si="2"/>
        <v/>
      </c>
      <c r="Z160" s="22">
        <v>0</v>
      </c>
      <c r="AA160" s="48">
        <f>general_price[[#This Row],[Battery (Charging) -  MW]]+general_price[[#This Row],[Battery (Discharging) -  MW]]</f>
        <v>93.02000000000001</v>
      </c>
      <c r="AB160" s="48">
        <f>general_price[[#This Row],[Pumps -  MW]]+general_price[[#This Row],[Hydro -  MW]]</f>
        <v>607.63</v>
      </c>
    </row>
    <row r="161" spans="1:28">
      <c r="A161" s="13">
        <v>45852.833333333336</v>
      </c>
      <c r="B161" s="14">
        <v>-6.88</v>
      </c>
      <c r="C161" s="15">
        <v>0</v>
      </c>
      <c r="D161" s="15">
        <v>0</v>
      </c>
      <c r="E161" s="15">
        <v>830.23</v>
      </c>
      <c r="F161" s="15">
        <v>7430.95</v>
      </c>
      <c r="G161" s="15">
        <v>-2.23</v>
      </c>
      <c r="H161" s="15">
        <v>451.17</v>
      </c>
      <c r="I161" s="15">
        <v>963.58</v>
      </c>
      <c r="J161" s="15">
        <v>17.59</v>
      </c>
      <c r="K161" s="15">
        <v>566.23</v>
      </c>
      <c r="L161" s="15">
        <v>906.66</v>
      </c>
      <c r="M161" s="15">
        <v>0.04</v>
      </c>
      <c r="N161" s="15">
        <v>0</v>
      </c>
      <c r="O161" s="15">
        <v>11.83</v>
      </c>
      <c r="P161" s="15">
        <v>0</v>
      </c>
      <c r="Q161" s="15">
        <v>296.45</v>
      </c>
      <c r="R161" s="15">
        <v>3365.1</v>
      </c>
      <c r="S161" s="15">
        <v>0.44</v>
      </c>
      <c r="T161" s="15">
        <v>83.87</v>
      </c>
      <c r="U161" s="15">
        <v>306.77999999999997</v>
      </c>
      <c r="V161" s="15">
        <v>673.31</v>
      </c>
      <c r="W161" s="16">
        <v>150.07</v>
      </c>
      <c r="X161" s="31">
        <f>MOD(general_price[[#This Row],[date]], 1)</f>
        <v>0.83333333333575865</v>
      </c>
      <c r="Y161" s="25" t="str">
        <f t="shared" si="2"/>
        <v/>
      </c>
      <c r="Z161" s="22">
        <v>0</v>
      </c>
      <c r="AA161" s="48">
        <f>general_price[[#This Row],[Battery (Charging) -  MW]]+general_price[[#This Row],[Battery (Discharging) -  MW]]</f>
        <v>10.71</v>
      </c>
      <c r="AB161" s="48">
        <f>general_price[[#This Row],[Pumps -  MW]]+general_price[[#This Row],[Hydro -  MW]]</f>
        <v>566.23</v>
      </c>
    </row>
    <row r="162" spans="1:28">
      <c r="A162" s="13">
        <v>45852.854166666664</v>
      </c>
      <c r="B162" s="14">
        <v>-4.63</v>
      </c>
      <c r="C162" s="15">
        <v>0</v>
      </c>
      <c r="D162" s="15">
        <v>0</v>
      </c>
      <c r="E162" s="15">
        <v>889.51</v>
      </c>
      <c r="F162" s="15">
        <v>7436</v>
      </c>
      <c r="G162" s="15">
        <v>-0.23</v>
      </c>
      <c r="H162" s="15">
        <v>451.83</v>
      </c>
      <c r="I162" s="15">
        <v>822.62</v>
      </c>
      <c r="J162" s="15">
        <v>2</v>
      </c>
      <c r="K162" s="15">
        <v>360.47</v>
      </c>
      <c r="L162" s="15">
        <v>958.46</v>
      </c>
      <c r="M162" s="15">
        <v>0.04</v>
      </c>
      <c r="N162" s="15">
        <v>0</v>
      </c>
      <c r="O162" s="15">
        <v>11.15</v>
      </c>
      <c r="P162" s="15">
        <v>0</v>
      </c>
      <c r="Q162" s="15">
        <v>317.33</v>
      </c>
      <c r="R162" s="15">
        <v>3367.85</v>
      </c>
      <c r="S162" s="15">
        <v>0.44</v>
      </c>
      <c r="T162" s="15">
        <v>84</v>
      </c>
      <c r="U162" s="15">
        <v>267.27</v>
      </c>
      <c r="V162" s="15">
        <v>681.48</v>
      </c>
      <c r="W162" s="16">
        <v>140.38</v>
      </c>
      <c r="X162" s="31">
        <f>MOD(general_price[[#This Row],[date]], 1)</f>
        <v>0.85416666666424135</v>
      </c>
      <c r="Y162" s="25" t="str">
        <f t="shared" si="2"/>
        <v/>
      </c>
      <c r="Z162" s="22">
        <v>0</v>
      </c>
      <c r="AA162" s="48">
        <f>general_price[[#This Row],[Battery (Charging) -  MW]]+general_price[[#This Row],[Battery (Discharging) -  MW]]</f>
        <v>-2.63</v>
      </c>
      <c r="AB162" s="48">
        <f>general_price[[#This Row],[Pumps -  MW]]+general_price[[#This Row],[Hydro -  MW]]</f>
        <v>360.47</v>
      </c>
    </row>
    <row r="163" spans="1:28">
      <c r="A163" s="13">
        <v>45852.875</v>
      </c>
      <c r="B163" s="14">
        <v>-6.52</v>
      </c>
      <c r="C163" s="15">
        <v>0</v>
      </c>
      <c r="D163" s="15">
        <v>0</v>
      </c>
      <c r="E163" s="15">
        <v>852.13</v>
      </c>
      <c r="F163" s="15">
        <v>7435.9</v>
      </c>
      <c r="G163" s="15">
        <v>-0.18</v>
      </c>
      <c r="H163" s="15">
        <v>451.83</v>
      </c>
      <c r="I163" s="15">
        <v>641.17999999999995</v>
      </c>
      <c r="J163" s="15">
        <v>2.0699999999999998</v>
      </c>
      <c r="K163" s="15">
        <v>385.38</v>
      </c>
      <c r="L163" s="15">
        <v>938.8</v>
      </c>
      <c r="M163" s="15">
        <v>0.04</v>
      </c>
      <c r="N163" s="15">
        <v>0</v>
      </c>
      <c r="O163" s="15">
        <v>10.58</v>
      </c>
      <c r="P163" s="15">
        <v>0</v>
      </c>
      <c r="Q163" s="15">
        <v>305.82</v>
      </c>
      <c r="R163" s="15">
        <v>3367.96</v>
      </c>
      <c r="S163" s="15">
        <v>0.44</v>
      </c>
      <c r="T163" s="15">
        <v>84</v>
      </c>
      <c r="U163" s="15">
        <v>216.1</v>
      </c>
      <c r="V163" s="15">
        <v>685.66</v>
      </c>
      <c r="W163" s="16">
        <v>150.07</v>
      </c>
      <c r="X163" s="31">
        <f>MOD(general_price[[#This Row],[date]], 1)</f>
        <v>0.875</v>
      </c>
      <c r="Y163" s="25" t="str">
        <f t="shared" si="2"/>
        <v/>
      </c>
      <c r="Z163" s="22">
        <v>0</v>
      </c>
      <c r="AA163" s="48">
        <f>general_price[[#This Row],[Battery (Charging) -  MW]]+general_price[[#This Row],[Battery (Discharging) -  MW]]</f>
        <v>-4.4499999999999993</v>
      </c>
      <c r="AB163" s="48">
        <f>general_price[[#This Row],[Pumps -  MW]]+general_price[[#This Row],[Hydro -  MW]]</f>
        <v>385.38</v>
      </c>
    </row>
    <row r="164" spans="1:28">
      <c r="A164" s="13">
        <v>45852.895833333336</v>
      </c>
      <c r="B164" s="14">
        <v>-9.9499999999999993</v>
      </c>
      <c r="C164" s="15">
        <v>0</v>
      </c>
      <c r="D164" s="15">
        <v>0</v>
      </c>
      <c r="E164" s="15">
        <v>733.74</v>
      </c>
      <c r="F164" s="15">
        <v>7432.86</v>
      </c>
      <c r="G164" s="15">
        <v>-0.37</v>
      </c>
      <c r="H164" s="15">
        <v>448.17</v>
      </c>
      <c r="I164" s="15">
        <v>359.13</v>
      </c>
      <c r="J164" s="15">
        <v>0.06</v>
      </c>
      <c r="K164" s="15">
        <v>505.2</v>
      </c>
      <c r="L164" s="15">
        <v>1015.38</v>
      </c>
      <c r="M164" s="15">
        <v>0.04</v>
      </c>
      <c r="N164" s="15">
        <v>0</v>
      </c>
      <c r="O164" s="15">
        <v>10.34</v>
      </c>
      <c r="P164" s="15">
        <v>0</v>
      </c>
      <c r="Q164" s="15">
        <v>271.13</v>
      </c>
      <c r="R164" s="15">
        <v>3366.3</v>
      </c>
      <c r="S164" s="15">
        <v>0.44</v>
      </c>
      <c r="T164" s="15">
        <v>83.31</v>
      </c>
      <c r="U164" s="15">
        <v>136.63</v>
      </c>
      <c r="V164" s="15">
        <v>684.2</v>
      </c>
      <c r="W164" s="16">
        <v>124.24</v>
      </c>
      <c r="X164" s="31">
        <f>MOD(general_price[[#This Row],[date]], 1)</f>
        <v>0.89583333333575865</v>
      </c>
      <c r="Y164" s="25" t="str">
        <f t="shared" si="2"/>
        <v/>
      </c>
      <c r="Z164" s="22">
        <v>0</v>
      </c>
      <c r="AA164" s="48">
        <f>general_price[[#This Row],[Battery (Charging) -  MW]]+general_price[[#This Row],[Battery (Discharging) -  MW]]</f>
        <v>-9.8899999999999988</v>
      </c>
      <c r="AB164" s="48">
        <f>general_price[[#This Row],[Pumps -  MW]]+general_price[[#This Row],[Hydro -  MW]]</f>
        <v>505.2</v>
      </c>
    </row>
    <row r="165" spans="1:28">
      <c r="A165" s="13">
        <v>45852.916666666664</v>
      </c>
      <c r="B165" s="14">
        <v>-33.520000000000003</v>
      </c>
      <c r="C165" s="15">
        <v>0</v>
      </c>
      <c r="D165" s="15">
        <v>-0.71</v>
      </c>
      <c r="E165" s="15">
        <v>614.34</v>
      </c>
      <c r="F165" s="15">
        <v>7398.19</v>
      </c>
      <c r="G165" s="15">
        <v>0.05</v>
      </c>
      <c r="H165" s="15">
        <v>449.5</v>
      </c>
      <c r="I165" s="15">
        <v>340.06</v>
      </c>
      <c r="J165" s="15">
        <v>1.25</v>
      </c>
      <c r="K165" s="15">
        <v>317.8</v>
      </c>
      <c r="L165" s="15">
        <v>1087.1199999999999</v>
      </c>
      <c r="M165" s="15">
        <v>0.04</v>
      </c>
      <c r="N165" s="15">
        <v>0</v>
      </c>
      <c r="O165" s="15">
        <v>10.34</v>
      </c>
      <c r="P165" s="15">
        <v>0.26</v>
      </c>
      <c r="Q165" s="15">
        <v>227.44</v>
      </c>
      <c r="R165" s="15">
        <v>3348.77</v>
      </c>
      <c r="S165" s="15">
        <v>0.44</v>
      </c>
      <c r="T165" s="15">
        <v>83.56</v>
      </c>
      <c r="U165" s="15">
        <v>129.12</v>
      </c>
      <c r="V165" s="15">
        <v>700.19</v>
      </c>
      <c r="W165" s="16">
        <v>100.02</v>
      </c>
      <c r="X165" s="31">
        <f>MOD(general_price[[#This Row],[date]], 1)</f>
        <v>0.91666666666424135</v>
      </c>
      <c r="Y165" s="25" t="str">
        <f t="shared" si="2"/>
        <v/>
      </c>
      <c r="Z165" s="22">
        <v>0</v>
      </c>
      <c r="AA165" s="48">
        <f>general_price[[#This Row],[Battery (Charging) -  MW]]+general_price[[#This Row],[Battery (Discharging) -  MW]]</f>
        <v>-32.270000000000003</v>
      </c>
      <c r="AB165" s="48">
        <f>general_price[[#This Row],[Pumps -  MW]]+general_price[[#This Row],[Hydro -  MW]]</f>
        <v>317.8</v>
      </c>
    </row>
    <row r="166" spans="1:28">
      <c r="A166" s="13">
        <v>45852.9375</v>
      </c>
      <c r="B166" s="14">
        <v>-9.76</v>
      </c>
      <c r="C166" s="15">
        <v>0</v>
      </c>
      <c r="D166" s="15">
        <v>-26.18</v>
      </c>
      <c r="E166" s="15">
        <v>567.85</v>
      </c>
      <c r="F166" s="15">
        <v>7405.01</v>
      </c>
      <c r="G166" s="15">
        <v>-0.48</v>
      </c>
      <c r="H166" s="15">
        <v>450.83</v>
      </c>
      <c r="I166" s="15">
        <v>56.61</v>
      </c>
      <c r="J166" s="15">
        <v>0.87</v>
      </c>
      <c r="K166" s="15">
        <v>486.3</v>
      </c>
      <c r="L166" s="15">
        <v>1082.3599999999999</v>
      </c>
      <c r="M166" s="15">
        <v>0.04</v>
      </c>
      <c r="N166" s="15">
        <v>0</v>
      </c>
      <c r="O166" s="15">
        <v>9.98</v>
      </c>
      <c r="P166" s="15">
        <v>9.51</v>
      </c>
      <c r="Q166" s="15">
        <v>212.78</v>
      </c>
      <c r="R166" s="15">
        <v>3351.72</v>
      </c>
      <c r="S166" s="15">
        <v>0.44</v>
      </c>
      <c r="T166" s="15">
        <v>83.81</v>
      </c>
      <c r="U166" s="15">
        <v>18.12</v>
      </c>
      <c r="V166" s="15">
        <v>689.89</v>
      </c>
      <c r="W166" s="16">
        <v>110.83</v>
      </c>
      <c r="X166" s="31">
        <f>MOD(general_price[[#This Row],[date]], 1)</f>
        <v>0.9375</v>
      </c>
      <c r="Y166" s="25" t="str">
        <f t="shared" si="2"/>
        <v/>
      </c>
      <c r="Z166" s="22">
        <v>0</v>
      </c>
      <c r="AA166" s="48">
        <f>general_price[[#This Row],[Battery (Charging) -  MW]]+general_price[[#This Row],[Battery (Discharging) -  MW]]</f>
        <v>-8.89</v>
      </c>
      <c r="AB166" s="48">
        <f>general_price[[#This Row],[Pumps -  MW]]+general_price[[#This Row],[Hydro -  MW]]</f>
        <v>486.3</v>
      </c>
    </row>
    <row r="167" spans="1:28">
      <c r="A167" s="13">
        <v>45852.958333333336</v>
      </c>
      <c r="B167" s="14">
        <v>-21.79</v>
      </c>
      <c r="C167" s="15">
        <v>0</v>
      </c>
      <c r="D167" s="15">
        <v>-79.430000000000007</v>
      </c>
      <c r="E167" s="15">
        <v>553.71</v>
      </c>
      <c r="F167" s="15">
        <v>7391.56</v>
      </c>
      <c r="G167" s="15">
        <v>-0.56000000000000005</v>
      </c>
      <c r="H167" s="15">
        <v>446.17</v>
      </c>
      <c r="I167" s="15">
        <v>44.47</v>
      </c>
      <c r="J167" s="15">
        <v>0.96</v>
      </c>
      <c r="K167" s="15">
        <v>255.87</v>
      </c>
      <c r="L167" s="15">
        <v>1114.56</v>
      </c>
      <c r="M167" s="15">
        <v>0.04</v>
      </c>
      <c r="N167" s="15">
        <v>0</v>
      </c>
      <c r="O167" s="15">
        <v>9.8699999999999992</v>
      </c>
      <c r="P167" s="15">
        <v>29.5</v>
      </c>
      <c r="Q167" s="15">
        <v>206.75</v>
      </c>
      <c r="R167" s="15">
        <v>3345.74</v>
      </c>
      <c r="S167" s="15">
        <v>0.44</v>
      </c>
      <c r="T167" s="15">
        <v>82.94</v>
      </c>
      <c r="U167" s="15">
        <v>13.39</v>
      </c>
      <c r="V167" s="15">
        <v>709.39</v>
      </c>
      <c r="W167" s="16">
        <v>95.27</v>
      </c>
      <c r="X167" s="31">
        <f>MOD(general_price[[#This Row],[date]], 1)</f>
        <v>0.95833333333575865</v>
      </c>
      <c r="Y167" s="25" t="str">
        <f t="shared" si="2"/>
        <v/>
      </c>
      <c r="Z167" s="22">
        <v>0</v>
      </c>
      <c r="AA167" s="48">
        <f>general_price[[#This Row],[Battery (Charging) -  MW]]+general_price[[#This Row],[Battery (Discharging) -  MW]]</f>
        <v>-20.83</v>
      </c>
      <c r="AB167" s="48">
        <f>general_price[[#This Row],[Pumps -  MW]]+general_price[[#This Row],[Hydro -  MW]]</f>
        <v>255.87</v>
      </c>
    </row>
    <row r="168" spans="1:28">
      <c r="A168" s="13">
        <v>45852.979166666664</v>
      </c>
      <c r="B168" s="14">
        <v>-36.96</v>
      </c>
      <c r="C168" s="15">
        <v>0</v>
      </c>
      <c r="D168" s="15">
        <v>-52.28</v>
      </c>
      <c r="E168" s="15">
        <v>522.4</v>
      </c>
      <c r="F168" s="15">
        <v>7296.79</v>
      </c>
      <c r="G168" s="15">
        <v>-0.33</v>
      </c>
      <c r="H168" s="15">
        <v>440</v>
      </c>
      <c r="I168" s="15">
        <v>44.39</v>
      </c>
      <c r="J168" s="15">
        <v>0.49</v>
      </c>
      <c r="K168" s="15">
        <v>158.85</v>
      </c>
      <c r="L168" s="15">
        <v>1073.1500000000001</v>
      </c>
      <c r="M168" s="15">
        <v>0.04</v>
      </c>
      <c r="N168" s="15">
        <v>0</v>
      </c>
      <c r="O168" s="15">
        <v>9.6300000000000008</v>
      </c>
      <c r="P168" s="15">
        <v>19.649999999999999</v>
      </c>
      <c r="Q168" s="15">
        <v>196.4</v>
      </c>
      <c r="R168" s="15">
        <v>3303.52</v>
      </c>
      <c r="S168" s="15">
        <v>0.44</v>
      </c>
      <c r="T168" s="15">
        <v>81.8</v>
      </c>
      <c r="U168" s="15">
        <v>13.37</v>
      </c>
      <c r="V168" s="15">
        <v>719.65</v>
      </c>
      <c r="W168" s="16">
        <v>100.02</v>
      </c>
      <c r="X168" s="31">
        <f>MOD(general_price[[#This Row],[date]], 1)</f>
        <v>0.97916666666424135</v>
      </c>
      <c r="Y168" s="25" t="str">
        <f t="shared" si="2"/>
        <v/>
      </c>
      <c r="Z168" s="22">
        <v>0</v>
      </c>
      <c r="AA168" s="48">
        <f>general_price[[#This Row],[Battery (Charging) -  MW]]+general_price[[#This Row],[Battery (Discharging) -  MW]]</f>
        <v>-36.47</v>
      </c>
      <c r="AB168" s="48">
        <f>general_price[[#This Row],[Pumps -  MW]]+general_price[[#This Row],[Hydro -  MW]]</f>
        <v>158.85</v>
      </c>
    </row>
    <row r="169" spans="1:28">
      <c r="A169" s="13">
        <v>45853</v>
      </c>
      <c r="B169" s="14">
        <v>-19.12</v>
      </c>
      <c r="C169" s="15">
        <v>0</v>
      </c>
      <c r="D169" s="15">
        <v>-93.73</v>
      </c>
      <c r="E169" s="15">
        <v>424.58</v>
      </c>
      <c r="F169" s="15">
        <v>7146.93</v>
      </c>
      <c r="G169" s="15">
        <v>-0.41</v>
      </c>
      <c r="H169" s="15">
        <v>308.5</v>
      </c>
      <c r="I169" s="15">
        <v>44.6</v>
      </c>
      <c r="J169" s="15">
        <v>0.34</v>
      </c>
      <c r="K169" s="15">
        <v>122.72</v>
      </c>
      <c r="L169" s="15">
        <v>1072.5999999999999</v>
      </c>
      <c r="M169" s="15">
        <v>0.04</v>
      </c>
      <c r="N169" s="15">
        <v>0</v>
      </c>
      <c r="O169" s="15">
        <v>9.41</v>
      </c>
      <c r="P169" s="15">
        <v>35.619999999999997</v>
      </c>
      <c r="Q169" s="15">
        <v>156.82</v>
      </c>
      <c r="R169" s="15">
        <v>3236.63</v>
      </c>
      <c r="S169" s="15">
        <v>0.44</v>
      </c>
      <c r="T169" s="15">
        <v>57.35</v>
      </c>
      <c r="U169" s="15">
        <v>13.43</v>
      </c>
      <c r="V169" s="15">
        <v>734.5</v>
      </c>
      <c r="W169" s="16">
        <v>85.21</v>
      </c>
      <c r="X169" s="31">
        <f>MOD(general_price[[#This Row],[date]], 1)</f>
        <v>0</v>
      </c>
      <c r="Y169" s="25" t="str">
        <f t="shared" si="2"/>
        <v>15 Jul</v>
      </c>
      <c r="Z169" s="22">
        <v>0</v>
      </c>
      <c r="AA169" s="48">
        <f>general_price[[#This Row],[Battery (Charging) -  MW]]+general_price[[#This Row],[Battery (Discharging) -  MW]]</f>
        <v>-18.78</v>
      </c>
      <c r="AB169" s="48">
        <f>general_price[[#This Row],[Pumps -  MW]]+general_price[[#This Row],[Hydro -  MW]]</f>
        <v>122.72</v>
      </c>
    </row>
    <row r="170" spans="1:28">
      <c r="A170" s="13">
        <v>45853.020833333336</v>
      </c>
      <c r="B170" s="14">
        <v>-21.55</v>
      </c>
      <c r="C170" s="15">
        <v>0</v>
      </c>
      <c r="D170" s="15">
        <v>-95.08</v>
      </c>
      <c r="E170" s="15">
        <v>324.01</v>
      </c>
      <c r="F170" s="15">
        <v>7147.07</v>
      </c>
      <c r="G170" s="15">
        <v>-0.94</v>
      </c>
      <c r="H170" s="15">
        <v>195.33</v>
      </c>
      <c r="I170" s="15">
        <v>44.65</v>
      </c>
      <c r="J170" s="15">
        <v>0.37</v>
      </c>
      <c r="K170" s="15">
        <v>119.14</v>
      </c>
      <c r="L170" s="15">
        <v>911.54</v>
      </c>
      <c r="M170" s="15">
        <v>0.04</v>
      </c>
      <c r="N170" s="15">
        <v>0</v>
      </c>
      <c r="O170" s="15">
        <v>9.1300000000000008</v>
      </c>
      <c r="P170" s="15">
        <v>37</v>
      </c>
      <c r="Q170" s="15">
        <v>117.55</v>
      </c>
      <c r="R170" s="15">
        <v>3236.67</v>
      </c>
      <c r="S170" s="15">
        <v>0.44</v>
      </c>
      <c r="T170" s="15">
        <v>36.31</v>
      </c>
      <c r="U170" s="15">
        <v>13.45</v>
      </c>
      <c r="V170" s="15">
        <v>762.21</v>
      </c>
      <c r="W170" s="16">
        <v>85.12</v>
      </c>
      <c r="X170" s="31">
        <f>MOD(general_price[[#This Row],[date]], 1)</f>
        <v>2.0833333335758653E-2</v>
      </c>
      <c r="Y170" s="25" t="str">
        <f t="shared" si="2"/>
        <v/>
      </c>
      <c r="Z170" s="22">
        <v>0</v>
      </c>
      <c r="AA170" s="48">
        <f>general_price[[#This Row],[Battery (Charging) -  MW]]+general_price[[#This Row],[Battery (Discharging) -  MW]]</f>
        <v>-21.18</v>
      </c>
      <c r="AB170" s="48">
        <f>general_price[[#This Row],[Pumps -  MW]]+general_price[[#This Row],[Hydro -  MW]]</f>
        <v>119.14</v>
      </c>
    </row>
    <row r="171" spans="1:28">
      <c r="A171" s="13">
        <v>45853.041666666664</v>
      </c>
      <c r="B171" s="14">
        <v>-21.09</v>
      </c>
      <c r="C171" s="15">
        <v>0</v>
      </c>
      <c r="D171" s="15">
        <v>-77.48</v>
      </c>
      <c r="E171" s="15">
        <v>333.31</v>
      </c>
      <c r="F171" s="15">
        <v>7127.96</v>
      </c>
      <c r="G171" s="15">
        <v>-0.92</v>
      </c>
      <c r="H171" s="15">
        <v>190</v>
      </c>
      <c r="I171" s="15">
        <v>44.75</v>
      </c>
      <c r="J171" s="15">
        <v>0.54</v>
      </c>
      <c r="K171" s="15">
        <v>110.71</v>
      </c>
      <c r="L171" s="15">
        <v>777.82</v>
      </c>
      <c r="M171" s="15">
        <v>0.04</v>
      </c>
      <c r="N171" s="15">
        <v>0</v>
      </c>
      <c r="O171" s="15">
        <v>8.83</v>
      </c>
      <c r="P171" s="15">
        <v>30.71</v>
      </c>
      <c r="Q171" s="15">
        <v>120.78</v>
      </c>
      <c r="R171" s="15">
        <v>3228.12</v>
      </c>
      <c r="S171" s="15">
        <v>0.44</v>
      </c>
      <c r="T171" s="15">
        <v>35.32</v>
      </c>
      <c r="U171" s="15">
        <v>13.48</v>
      </c>
      <c r="V171" s="15">
        <v>772.45</v>
      </c>
      <c r="W171" s="16">
        <v>86.24</v>
      </c>
      <c r="X171" s="31">
        <f>MOD(general_price[[#This Row],[date]], 1)</f>
        <v>4.1666666664241347E-2</v>
      </c>
      <c r="Y171" s="25" t="str">
        <f t="shared" si="2"/>
        <v/>
      </c>
      <c r="Z171" s="22">
        <v>0</v>
      </c>
      <c r="AA171" s="48">
        <f>general_price[[#This Row],[Battery (Charging) -  MW]]+general_price[[#This Row],[Battery (Discharging) -  MW]]</f>
        <v>-20.55</v>
      </c>
      <c r="AB171" s="48">
        <f>general_price[[#This Row],[Pumps -  MW]]+general_price[[#This Row],[Hydro -  MW]]</f>
        <v>110.71</v>
      </c>
    </row>
    <row r="172" spans="1:28">
      <c r="A172" s="13">
        <v>45853.0625</v>
      </c>
      <c r="B172" s="14">
        <v>-13.15</v>
      </c>
      <c r="C172" s="15">
        <v>-67.53</v>
      </c>
      <c r="D172" s="15">
        <v>-106.28</v>
      </c>
      <c r="E172" s="15">
        <v>326.72000000000003</v>
      </c>
      <c r="F172" s="15">
        <v>7094.64</v>
      </c>
      <c r="G172" s="15">
        <v>-0.83</v>
      </c>
      <c r="H172" s="15">
        <v>190.17</v>
      </c>
      <c r="I172" s="15">
        <v>44.91</v>
      </c>
      <c r="J172" s="15">
        <v>0.25</v>
      </c>
      <c r="K172" s="15">
        <v>103.52</v>
      </c>
      <c r="L172" s="15">
        <v>699.34</v>
      </c>
      <c r="M172" s="15">
        <v>0.04</v>
      </c>
      <c r="N172" s="15">
        <v>0</v>
      </c>
      <c r="O172" s="15">
        <v>8.6199999999999992</v>
      </c>
      <c r="P172" s="15">
        <v>42.12</v>
      </c>
      <c r="Q172" s="15">
        <v>118.98</v>
      </c>
      <c r="R172" s="15">
        <v>3213.33</v>
      </c>
      <c r="S172" s="15">
        <v>0.44</v>
      </c>
      <c r="T172" s="15">
        <v>35.35</v>
      </c>
      <c r="U172" s="15">
        <v>13.52</v>
      </c>
      <c r="V172" s="15">
        <v>788.86</v>
      </c>
      <c r="W172" s="16">
        <v>86.45</v>
      </c>
      <c r="X172" s="31">
        <f>MOD(general_price[[#This Row],[date]], 1)</f>
        <v>6.25E-2</v>
      </c>
      <c r="Y172" s="25" t="str">
        <f t="shared" si="2"/>
        <v/>
      </c>
      <c r="Z172" s="22">
        <v>0</v>
      </c>
      <c r="AA172" s="48">
        <f>general_price[[#This Row],[Battery (Charging) -  MW]]+general_price[[#This Row],[Battery (Discharging) -  MW]]</f>
        <v>-12.9</v>
      </c>
      <c r="AB172" s="48">
        <f>general_price[[#This Row],[Pumps -  MW]]+general_price[[#This Row],[Hydro -  MW]]</f>
        <v>35.989999999999995</v>
      </c>
    </row>
    <row r="173" spans="1:28">
      <c r="A173" s="13">
        <v>45853.083333333336</v>
      </c>
      <c r="B173" s="14">
        <v>-36.590000000000003</v>
      </c>
      <c r="C173" s="15">
        <v>-80.69</v>
      </c>
      <c r="D173" s="15">
        <v>-96.14</v>
      </c>
      <c r="E173" s="15">
        <v>365.31</v>
      </c>
      <c r="F173" s="15">
        <v>6718.34</v>
      </c>
      <c r="G173" s="15">
        <v>-0.88</v>
      </c>
      <c r="H173" s="15">
        <v>190.5</v>
      </c>
      <c r="I173" s="15">
        <v>44.97</v>
      </c>
      <c r="J173" s="15">
        <v>0.28999999999999998</v>
      </c>
      <c r="K173" s="15">
        <v>43.12</v>
      </c>
      <c r="L173" s="15">
        <v>808.09</v>
      </c>
      <c r="M173" s="15">
        <v>0.04</v>
      </c>
      <c r="N173" s="15">
        <v>0</v>
      </c>
      <c r="O173" s="15">
        <v>8.4700000000000006</v>
      </c>
      <c r="P173" s="15">
        <v>37.61</v>
      </c>
      <c r="Q173" s="15">
        <v>133.09</v>
      </c>
      <c r="R173" s="15">
        <v>3045.06</v>
      </c>
      <c r="S173" s="15">
        <v>0.44</v>
      </c>
      <c r="T173" s="15">
        <v>35.409999999999997</v>
      </c>
      <c r="U173" s="15">
        <v>13.54</v>
      </c>
      <c r="V173" s="15">
        <v>777.86</v>
      </c>
      <c r="W173" s="16">
        <v>75.13</v>
      </c>
      <c r="X173" s="31">
        <f>MOD(general_price[[#This Row],[date]], 1)</f>
        <v>8.3333333335758653E-2</v>
      </c>
      <c r="Y173" s="25" t="str">
        <f t="shared" si="2"/>
        <v/>
      </c>
      <c r="Z173" s="22">
        <v>0</v>
      </c>
      <c r="AA173" s="48">
        <f>general_price[[#This Row],[Battery (Charging) -  MW]]+general_price[[#This Row],[Battery (Discharging) -  MW]]</f>
        <v>-36.300000000000004</v>
      </c>
      <c r="AB173" s="48">
        <f>general_price[[#This Row],[Pumps -  MW]]+general_price[[#This Row],[Hydro -  MW]]</f>
        <v>-37.57</v>
      </c>
    </row>
    <row r="174" spans="1:28">
      <c r="A174" s="13">
        <v>45853.104166666664</v>
      </c>
      <c r="B174" s="14">
        <v>-160.09</v>
      </c>
      <c r="C174" s="15">
        <v>-80.63</v>
      </c>
      <c r="D174" s="15">
        <v>-5.42</v>
      </c>
      <c r="E174" s="15">
        <v>386.38</v>
      </c>
      <c r="F174" s="15">
        <v>6540.19</v>
      </c>
      <c r="G174" s="15">
        <v>-0.84</v>
      </c>
      <c r="H174" s="15">
        <v>190.17</v>
      </c>
      <c r="I174" s="15">
        <v>45.02</v>
      </c>
      <c r="J174" s="15">
        <v>3.79</v>
      </c>
      <c r="K174" s="15">
        <v>14.02</v>
      </c>
      <c r="L174" s="15">
        <v>800.59</v>
      </c>
      <c r="M174" s="15">
        <v>0.04</v>
      </c>
      <c r="N174" s="15">
        <v>0</v>
      </c>
      <c r="O174" s="15">
        <v>8.73</v>
      </c>
      <c r="P174" s="15">
        <v>2.11</v>
      </c>
      <c r="Q174" s="15">
        <v>146.76</v>
      </c>
      <c r="R174" s="15">
        <v>2966.01</v>
      </c>
      <c r="S174" s="15">
        <v>0.44</v>
      </c>
      <c r="T174" s="15">
        <v>35.35</v>
      </c>
      <c r="U174" s="15">
        <v>13.56</v>
      </c>
      <c r="V174" s="15">
        <v>779.84</v>
      </c>
      <c r="W174" s="16">
        <v>76.8</v>
      </c>
      <c r="X174" s="31">
        <f>MOD(general_price[[#This Row],[date]], 1)</f>
        <v>0.10416666666424135</v>
      </c>
      <c r="Y174" s="25" t="str">
        <f t="shared" si="2"/>
        <v/>
      </c>
      <c r="Z174" s="22">
        <v>0</v>
      </c>
      <c r="AA174" s="48">
        <f>general_price[[#This Row],[Battery (Charging) -  MW]]+general_price[[#This Row],[Battery (Discharging) -  MW]]</f>
        <v>-156.30000000000001</v>
      </c>
      <c r="AB174" s="48">
        <f>general_price[[#This Row],[Pumps -  MW]]+general_price[[#This Row],[Hydro -  MW]]</f>
        <v>-66.61</v>
      </c>
    </row>
    <row r="175" spans="1:28">
      <c r="A175" s="13">
        <v>45853.125</v>
      </c>
      <c r="B175" s="14">
        <v>-104.48</v>
      </c>
      <c r="C175" s="15">
        <v>-80.709999999999994</v>
      </c>
      <c r="D175" s="15">
        <v>-3.12</v>
      </c>
      <c r="E175" s="15">
        <v>398.01</v>
      </c>
      <c r="F175" s="15">
        <v>6419.66</v>
      </c>
      <c r="G175" s="15">
        <v>-0.62</v>
      </c>
      <c r="H175" s="15">
        <v>190.17</v>
      </c>
      <c r="I175" s="15">
        <v>44.9</v>
      </c>
      <c r="J175" s="15">
        <v>3.86</v>
      </c>
      <c r="K175" s="15">
        <v>14.05</v>
      </c>
      <c r="L175" s="15">
        <v>717.32</v>
      </c>
      <c r="M175" s="15">
        <v>0.04</v>
      </c>
      <c r="N175" s="15">
        <v>0</v>
      </c>
      <c r="O175" s="15">
        <v>8.82</v>
      </c>
      <c r="P175" s="15">
        <v>1.23</v>
      </c>
      <c r="Q175" s="15">
        <v>155.72999999999999</v>
      </c>
      <c r="R175" s="15">
        <v>2911.68</v>
      </c>
      <c r="S175" s="15">
        <v>0.44</v>
      </c>
      <c r="T175" s="15">
        <v>35.35</v>
      </c>
      <c r="U175" s="15">
        <v>13.52</v>
      </c>
      <c r="V175" s="15">
        <v>779.3</v>
      </c>
      <c r="W175" s="16">
        <v>76.8</v>
      </c>
      <c r="X175" s="31">
        <f>MOD(general_price[[#This Row],[date]], 1)</f>
        <v>0.125</v>
      </c>
      <c r="Y175" s="25" t="str">
        <f t="shared" si="2"/>
        <v/>
      </c>
      <c r="Z175" s="22">
        <v>0</v>
      </c>
      <c r="AA175" s="48">
        <f>general_price[[#This Row],[Battery (Charging) -  MW]]+general_price[[#This Row],[Battery (Discharging) -  MW]]</f>
        <v>-100.62</v>
      </c>
      <c r="AB175" s="48">
        <f>general_price[[#This Row],[Pumps -  MW]]+general_price[[#This Row],[Hydro -  MW]]</f>
        <v>-66.66</v>
      </c>
    </row>
    <row r="176" spans="1:28">
      <c r="A176" s="13">
        <v>45853.145833333336</v>
      </c>
      <c r="B176" s="14">
        <v>-73.5</v>
      </c>
      <c r="C176" s="15">
        <v>-80.64</v>
      </c>
      <c r="D176" s="15">
        <v>0</v>
      </c>
      <c r="E176" s="15">
        <v>580.14</v>
      </c>
      <c r="F176" s="15">
        <v>6256.13</v>
      </c>
      <c r="G176" s="15">
        <v>-0.88</v>
      </c>
      <c r="H176" s="15">
        <v>190.17</v>
      </c>
      <c r="I176" s="15">
        <v>44.78</v>
      </c>
      <c r="J176" s="15">
        <v>0.03</v>
      </c>
      <c r="K176" s="15">
        <v>17.57</v>
      </c>
      <c r="L176" s="15">
        <v>700.78</v>
      </c>
      <c r="M176" s="15">
        <v>0.04</v>
      </c>
      <c r="N176" s="15">
        <v>0</v>
      </c>
      <c r="O176" s="15">
        <v>9.0299999999999994</v>
      </c>
      <c r="P176" s="15">
        <v>0</v>
      </c>
      <c r="Q176" s="15">
        <v>229.59</v>
      </c>
      <c r="R176" s="15">
        <v>2835.56</v>
      </c>
      <c r="S176" s="15">
        <v>0.44</v>
      </c>
      <c r="T176" s="15">
        <v>35.35</v>
      </c>
      <c r="U176" s="15">
        <v>13.48</v>
      </c>
      <c r="V176" s="15">
        <v>755.73</v>
      </c>
      <c r="W176" s="16">
        <v>76.3</v>
      </c>
      <c r="X176" s="31">
        <f>MOD(general_price[[#This Row],[date]], 1)</f>
        <v>0.14583333333575865</v>
      </c>
      <c r="Y176" s="25" t="str">
        <f t="shared" si="2"/>
        <v/>
      </c>
      <c r="Z176" s="22">
        <v>0</v>
      </c>
      <c r="AA176" s="48">
        <f>general_price[[#This Row],[Battery (Charging) -  MW]]+general_price[[#This Row],[Battery (Discharging) -  MW]]</f>
        <v>-73.47</v>
      </c>
      <c r="AB176" s="48">
        <f>general_price[[#This Row],[Pumps -  MW]]+general_price[[#This Row],[Hydro -  MW]]</f>
        <v>-63.07</v>
      </c>
    </row>
    <row r="177" spans="1:28">
      <c r="A177" s="13">
        <v>45853.166666666664</v>
      </c>
      <c r="B177" s="14">
        <v>-203.92</v>
      </c>
      <c r="C177" s="15">
        <v>-80.66</v>
      </c>
      <c r="D177" s="15">
        <v>0</v>
      </c>
      <c r="E177" s="15">
        <v>564.89</v>
      </c>
      <c r="F177" s="15">
        <v>6318.02</v>
      </c>
      <c r="G177" s="15">
        <v>-0.7</v>
      </c>
      <c r="H177" s="15">
        <v>190.17</v>
      </c>
      <c r="I177" s="15">
        <v>43.49</v>
      </c>
      <c r="J177" s="15">
        <v>0.57999999999999996</v>
      </c>
      <c r="K177" s="15">
        <v>0</v>
      </c>
      <c r="L177" s="15">
        <v>777.11</v>
      </c>
      <c r="M177" s="15">
        <v>0.04</v>
      </c>
      <c r="N177" s="15">
        <v>0</v>
      </c>
      <c r="O177" s="15">
        <v>8.93</v>
      </c>
      <c r="P177" s="15">
        <v>0</v>
      </c>
      <c r="Q177" s="15">
        <v>225.74</v>
      </c>
      <c r="R177" s="15">
        <v>2863.55</v>
      </c>
      <c r="S177" s="15">
        <v>0.44</v>
      </c>
      <c r="T177" s="15">
        <v>35.35</v>
      </c>
      <c r="U177" s="15">
        <v>13.09</v>
      </c>
      <c r="V177" s="15">
        <v>765.52</v>
      </c>
      <c r="W177" s="16">
        <v>76.58</v>
      </c>
      <c r="X177" s="31">
        <f>MOD(general_price[[#This Row],[date]], 1)</f>
        <v>0.16666666666424135</v>
      </c>
      <c r="Y177" s="25" t="str">
        <f t="shared" si="2"/>
        <v/>
      </c>
      <c r="Z177" s="22">
        <v>0</v>
      </c>
      <c r="AA177" s="48">
        <f>general_price[[#This Row],[Battery (Charging) -  MW]]+general_price[[#This Row],[Battery (Discharging) -  MW]]</f>
        <v>-203.33999999999997</v>
      </c>
      <c r="AB177" s="48">
        <f>general_price[[#This Row],[Pumps -  MW]]+general_price[[#This Row],[Hydro -  MW]]</f>
        <v>-80.66</v>
      </c>
    </row>
    <row r="178" spans="1:28">
      <c r="A178" s="13">
        <v>45853.1875</v>
      </c>
      <c r="B178" s="14">
        <v>-255.16</v>
      </c>
      <c r="C178" s="15">
        <v>-67.19</v>
      </c>
      <c r="D178" s="15">
        <v>0</v>
      </c>
      <c r="E178" s="15">
        <v>512.38</v>
      </c>
      <c r="F178" s="15">
        <v>6334.44</v>
      </c>
      <c r="G178" s="15">
        <v>-0.88</v>
      </c>
      <c r="H178" s="15">
        <v>190.17</v>
      </c>
      <c r="I178" s="15">
        <v>43.71</v>
      </c>
      <c r="J178" s="15">
        <v>4.05</v>
      </c>
      <c r="K178" s="15">
        <v>0</v>
      </c>
      <c r="L178" s="15">
        <v>955.64</v>
      </c>
      <c r="M178" s="15">
        <v>0.04</v>
      </c>
      <c r="N178" s="15">
        <v>0</v>
      </c>
      <c r="O178" s="15">
        <v>8.9</v>
      </c>
      <c r="P178" s="15">
        <v>0</v>
      </c>
      <c r="Q178" s="15">
        <v>206.53</v>
      </c>
      <c r="R178" s="15">
        <v>2869.23</v>
      </c>
      <c r="S178" s="15">
        <v>0.44</v>
      </c>
      <c r="T178" s="15">
        <v>35.35</v>
      </c>
      <c r="U178" s="15">
        <v>13.16</v>
      </c>
      <c r="V178" s="15">
        <v>756.28</v>
      </c>
      <c r="W178" s="16">
        <v>74.790000000000006</v>
      </c>
      <c r="X178" s="31">
        <f>MOD(general_price[[#This Row],[date]], 1)</f>
        <v>0.1875</v>
      </c>
      <c r="Y178" s="25" t="str">
        <f t="shared" si="2"/>
        <v/>
      </c>
      <c r="Z178" s="22">
        <v>0</v>
      </c>
      <c r="AA178" s="48">
        <f>general_price[[#This Row],[Battery (Charging) -  MW]]+general_price[[#This Row],[Battery (Discharging) -  MW]]</f>
        <v>-251.10999999999999</v>
      </c>
      <c r="AB178" s="48">
        <f>general_price[[#This Row],[Pumps -  MW]]+general_price[[#This Row],[Hydro -  MW]]</f>
        <v>-67.19</v>
      </c>
    </row>
    <row r="179" spans="1:28">
      <c r="A179" s="13">
        <v>45853.208333333336</v>
      </c>
      <c r="B179" s="14">
        <v>-152.51</v>
      </c>
      <c r="C179" s="15">
        <v>0</v>
      </c>
      <c r="D179" s="15">
        <v>-16.48</v>
      </c>
      <c r="E179" s="15">
        <v>401.44</v>
      </c>
      <c r="F179" s="15">
        <v>6376.07</v>
      </c>
      <c r="G179" s="15">
        <v>-0.74</v>
      </c>
      <c r="H179" s="15">
        <v>198.17</v>
      </c>
      <c r="I179" s="15">
        <v>44.22</v>
      </c>
      <c r="J179" s="15">
        <v>1.85</v>
      </c>
      <c r="K179" s="15">
        <v>28.8</v>
      </c>
      <c r="L179" s="15">
        <v>1134.6600000000001</v>
      </c>
      <c r="M179" s="15">
        <v>0.04</v>
      </c>
      <c r="N179" s="15">
        <v>0</v>
      </c>
      <c r="O179" s="15">
        <v>8.8800000000000008</v>
      </c>
      <c r="P179" s="15">
        <v>6.35</v>
      </c>
      <c r="Q179" s="15">
        <v>164.24</v>
      </c>
      <c r="R179" s="15">
        <v>2884.5</v>
      </c>
      <c r="S179" s="15">
        <v>0.44</v>
      </c>
      <c r="T179" s="15">
        <v>36.840000000000003</v>
      </c>
      <c r="U179" s="15">
        <v>13.31</v>
      </c>
      <c r="V179" s="15">
        <v>732.36</v>
      </c>
      <c r="W179" s="16">
        <v>73.25</v>
      </c>
      <c r="X179" s="31">
        <f>MOD(general_price[[#This Row],[date]], 1)</f>
        <v>0.20833333333575865</v>
      </c>
      <c r="Y179" s="25" t="str">
        <f t="shared" si="2"/>
        <v/>
      </c>
      <c r="Z179" s="22">
        <v>0</v>
      </c>
      <c r="AA179" s="48">
        <f>general_price[[#This Row],[Battery (Charging) -  MW]]+general_price[[#This Row],[Battery (Discharging) -  MW]]</f>
        <v>-150.66</v>
      </c>
      <c r="AB179" s="48">
        <f>general_price[[#This Row],[Pumps -  MW]]+general_price[[#This Row],[Hydro -  MW]]</f>
        <v>28.8</v>
      </c>
    </row>
    <row r="180" spans="1:28">
      <c r="A180" s="13">
        <v>45853.229166666664</v>
      </c>
      <c r="B180" s="14">
        <v>-127.28</v>
      </c>
      <c r="C180" s="15">
        <v>0</v>
      </c>
      <c r="D180" s="15">
        <v>-271.64999999999998</v>
      </c>
      <c r="E180" s="15">
        <v>194.56</v>
      </c>
      <c r="F180" s="15">
        <v>6874.18</v>
      </c>
      <c r="G180" s="15">
        <v>-0.11</v>
      </c>
      <c r="H180" s="15">
        <v>297.67</v>
      </c>
      <c r="I180" s="15">
        <v>44.19</v>
      </c>
      <c r="J180" s="15">
        <v>0.38</v>
      </c>
      <c r="K180" s="15">
        <v>135.81</v>
      </c>
      <c r="L180" s="15">
        <v>1342.23</v>
      </c>
      <c r="M180" s="15">
        <v>0.04</v>
      </c>
      <c r="N180" s="15">
        <v>0</v>
      </c>
      <c r="O180" s="15">
        <v>8.65</v>
      </c>
      <c r="P180" s="15">
        <v>99.85</v>
      </c>
      <c r="Q180" s="15">
        <v>81.99</v>
      </c>
      <c r="R180" s="15">
        <v>3113.02</v>
      </c>
      <c r="S180" s="15">
        <v>0.44</v>
      </c>
      <c r="T180" s="15">
        <v>55.34</v>
      </c>
      <c r="U180" s="15">
        <v>13.31</v>
      </c>
      <c r="V180" s="15">
        <v>749.61</v>
      </c>
      <c r="W180" s="16">
        <v>83.87</v>
      </c>
      <c r="X180" s="31">
        <f>MOD(general_price[[#This Row],[date]], 1)</f>
        <v>0.22916666666424135</v>
      </c>
      <c r="Y180" s="25" t="str">
        <f t="shared" si="2"/>
        <v/>
      </c>
      <c r="Z180" s="22">
        <v>0</v>
      </c>
      <c r="AA180" s="48">
        <f>general_price[[#This Row],[Battery (Charging) -  MW]]+general_price[[#This Row],[Battery (Discharging) -  MW]]</f>
        <v>-126.9</v>
      </c>
      <c r="AB180" s="48">
        <f>general_price[[#This Row],[Pumps -  MW]]+general_price[[#This Row],[Hydro -  MW]]</f>
        <v>135.81</v>
      </c>
    </row>
    <row r="181" spans="1:28">
      <c r="A181" s="13">
        <v>45853.25</v>
      </c>
      <c r="B181" s="14">
        <v>-6.98</v>
      </c>
      <c r="C181" s="15">
        <v>0</v>
      </c>
      <c r="D181" s="15">
        <v>-528.04</v>
      </c>
      <c r="E181" s="15">
        <v>35.39</v>
      </c>
      <c r="F181" s="15">
        <v>7283</v>
      </c>
      <c r="G181" s="15">
        <v>-0.3</v>
      </c>
      <c r="H181" s="15">
        <v>306.83</v>
      </c>
      <c r="I181" s="15">
        <v>42.77</v>
      </c>
      <c r="J181" s="15">
        <v>6.6</v>
      </c>
      <c r="K181" s="15">
        <v>261.24</v>
      </c>
      <c r="L181" s="15">
        <v>1525.44</v>
      </c>
      <c r="M181" s="15">
        <v>0.04</v>
      </c>
      <c r="N181" s="15">
        <v>0</v>
      </c>
      <c r="O181" s="15">
        <v>8.57</v>
      </c>
      <c r="P181" s="15">
        <v>188.22</v>
      </c>
      <c r="Q181" s="15">
        <v>15.56</v>
      </c>
      <c r="R181" s="15">
        <v>3297.29</v>
      </c>
      <c r="S181" s="15">
        <v>0.44</v>
      </c>
      <c r="T181" s="15">
        <v>57.04</v>
      </c>
      <c r="U181" s="15">
        <v>13.08</v>
      </c>
      <c r="V181" s="15">
        <v>754.62</v>
      </c>
      <c r="W181" s="16">
        <v>90.66</v>
      </c>
      <c r="X181" s="31">
        <f>MOD(general_price[[#This Row],[date]], 1)</f>
        <v>0.25</v>
      </c>
      <c r="Y181" s="25" t="str">
        <f t="shared" si="2"/>
        <v/>
      </c>
      <c r="Z181" s="22">
        <v>0</v>
      </c>
      <c r="AA181" s="48">
        <f>general_price[[#This Row],[Battery (Charging) -  MW]]+general_price[[#This Row],[Battery (Discharging) -  MW]]</f>
        <v>-0.38000000000000078</v>
      </c>
      <c r="AB181" s="48">
        <f>general_price[[#This Row],[Pumps -  MW]]+general_price[[#This Row],[Hydro -  MW]]</f>
        <v>261.24</v>
      </c>
    </row>
    <row r="182" spans="1:28">
      <c r="A182" s="13">
        <v>45853.270833333336</v>
      </c>
      <c r="B182" s="14">
        <v>-2.31</v>
      </c>
      <c r="C182" s="15">
        <v>0</v>
      </c>
      <c r="D182" s="15">
        <v>-595.59</v>
      </c>
      <c r="E182" s="15">
        <v>0</v>
      </c>
      <c r="F182" s="15">
        <v>7400.33</v>
      </c>
      <c r="G182" s="15">
        <v>-2.27</v>
      </c>
      <c r="H182" s="15">
        <v>443.83</v>
      </c>
      <c r="I182" s="15">
        <v>173.25</v>
      </c>
      <c r="J182" s="15">
        <v>40.520000000000003</v>
      </c>
      <c r="K182" s="15">
        <v>705.19</v>
      </c>
      <c r="L182" s="15">
        <v>1567.48</v>
      </c>
      <c r="M182" s="15">
        <v>0.04</v>
      </c>
      <c r="N182" s="15">
        <v>0.18</v>
      </c>
      <c r="O182" s="15">
        <v>8.3800000000000008</v>
      </c>
      <c r="P182" s="15">
        <v>200.36</v>
      </c>
      <c r="Q182" s="15">
        <v>0</v>
      </c>
      <c r="R182" s="15">
        <v>3349.79</v>
      </c>
      <c r="S182" s="15">
        <v>0.44</v>
      </c>
      <c r="T182" s="15">
        <v>82.51</v>
      </c>
      <c r="U182" s="15">
        <v>49.82</v>
      </c>
      <c r="V182" s="15">
        <v>715.79</v>
      </c>
      <c r="W182" s="16">
        <v>113.84</v>
      </c>
      <c r="X182" s="31">
        <f>MOD(general_price[[#This Row],[date]], 1)</f>
        <v>0.27083333333575865</v>
      </c>
      <c r="Y182" s="25" t="str">
        <f t="shared" si="2"/>
        <v/>
      </c>
      <c r="Z182" s="22">
        <v>0</v>
      </c>
      <c r="AA182" s="48">
        <f>general_price[[#This Row],[Battery (Charging) -  MW]]+general_price[[#This Row],[Battery (Discharging) -  MW]]</f>
        <v>38.21</v>
      </c>
      <c r="AB182" s="48">
        <f>general_price[[#This Row],[Pumps -  MW]]+general_price[[#This Row],[Hydro -  MW]]</f>
        <v>705.19</v>
      </c>
    </row>
    <row r="183" spans="1:28">
      <c r="A183" s="13">
        <v>45853.291666666664</v>
      </c>
      <c r="B183" s="14">
        <v>-2.91</v>
      </c>
      <c r="C183" s="15">
        <v>0</v>
      </c>
      <c r="D183" s="15">
        <v>-525.15</v>
      </c>
      <c r="E183" s="15">
        <v>0</v>
      </c>
      <c r="F183" s="15">
        <v>7453.31</v>
      </c>
      <c r="G183" s="15">
        <v>-1.19</v>
      </c>
      <c r="H183" s="15">
        <v>450</v>
      </c>
      <c r="I183" s="15">
        <v>389.81</v>
      </c>
      <c r="J183" s="15">
        <v>139.94</v>
      </c>
      <c r="K183" s="15">
        <v>771.76</v>
      </c>
      <c r="L183" s="15">
        <v>1591.65</v>
      </c>
      <c r="M183" s="15">
        <v>1.56</v>
      </c>
      <c r="N183" s="15">
        <v>4.2699999999999996</v>
      </c>
      <c r="O183" s="15">
        <v>8.6</v>
      </c>
      <c r="P183" s="15">
        <v>174.19</v>
      </c>
      <c r="Q183" s="15">
        <v>0</v>
      </c>
      <c r="R183" s="15">
        <v>3376</v>
      </c>
      <c r="S183" s="15">
        <v>0.44</v>
      </c>
      <c r="T183" s="15">
        <v>83.66</v>
      </c>
      <c r="U183" s="15">
        <v>130.49</v>
      </c>
      <c r="V183" s="15">
        <v>699.03</v>
      </c>
      <c r="W183" s="16">
        <v>144.66</v>
      </c>
      <c r="X183" s="31">
        <f>MOD(general_price[[#This Row],[date]], 1)</f>
        <v>0.29166666666424135</v>
      </c>
      <c r="Y183" s="25" t="str">
        <f t="shared" si="2"/>
        <v/>
      </c>
      <c r="Z183" s="22">
        <v>0</v>
      </c>
      <c r="AA183" s="48">
        <f>general_price[[#This Row],[Battery (Charging) -  MW]]+general_price[[#This Row],[Battery (Discharging) -  MW]]</f>
        <v>137.03</v>
      </c>
      <c r="AB183" s="48">
        <f>general_price[[#This Row],[Pumps -  MW]]+general_price[[#This Row],[Hydro -  MW]]</f>
        <v>771.76</v>
      </c>
    </row>
    <row r="184" spans="1:28">
      <c r="A184" s="13">
        <v>45853.3125</v>
      </c>
      <c r="B184" s="14">
        <v>-1.6</v>
      </c>
      <c r="C184" s="15">
        <v>0</v>
      </c>
      <c r="D184" s="15">
        <v>-396.19</v>
      </c>
      <c r="E184" s="15">
        <v>0</v>
      </c>
      <c r="F184" s="15">
        <v>7456.8</v>
      </c>
      <c r="G184" s="15">
        <v>-0.82</v>
      </c>
      <c r="H184" s="15">
        <v>450</v>
      </c>
      <c r="I184" s="15">
        <v>526.04999999999995</v>
      </c>
      <c r="J184" s="15">
        <v>266.73</v>
      </c>
      <c r="K184" s="15">
        <v>780.94</v>
      </c>
      <c r="L184" s="15">
        <v>1593.9</v>
      </c>
      <c r="M184" s="15">
        <v>31.01</v>
      </c>
      <c r="N184" s="15">
        <v>34.81</v>
      </c>
      <c r="O184" s="15">
        <v>9.14</v>
      </c>
      <c r="P184" s="15">
        <v>129.76</v>
      </c>
      <c r="Q184" s="15">
        <v>0</v>
      </c>
      <c r="R184" s="15">
        <v>3377.67</v>
      </c>
      <c r="S184" s="15">
        <v>0.44</v>
      </c>
      <c r="T184" s="15">
        <v>83.66</v>
      </c>
      <c r="U184" s="15">
        <v>183.71</v>
      </c>
      <c r="V184" s="15">
        <v>678.76</v>
      </c>
      <c r="W184" s="16">
        <v>130.34</v>
      </c>
      <c r="X184" s="31">
        <f>MOD(general_price[[#This Row],[date]], 1)</f>
        <v>0.3125</v>
      </c>
      <c r="Y184" s="25" t="str">
        <f t="shared" si="2"/>
        <v/>
      </c>
      <c r="Z184" s="22">
        <v>0</v>
      </c>
      <c r="AA184" s="48">
        <f>general_price[[#This Row],[Battery (Charging) -  MW]]+general_price[[#This Row],[Battery (Discharging) -  MW]]</f>
        <v>265.13</v>
      </c>
      <c r="AB184" s="48">
        <f>general_price[[#This Row],[Pumps -  MW]]+general_price[[#This Row],[Hydro -  MW]]</f>
        <v>780.94</v>
      </c>
    </row>
    <row r="185" spans="1:28">
      <c r="A185" s="13">
        <v>45853.333333333336</v>
      </c>
      <c r="B185" s="14">
        <v>-2.98</v>
      </c>
      <c r="C185" s="15">
        <v>0</v>
      </c>
      <c r="D185" s="15">
        <v>-234.83</v>
      </c>
      <c r="E185" s="15">
        <v>0</v>
      </c>
      <c r="F185" s="15">
        <v>7457.68</v>
      </c>
      <c r="G185" s="15">
        <v>-0.18</v>
      </c>
      <c r="H185" s="15">
        <v>449.67</v>
      </c>
      <c r="I185" s="15">
        <v>525.49</v>
      </c>
      <c r="J185" s="15">
        <v>194.55</v>
      </c>
      <c r="K185" s="15">
        <v>741.74</v>
      </c>
      <c r="L185" s="15">
        <v>1578.1</v>
      </c>
      <c r="M185" s="15">
        <v>266.44</v>
      </c>
      <c r="N185" s="15">
        <v>126.03</v>
      </c>
      <c r="O185" s="15">
        <v>9.65</v>
      </c>
      <c r="P185" s="15">
        <v>76.13</v>
      </c>
      <c r="Q185" s="15">
        <v>0</v>
      </c>
      <c r="R185" s="15">
        <v>3377.98</v>
      </c>
      <c r="S185" s="15">
        <v>0.44</v>
      </c>
      <c r="T185" s="15">
        <v>83.59</v>
      </c>
      <c r="U185" s="15">
        <v>183.47</v>
      </c>
      <c r="V185" s="15">
        <v>656.74</v>
      </c>
      <c r="W185" s="16">
        <v>136.08000000000001</v>
      </c>
      <c r="X185" s="31">
        <f>MOD(general_price[[#This Row],[date]], 1)</f>
        <v>0.33333333333575865</v>
      </c>
      <c r="Y185" s="25" t="str">
        <f t="shared" si="2"/>
        <v/>
      </c>
      <c r="Z185" s="22">
        <v>0</v>
      </c>
      <c r="AA185" s="48">
        <f>general_price[[#This Row],[Battery (Charging) -  MW]]+general_price[[#This Row],[Battery (Discharging) -  MW]]</f>
        <v>191.57000000000002</v>
      </c>
      <c r="AB185" s="48">
        <f>general_price[[#This Row],[Pumps -  MW]]+general_price[[#This Row],[Hydro -  MW]]</f>
        <v>741.74</v>
      </c>
    </row>
    <row r="186" spans="1:28">
      <c r="A186" s="13">
        <v>45853.354166666664</v>
      </c>
      <c r="B186" s="14">
        <v>-0.01</v>
      </c>
      <c r="C186" s="15">
        <v>0</v>
      </c>
      <c r="D186" s="15">
        <v>-8.27</v>
      </c>
      <c r="E186" s="15">
        <v>303.83999999999997</v>
      </c>
      <c r="F186" s="15">
        <v>7406.16</v>
      </c>
      <c r="G186" s="15">
        <v>-2.0099999999999998</v>
      </c>
      <c r="H186" s="15">
        <v>449.83</v>
      </c>
      <c r="I186" s="15">
        <v>430.01</v>
      </c>
      <c r="J186" s="15">
        <v>146.44999999999999</v>
      </c>
      <c r="K186" s="15">
        <v>193.41</v>
      </c>
      <c r="L186" s="15">
        <v>1422.89</v>
      </c>
      <c r="M186" s="15">
        <v>634.34</v>
      </c>
      <c r="N186" s="15">
        <v>286.56</v>
      </c>
      <c r="O186" s="15">
        <v>10.07</v>
      </c>
      <c r="P186" s="15">
        <v>2.76</v>
      </c>
      <c r="Q186" s="15">
        <v>97.72</v>
      </c>
      <c r="R186" s="15">
        <v>3352.35</v>
      </c>
      <c r="S186" s="15">
        <v>0.44</v>
      </c>
      <c r="T186" s="15">
        <v>83.62</v>
      </c>
      <c r="U186" s="15">
        <v>146.18</v>
      </c>
      <c r="V186" s="15">
        <v>636.16</v>
      </c>
      <c r="W186" s="16">
        <v>134.16999999999999</v>
      </c>
      <c r="X186" s="31">
        <f>MOD(general_price[[#This Row],[date]], 1)</f>
        <v>0.35416666666424135</v>
      </c>
      <c r="Y186" s="25" t="str">
        <f t="shared" si="2"/>
        <v/>
      </c>
      <c r="Z186" s="22">
        <v>0</v>
      </c>
      <c r="AA186" s="48">
        <f>general_price[[#This Row],[Battery (Charging) -  MW]]+general_price[[#This Row],[Battery (Discharging) -  MW]]</f>
        <v>146.44</v>
      </c>
      <c r="AB186" s="48">
        <f>general_price[[#This Row],[Pumps -  MW]]+general_price[[#This Row],[Hydro -  MW]]</f>
        <v>193.41</v>
      </c>
    </row>
    <row r="187" spans="1:28">
      <c r="A187" s="13">
        <v>45853.375</v>
      </c>
      <c r="B187" s="14">
        <v>-3.63</v>
      </c>
      <c r="C187" s="15">
        <v>0</v>
      </c>
      <c r="D187" s="15">
        <v>-64.959999999999994</v>
      </c>
      <c r="E187" s="15">
        <v>715.54</v>
      </c>
      <c r="F187" s="15">
        <v>7310.86</v>
      </c>
      <c r="G187" s="15">
        <v>-3.12</v>
      </c>
      <c r="H187" s="15">
        <v>442.5</v>
      </c>
      <c r="I187" s="15">
        <v>322.52999999999997</v>
      </c>
      <c r="J187" s="15">
        <v>30.23</v>
      </c>
      <c r="K187" s="15">
        <v>72.650000000000006</v>
      </c>
      <c r="L187" s="15">
        <v>1308.97</v>
      </c>
      <c r="M187" s="15">
        <v>1091.93</v>
      </c>
      <c r="N187" s="15">
        <v>518.02</v>
      </c>
      <c r="O187" s="15">
        <v>10.47</v>
      </c>
      <c r="P187" s="15">
        <v>21.4</v>
      </c>
      <c r="Q187" s="15">
        <v>224.59</v>
      </c>
      <c r="R187" s="15">
        <v>3306.8</v>
      </c>
      <c r="S187" s="15">
        <v>0.44</v>
      </c>
      <c r="T187" s="15">
        <v>82.26</v>
      </c>
      <c r="U187" s="15">
        <v>107.32</v>
      </c>
      <c r="V187" s="15">
        <v>595.63</v>
      </c>
      <c r="W187" s="16">
        <v>134.69</v>
      </c>
      <c r="X187" s="31">
        <f>MOD(general_price[[#This Row],[date]], 1)</f>
        <v>0.375</v>
      </c>
      <c r="Y187" s="25" t="str">
        <f t="shared" si="2"/>
        <v/>
      </c>
      <c r="Z187" s="22">
        <v>0</v>
      </c>
      <c r="AA187" s="48">
        <f>general_price[[#This Row],[Battery (Charging) -  MW]]+general_price[[#This Row],[Battery (Discharging) -  MW]]</f>
        <v>26.6</v>
      </c>
      <c r="AB187" s="48">
        <f>general_price[[#This Row],[Pumps -  MW]]+general_price[[#This Row],[Hydro -  MW]]</f>
        <v>72.650000000000006</v>
      </c>
    </row>
    <row r="188" spans="1:28">
      <c r="A188" s="13">
        <v>45853.395833333336</v>
      </c>
      <c r="B188" s="14">
        <v>-5.25</v>
      </c>
      <c r="C188" s="15">
        <v>0</v>
      </c>
      <c r="D188" s="15">
        <v>-83.46</v>
      </c>
      <c r="E188" s="15">
        <v>820.01</v>
      </c>
      <c r="F188" s="15">
        <v>7183.54</v>
      </c>
      <c r="G188" s="15">
        <v>4.5</v>
      </c>
      <c r="H188" s="15">
        <v>448.83</v>
      </c>
      <c r="I188" s="15">
        <v>202.9</v>
      </c>
      <c r="J188" s="15">
        <v>2.73</v>
      </c>
      <c r="K188" s="15">
        <v>0</v>
      </c>
      <c r="L188" s="15">
        <v>1227.52</v>
      </c>
      <c r="M188" s="15">
        <v>1213.27</v>
      </c>
      <c r="N188" s="15">
        <v>716.74</v>
      </c>
      <c r="O188" s="15">
        <v>10.87</v>
      </c>
      <c r="P188" s="15">
        <v>27.39</v>
      </c>
      <c r="Q188" s="15">
        <v>248.32</v>
      </c>
      <c r="R188" s="15">
        <v>3247.14</v>
      </c>
      <c r="S188" s="15">
        <v>0.44</v>
      </c>
      <c r="T188" s="15">
        <v>83.44</v>
      </c>
      <c r="U188" s="15">
        <v>58.04</v>
      </c>
      <c r="V188" s="15">
        <v>577.78</v>
      </c>
      <c r="W188" s="16">
        <v>105.74</v>
      </c>
      <c r="X188" s="31">
        <f>MOD(general_price[[#This Row],[date]], 1)</f>
        <v>0.39583333333575865</v>
      </c>
      <c r="Y188" s="25" t="str">
        <f t="shared" si="2"/>
        <v/>
      </c>
      <c r="Z188" s="22">
        <v>0</v>
      </c>
      <c r="AA188" s="48">
        <f>general_price[[#This Row],[Battery (Charging) -  MW]]+general_price[[#This Row],[Battery (Discharging) -  MW]]</f>
        <v>-2.52</v>
      </c>
      <c r="AB188" s="48">
        <f>general_price[[#This Row],[Pumps -  MW]]+general_price[[#This Row],[Hydro -  MW]]</f>
        <v>0</v>
      </c>
    </row>
    <row r="189" spans="1:28">
      <c r="A189" s="13">
        <v>45853.416666666664</v>
      </c>
      <c r="B189" s="14">
        <v>-2.91</v>
      </c>
      <c r="C189" s="15">
        <v>0</v>
      </c>
      <c r="D189" s="15">
        <v>-58.73</v>
      </c>
      <c r="E189" s="15">
        <v>789.49</v>
      </c>
      <c r="F189" s="15">
        <v>7298.68</v>
      </c>
      <c r="G189" s="15">
        <v>10.39</v>
      </c>
      <c r="H189" s="15">
        <v>449.67</v>
      </c>
      <c r="I189" s="15">
        <v>57.49</v>
      </c>
      <c r="J189" s="15">
        <v>32.299999999999997</v>
      </c>
      <c r="K189" s="15">
        <v>0</v>
      </c>
      <c r="L189" s="15">
        <v>1129.9100000000001</v>
      </c>
      <c r="M189" s="15">
        <v>1122.7</v>
      </c>
      <c r="N189" s="15">
        <v>893.4</v>
      </c>
      <c r="O189" s="15">
        <v>11.25</v>
      </c>
      <c r="P189" s="15">
        <v>19.760000000000002</v>
      </c>
      <c r="Q189" s="15">
        <v>225.24</v>
      </c>
      <c r="R189" s="15">
        <v>3302.52</v>
      </c>
      <c r="S189" s="15">
        <v>0.44</v>
      </c>
      <c r="T189" s="15">
        <v>83.59</v>
      </c>
      <c r="U189" s="15">
        <v>17.010000000000002</v>
      </c>
      <c r="V189" s="15">
        <v>580.69000000000005</v>
      </c>
      <c r="W189" s="16">
        <v>190.2</v>
      </c>
      <c r="X189" s="31">
        <f>MOD(general_price[[#This Row],[date]], 1)</f>
        <v>0.41666666666424135</v>
      </c>
      <c r="Y189" s="25" t="str">
        <f t="shared" si="2"/>
        <v/>
      </c>
      <c r="Z189" s="22">
        <v>0</v>
      </c>
      <c r="AA189" s="48">
        <f>general_price[[#This Row],[Battery (Charging) -  MW]]+general_price[[#This Row],[Battery (Discharging) -  MW]]</f>
        <v>29.389999999999997</v>
      </c>
      <c r="AB189" s="48">
        <f>general_price[[#This Row],[Pumps -  MW]]+general_price[[#This Row],[Hydro -  MW]]</f>
        <v>0</v>
      </c>
    </row>
    <row r="190" spans="1:28">
      <c r="A190" s="13">
        <v>45853.4375</v>
      </c>
      <c r="B190" s="14">
        <v>-3.08</v>
      </c>
      <c r="C190" s="15">
        <v>0</v>
      </c>
      <c r="D190" s="15">
        <v>-187.26</v>
      </c>
      <c r="E190" s="15">
        <v>897.18</v>
      </c>
      <c r="F190" s="15">
        <v>7071.56</v>
      </c>
      <c r="G190" s="15">
        <v>13.03</v>
      </c>
      <c r="H190" s="15">
        <v>448.5</v>
      </c>
      <c r="I190" s="15">
        <v>41.71</v>
      </c>
      <c r="J190" s="15">
        <v>14.56</v>
      </c>
      <c r="K190" s="15">
        <v>0</v>
      </c>
      <c r="L190" s="15">
        <v>1128.6500000000001</v>
      </c>
      <c r="M190" s="15">
        <v>1278.72</v>
      </c>
      <c r="N190" s="15">
        <v>1046.19</v>
      </c>
      <c r="O190" s="15">
        <v>11.48</v>
      </c>
      <c r="P190" s="15">
        <v>60.92</v>
      </c>
      <c r="Q190" s="15">
        <v>261.79000000000002</v>
      </c>
      <c r="R190" s="15">
        <v>3200.2</v>
      </c>
      <c r="S190" s="15">
        <v>0.44</v>
      </c>
      <c r="T190" s="15">
        <v>83.38</v>
      </c>
      <c r="U190" s="15">
        <v>12.56</v>
      </c>
      <c r="V190" s="15">
        <v>561.13</v>
      </c>
      <c r="W190" s="16">
        <v>118.95</v>
      </c>
      <c r="X190" s="31">
        <f>MOD(general_price[[#This Row],[date]], 1)</f>
        <v>0.4375</v>
      </c>
      <c r="Y190" s="25" t="str">
        <f t="shared" si="2"/>
        <v/>
      </c>
      <c r="Z190" s="22">
        <v>0</v>
      </c>
      <c r="AA190" s="48">
        <f>general_price[[#This Row],[Battery (Charging) -  MW]]+general_price[[#This Row],[Battery (Discharging) -  MW]]</f>
        <v>11.48</v>
      </c>
      <c r="AB190" s="48">
        <f>general_price[[#This Row],[Pumps -  MW]]+general_price[[#This Row],[Hydro -  MW]]</f>
        <v>0</v>
      </c>
    </row>
    <row r="191" spans="1:28">
      <c r="A191" s="13">
        <v>45853.458333333336</v>
      </c>
      <c r="B191" s="14">
        <v>-18</v>
      </c>
      <c r="C191" s="15">
        <v>-67.22</v>
      </c>
      <c r="D191" s="15">
        <v>-187.7</v>
      </c>
      <c r="E191" s="15">
        <v>692.13</v>
      </c>
      <c r="F191" s="15">
        <v>6796.41</v>
      </c>
      <c r="G191" s="15">
        <v>10.81</v>
      </c>
      <c r="H191" s="15">
        <v>442.17</v>
      </c>
      <c r="I191" s="15">
        <v>41.62</v>
      </c>
      <c r="J191" s="15">
        <v>186.4</v>
      </c>
      <c r="K191" s="15">
        <v>0</v>
      </c>
      <c r="L191" s="15">
        <v>1198.98</v>
      </c>
      <c r="M191" s="15">
        <v>1638.2</v>
      </c>
      <c r="N191" s="15">
        <v>1204.76</v>
      </c>
      <c r="O191" s="15">
        <v>11.68</v>
      </c>
      <c r="P191" s="15">
        <v>57.22</v>
      </c>
      <c r="Q191" s="15">
        <v>200.57</v>
      </c>
      <c r="R191" s="15">
        <v>3075.56</v>
      </c>
      <c r="S191" s="15">
        <v>0.41</v>
      </c>
      <c r="T191" s="15">
        <v>82.2</v>
      </c>
      <c r="U191" s="15">
        <v>12.53</v>
      </c>
      <c r="V191" s="15">
        <v>531.16999999999996</v>
      </c>
      <c r="W191" s="16">
        <v>100.48</v>
      </c>
      <c r="X191" s="31">
        <f>MOD(general_price[[#This Row],[date]], 1)</f>
        <v>0.45833333333575865</v>
      </c>
      <c r="Y191" s="25" t="str">
        <f t="shared" si="2"/>
        <v/>
      </c>
      <c r="Z191" s="22">
        <v>0</v>
      </c>
      <c r="AA191" s="48">
        <f>general_price[[#This Row],[Battery (Charging) -  MW]]+general_price[[#This Row],[Battery (Discharging) -  MW]]</f>
        <v>168.4</v>
      </c>
      <c r="AB191" s="48">
        <f>general_price[[#This Row],[Pumps -  MW]]+general_price[[#This Row],[Hydro -  MW]]</f>
        <v>-67.22</v>
      </c>
    </row>
    <row r="192" spans="1:28">
      <c r="A192" s="13">
        <v>45853.479166666664</v>
      </c>
      <c r="B192" s="14">
        <v>-36.04</v>
      </c>
      <c r="C192" s="15">
        <v>-80.680000000000007</v>
      </c>
      <c r="D192" s="15">
        <v>-208.57</v>
      </c>
      <c r="E192" s="15">
        <v>770.53</v>
      </c>
      <c r="F192" s="15">
        <v>6706.88</v>
      </c>
      <c r="G192" s="15">
        <v>8.76</v>
      </c>
      <c r="H192" s="15">
        <v>271.83</v>
      </c>
      <c r="I192" s="15">
        <v>41.34</v>
      </c>
      <c r="J192" s="15">
        <v>276.32</v>
      </c>
      <c r="K192" s="15">
        <v>0</v>
      </c>
      <c r="L192" s="15">
        <v>1211.49</v>
      </c>
      <c r="M192" s="15">
        <v>1456.71</v>
      </c>
      <c r="N192" s="15">
        <v>1330.27</v>
      </c>
      <c r="O192" s="15">
        <v>11.91</v>
      </c>
      <c r="P192" s="15">
        <v>64.209999999999994</v>
      </c>
      <c r="Q192" s="15">
        <v>219.38</v>
      </c>
      <c r="R192" s="15">
        <v>3035.64</v>
      </c>
      <c r="S192" s="15">
        <v>0.37</v>
      </c>
      <c r="T192" s="15">
        <v>50.53</v>
      </c>
      <c r="U192" s="15">
        <v>12.45</v>
      </c>
      <c r="V192" s="15">
        <v>527.54</v>
      </c>
      <c r="W192" s="16">
        <v>99.44</v>
      </c>
      <c r="X192" s="31">
        <f>MOD(general_price[[#This Row],[date]], 1)</f>
        <v>0.47916666666424135</v>
      </c>
      <c r="Y192" s="25" t="str">
        <f t="shared" si="2"/>
        <v/>
      </c>
      <c r="Z192" s="22">
        <v>0</v>
      </c>
      <c r="AA192" s="48">
        <f>general_price[[#This Row],[Battery (Charging) -  MW]]+general_price[[#This Row],[Battery (Discharging) -  MW]]</f>
        <v>240.28</v>
      </c>
      <c r="AB192" s="48">
        <f>general_price[[#This Row],[Pumps -  MW]]+general_price[[#This Row],[Hydro -  MW]]</f>
        <v>-80.680000000000007</v>
      </c>
    </row>
    <row r="193" spans="1:28">
      <c r="A193" s="13">
        <v>45853.5</v>
      </c>
      <c r="B193" s="14">
        <v>-171.54</v>
      </c>
      <c r="C193" s="15">
        <v>-80.61</v>
      </c>
      <c r="D193" s="15">
        <v>-262.39999999999998</v>
      </c>
      <c r="E193" s="15">
        <v>752.48</v>
      </c>
      <c r="F193" s="15">
        <v>6683.2</v>
      </c>
      <c r="G193" s="15">
        <v>10.55</v>
      </c>
      <c r="H193" s="15">
        <v>151.83000000000001</v>
      </c>
      <c r="I193" s="15">
        <v>42.69</v>
      </c>
      <c r="J193" s="15">
        <v>140.53</v>
      </c>
      <c r="K193" s="15">
        <v>0</v>
      </c>
      <c r="L193" s="15">
        <v>1184.02</v>
      </c>
      <c r="M193" s="15">
        <v>1517.83</v>
      </c>
      <c r="N193" s="15">
        <v>1531.68</v>
      </c>
      <c r="O193" s="15">
        <v>12.37</v>
      </c>
      <c r="P193" s="15">
        <v>81.36</v>
      </c>
      <c r="Q193" s="15">
        <v>215.16</v>
      </c>
      <c r="R193" s="15">
        <v>3026.7</v>
      </c>
      <c r="S193" s="15">
        <v>0.4</v>
      </c>
      <c r="T193" s="15">
        <v>28.23</v>
      </c>
      <c r="U193" s="15">
        <v>12.85</v>
      </c>
      <c r="V193" s="15">
        <v>533.58000000000004</v>
      </c>
      <c r="W193" s="16">
        <v>99.93</v>
      </c>
      <c r="X193" s="31">
        <f>MOD(general_price[[#This Row],[date]], 1)</f>
        <v>0.5</v>
      </c>
      <c r="Y193" s="25" t="str">
        <f t="shared" si="2"/>
        <v/>
      </c>
      <c r="Z193" s="22">
        <v>0</v>
      </c>
      <c r="AA193" s="48">
        <f>general_price[[#This Row],[Battery (Charging) -  MW]]+general_price[[#This Row],[Battery (Discharging) -  MW]]</f>
        <v>-31.009999999999991</v>
      </c>
      <c r="AB193" s="48">
        <f>general_price[[#This Row],[Pumps -  MW]]+general_price[[#This Row],[Hydro -  MW]]</f>
        <v>-80.61</v>
      </c>
    </row>
    <row r="194" spans="1:28">
      <c r="A194" s="13">
        <v>45853.520833333336</v>
      </c>
      <c r="B194" s="14">
        <v>-335.08</v>
      </c>
      <c r="C194" s="15">
        <v>-80.64</v>
      </c>
      <c r="D194" s="15">
        <v>-311.8</v>
      </c>
      <c r="E194" s="15">
        <v>725.85</v>
      </c>
      <c r="F194" s="15">
        <v>6809.4</v>
      </c>
      <c r="G194" s="15">
        <v>11.8</v>
      </c>
      <c r="H194" s="15">
        <v>199.17</v>
      </c>
      <c r="I194" s="15">
        <v>43.52</v>
      </c>
      <c r="J194" s="15">
        <v>1.1000000000000001</v>
      </c>
      <c r="K194" s="15">
        <v>0</v>
      </c>
      <c r="L194" s="15">
        <v>1205.7</v>
      </c>
      <c r="M194" s="15">
        <v>1423.55</v>
      </c>
      <c r="N194" s="15">
        <v>1862.29</v>
      </c>
      <c r="O194" s="15">
        <v>13.04</v>
      </c>
      <c r="P194" s="15">
        <v>99.96</v>
      </c>
      <c r="Q194" s="15">
        <v>205.33</v>
      </c>
      <c r="R194" s="15">
        <v>3084.84</v>
      </c>
      <c r="S194" s="15">
        <v>0.42</v>
      </c>
      <c r="T194" s="15">
        <v>37.03</v>
      </c>
      <c r="U194" s="15">
        <v>13.1</v>
      </c>
      <c r="V194" s="15">
        <v>542.70000000000005</v>
      </c>
      <c r="W194" s="16">
        <v>103.73</v>
      </c>
      <c r="X194" s="31">
        <f>MOD(general_price[[#This Row],[date]], 1)</f>
        <v>0.52083333333575865</v>
      </c>
      <c r="Y194" s="25" t="str">
        <f t="shared" ref="Y194:Y257" si="3">IF(AND(HOUR(A194)=0,MINUTE(A194)=0),TEXT(A194,"d mmm"),"")</f>
        <v/>
      </c>
      <c r="Z194" s="22">
        <v>0</v>
      </c>
      <c r="AA194" s="48">
        <f>general_price[[#This Row],[Battery (Charging) -  MW]]+general_price[[#This Row],[Battery (Discharging) -  MW]]</f>
        <v>-333.97999999999996</v>
      </c>
      <c r="AB194" s="48">
        <f>general_price[[#This Row],[Pumps -  MW]]+general_price[[#This Row],[Hydro -  MW]]</f>
        <v>-80.64</v>
      </c>
    </row>
    <row r="195" spans="1:28">
      <c r="A195" s="13">
        <v>45853.541666666664</v>
      </c>
      <c r="B195" s="14">
        <v>-295</v>
      </c>
      <c r="C195" s="15">
        <v>-80.47</v>
      </c>
      <c r="D195" s="15">
        <v>-423.77</v>
      </c>
      <c r="E195" s="15">
        <v>594.37</v>
      </c>
      <c r="F195" s="15">
        <v>6867.09</v>
      </c>
      <c r="G195" s="15">
        <v>10.96</v>
      </c>
      <c r="H195" s="15">
        <v>190.17</v>
      </c>
      <c r="I195" s="15">
        <v>43.74</v>
      </c>
      <c r="J195" s="15">
        <v>1.71</v>
      </c>
      <c r="K195" s="15">
        <v>0</v>
      </c>
      <c r="L195" s="15">
        <v>1253.3800000000001</v>
      </c>
      <c r="M195" s="15">
        <v>1435.14</v>
      </c>
      <c r="N195" s="15">
        <v>2085.71</v>
      </c>
      <c r="O195" s="15">
        <v>13.7</v>
      </c>
      <c r="P195" s="15">
        <v>135.18</v>
      </c>
      <c r="Q195" s="15">
        <v>169.57</v>
      </c>
      <c r="R195" s="15">
        <v>3107.15</v>
      </c>
      <c r="S195" s="15">
        <v>0.4</v>
      </c>
      <c r="T195" s="15">
        <v>35.35</v>
      </c>
      <c r="U195" s="15">
        <v>13.17</v>
      </c>
      <c r="V195" s="15">
        <v>540.28</v>
      </c>
      <c r="W195" s="16">
        <v>92.31</v>
      </c>
      <c r="X195" s="31">
        <f>MOD(general_price[[#This Row],[date]], 1)</f>
        <v>0.54166666666424135</v>
      </c>
      <c r="Y195" s="25" t="str">
        <f t="shared" si="3"/>
        <v/>
      </c>
      <c r="Z195" s="22">
        <v>0</v>
      </c>
      <c r="AA195" s="48">
        <f>general_price[[#This Row],[Battery (Charging) -  MW]]+general_price[[#This Row],[Battery (Discharging) -  MW]]</f>
        <v>-293.29000000000002</v>
      </c>
      <c r="AB195" s="48">
        <f>general_price[[#This Row],[Pumps -  MW]]+general_price[[#This Row],[Hydro -  MW]]</f>
        <v>-80.47</v>
      </c>
    </row>
    <row r="196" spans="1:28">
      <c r="A196" s="13">
        <v>45853.5625</v>
      </c>
      <c r="B196" s="14">
        <v>-142.77000000000001</v>
      </c>
      <c r="C196" s="15">
        <v>-80.540000000000006</v>
      </c>
      <c r="D196" s="15">
        <v>-420.83</v>
      </c>
      <c r="E196" s="15">
        <v>554.54</v>
      </c>
      <c r="F196" s="15">
        <v>6861.4</v>
      </c>
      <c r="G196" s="15">
        <v>8.0399999999999991</v>
      </c>
      <c r="H196" s="15">
        <v>190</v>
      </c>
      <c r="I196" s="15">
        <v>44.38</v>
      </c>
      <c r="J196" s="15">
        <v>0.14000000000000001</v>
      </c>
      <c r="K196" s="15">
        <v>0</v>
      </c>
      <c r="L196" s="15">
        <v>1200.22</v>
      </c>
      <c r="M196" s="15">
        <v>1227.99</v>
      </c>
      <c r="N196" s="15">
        <v>2080.25</v>
      </c>
      <c r="O196" s="15">
        <v>13.97</v>
      </c>
      <c r="P196" s="15">
        <v>137.79</v>
      </c>
      <c r="Q196" s="15">
        <v>159.34</v>
      </c>
      <c r="R196" s="15">
        <v>3104.53</v>
      </c>
      <c r="S196" s="15">
        <v>0.38</v>
      </c>
      <c r="T196" s="15">
        <v>35.32</v>
      </c>
      <c r="U196" s="15">
        <v>13.36</v>
      </c>
      <c r="V196" s="15">
        <v>547.36</v>
      </c>
      <c r="W196" s="16">
        <v>90.24</v>
      </c>
      <c r="X196" s="31">
        <f>MOD(general_price[[#This Row],[date]], 1)</f>
        <v>0.5625</v>
      </c>
      <c r="Y196" s="25" t="str">
        <f t="shared" si="3"/>
        <v/>
      </c>
      <c r="Z196" s="22">
        <v>0</v>
      </c>
      <c r="AA196" s="48">
        <f>general_price[[#This Row],[Battery (Charging) -  MW]]+general_price[[#This Row],[Battery (Discharging) -  MW]]</f>
        <v>-142.63000000000002</v>
      </c>
      <c r="AB196" s="48">
        <f>general_price[[#This Row],[Pumps -  MW]]+general_price[[#This Row],[Hydro -  MW]]</f>
        <v>-80.540000000000006</v>
      </c>
    </row>
    <row r="197" spans="1:28">
      <c r="A197" s="13">
        <v>45853.583333333336</v>
      </c>
      <c r="B197" s="14">
        <v>-139.22</v>
      </c>
      <c r="C197" s="15">
        <v>-67.069999999999993</v>
      </c>
      <c r="D197" s="15">
        <v>-325.36</v>
      </c>
      <c r="E197" s="15">
        <v>470.53</v>
      </c>
      <c r="F197" s="15">
        <v>6880.14</v>
      </c>
      <c r="G197" s="15">
        <v>8.73</v>
      </c>
      <c r="H197" s="15">
        <v>190.17</v>
      </c>
      <c r="I197" s="15">
        <v>43.81</v>
      </c>
      <c r="J197" s="15">
        <v>48.38</v>
      </c>
      <c r="K197" s="15">
        <v>0</v>
      </c>
      <c r="L197" s="15">
        <v>1089.4000000000001</v>
      </c>
      <c r="M197" s="15">
        <v>1249.6300000000001</v>
      </c>
      <c r="N197" s="15">
        <v>1862.76</v>
      </c>
      <c r="O197" s="15">
        <v>14.07</v>
      </c>
      <c r="P197" s="15">
        <v>107.29</v>
      </c>
      <c r="Q197" s="15">
        <v>140.97</v>
      </c>
      <c r="R197" s="15">
        <v>3112.88</v>
      </c>
      <c r="S197" s="15">
        <v>0.36</v>
      </c>
      <c r="T197" s="15">
        <v>35.35</v>
      </c>
      <c r="U197" s="15">
        <v>13.19</v>
      </c>
      <c r="V197" s="15">
        <v>559.02</v>
      </c>
      <c r="W197" s="16">
        <v>85.68</v>
      </c>
      <c r="X197" s="31">
        <f>MOD(general_price[[#This Row],[date]], 1)</f>
        <v>0.58333333333575865</v>
      </c>
      <c r="Y197" s="25" t="str">
        <f t="shared" si="3"/>
        <v/>
      </c>
      <c r="Z197" s="22">
        <v>0</v>
      </c>
      <c r="AA197" s="48">
        <f>general_price[[#This Row],[Battery (Charging) -  MW]]+general_price[[#This Row],[Battery (Discharging) -  MW]]</f>
        <v>-90.84</v>
      </c>
      <c r="AB197" s="48">
        <f>general_price[[#This Row],[Pumps -  MW]]+general_price[[#This Row],[Hydro -  MW]]</f>
        <v>-67.069999999999993</v>
      </c>
    </row>
    <row r="198" spans="1:28">
      <c r="A198" s="13">
        <v>45853.604166666664</v>
      </c>
      <c r="B198" s="14">
        <v>-243.01</v>
      </c>
      <c r="C198" s="15">
        <v>0</v>
      </c>
      <c r="D198" s="15">
        <v>-285.54000000000002</v>
      </c>
      <c r="E198" s="15">
        <v>585.94000000000005</v>
      </c>
      <c r="F198" s="15">
        <v>6908.09</v>
      </c>
      <c r="G198" s="15">
        <v>8.48</v>
      </c>
      <c r="H198" s="15">
        <v>190.17</v>
      </c>
      <c r="I198" s="15">
        <v>44.02</v>
      </c>
      <c r="J198" s="15">
        <v>49.75</v>
      </c>
      <c r="K198" s="15">
        <v>0</v>
      </c>
      <c r="L198" s="15">
        <v>1085.81</v>
      </c>
      <c r="M198" s="15">
        <v>1174.49</v>
      </c>
      <c r="N198" s="15">
        <v>1496.72</v>
      </c>
      <c r="O198" s="15">
        <v>14.01</v>
      </c>
      <c r="P198" s="15">
        <v>95.76</v>
      </c>
      <c r="Q198" s="15">
        <v>176.94</v>
      </c>
      <c r="R198" s="15">
        <v>3125.28</v>
      </c>
      <c r="S198" s="15">
        <v>0.36</v>
      </c>
      <c r="T198" s="15">
        <v>35.35</v>
      </c>
      <c r="U198" s="15">
        <v>13.25</v>
      </c>
      <c r="V198" s="15">
        <v>576.35</v>
      </c>
      <c r="W198" s="16">
        <v>85.72</v>
      </c>
      <c r="X198" s="31">
        <f>MOD(general_price[[#This Row],[date]], 1)</f>
        <v>0.60416666666424135</v>
      </c>
      <c r="Y198" s="25" t="str">
        <f t="shared" si="3"/>
        <v/>
      </c>
      <c r="Z198" s="22">
        <v>0</v>
      </c>
      <c r="AA198" s="48">
        <f>general_price[[#This Row],[Battery (Charging) -  MW]]+general_price[[#This Row],[Battery (Discharging) -  MW]]</f>
        <v>-193.26</v>
      </c>
      <c r="AB198" s="48">
        <f>general_price[[#This Row],[Pumps -  MW]]+general_price[[#This Row],[Hydro -  MW]]</f>
        <v>0</v>
      </c>
    </row>
    <row r="199" spans="1:28">
      <c r="A199" s="13">
        <v>45853.625</v>
      </c>
      <c r="B199" s="14">
        <v>-169.84</v>
      </c>
      <c r="C199" s="15">
        <v>0</v>
      </c>
      <c r="D199" s="15">
        <v>-1.7</v>
      </c>
      <c r="E199" s="15">
        <v>329.01</v>
      </c>
      <c r="F199" s="15">
        <v>6977.79</v>
      </c>
      <c r="G199" s="15">
        <v>8.2899999999999991</v>
      </c>
      <c r="H199" s="15">
        <v>198.17</v>
      </c>
      <c r="I199" s="15">
        <v>43.92</v>
      </c>
      <c r="J199" s="15">
        <v>18.43</v>
      </c>
      <c r="K199" s="15">
        <v>0</v>
      </c>
      <c r="L199" s="15">
        <v>1100.31</v>
      </c>
      <c r="M199" s="15">
        <v>1044.1500000000001</v>
      </c>
      <c r="N199" s="15">
        <v>1198.3900000000001</v>
      </c>
      <c r="O199" s="15">
        <v>13.9</v>
      </c>
      <c r="P199" s="15">
        <v>0.57999999999999996</v>
      </c>
      <c r="Q199" s="15">
        <v>102</v>
      </c>
      <c r="R199" s="15">
        <v>3160.29</v>
      </c>
      <c r="S199" s="15">
        <v>0.36</v>
      </c>
      <c r="T199" s="15">
        <v>36.840000000000003</v>
      </c>
      <c r="U199" s="15">
        <v>13.22</v>
      </c>
      <c r="V199" s="15">
        <v>597.51</v>
      </c>
      <c r="W199" s="16">
        <v>93.83</v>
      </c>
      <c r="X199" s="31">
        <f>MOD(general_price[[#This Row],[date]], 1)</f>
        <v>0.625</v>
      </c>
      <c r="Y199" s="25" t="str">
        <f t="shared" si="3"/>
        <v/>
      </c>
      <c r="Z199" s="22">
        <v>0</v>
      </c>
      <c r="AA199" s="48">
        <f>general_price[[#This Row],[Battery (Charging) -  MW]]+general_price[[#This Row],[Battery (Discharging) -  MW]]</f>
        <v>-151.41</v>
      </c>
      <c r="AB199" s="48">
        <f>general_price[[#This Row],[Pumps -  MW]]+general_price[[#This Row],[Hydro -  MW]]</f>
        <v>0</v>
      </c>
    </row>
    <row r="200" spans="1:28">
      <c r="A200" s="13">
        <v>45853.645833333336</v>
      </c>
      <c r="B200" s="14">
        <v>-166.03</v>
      </c>
      <c r="C200" s="15">
        <v>0</v>
      </c>
      <c r="D200" s="15">
        <v>-22.01</v>
      </c>
      <c r="E200" s="15">
        <v>441.79</v>
      </c>
      <c r="F200" s="15">
        <v>7024.53</v>
      </c>
      <c r="G200" s="15">
        <v>8.23</v>
      </c>
      <c r="H200" s="15">
        <v>317.17</v>
      </c>
      <c r="I200" s="15">
        <v>43.44</v>
      </c>
      <c r="J200" s="15">
        <v>144.30000000000001</v>
      </c>
      <c r="K200" s="15">
        <v>48.93</v>
      </c>
      <c r="L200" s="15">
        <v>1028.5</v>
      </c>
      <c r="M200" s="15">
        <v>866.41</v>
      </c>
      <c r="N200" s="15">
        <v>916.53</v>
      </c>
      <c r="O200" s="15">
        <v>13.7</v>
      </c>
      <c r="P200" s="15">
        <v>7.56</v>
      </c>
      <c r="Q200" s="15">
        <v>141.82</v>
      </c>
      <c r="R200" s="15">
        <v>3181.98</v>
      </c>
      <c r="S200" s="15">
        <v>0.36</v>
      </c>
      <c r="T200" s="15">
        <v>58.96</v>
      </c>
      <c r="U200" s="15">
        <v>13.08</v>
      </c>
      <c r="V200" s="15">
        <v>611.04999999999995</v>
      </c>
      <c r="W200" s="16">
        <v>85.8</v>
      </c>
      <c r="X200" s="31">
        <f>MOD(general_price[[#This Row],[date]], 1)</f>
        <v>0.64583333333575865</v>
      </c>
      <c r="Y200" s="25" t="str">
        <f t="shared" si="3"/>
        <v/>
      </c>
      <c r="Z200" s="22">
        <v>0</v>
      </c>
      <c r="AA200" s="48">
        <f>general_price[[#This Row],[Battery (Charging) -  MW]]+general_price[[#This Row],[Battery (Discharging) -  MW]]</f>
        <v>-21.72999999999999</v>
      </c>
      <c r="AB200" s="48">
        <f>general_price[[#This Row],[Pumps -  MW]]+general_price[[#This Row],[Hydro -  MW]]</f>
        <v>48.93</v>
      </c>
    </row>
    <row r="201" spans="1:28">
      <c r="A201" s="13">
        <v>45853.666666666664</v>
      </c>
      <c r="B201" s="14">
        <v>-115.04</v>
      </c>
      <c r="C201" s="15">
        <v>0</v>
      </c>
      <c r="D201" s="15">
        <v>-14.79</v>
      </c>
      <c r="E201" s="15">
        <v>426.04</v>
      </c>
      <c r="F201" s="15">
        <v>7192.34</v>
      </c>
      <c r="G201" s="15">
        <v>5.2</v>
      </c>
      <c r="H201" s="15">
        <v>447.5</v>
      </c>
      <c r="I201" s="15">
        <v>87.34</v>
      </c>
      <c r="J201" s="15">
        <v>18.46</v>
      </c>
      <c r="K201" s="15">
        <v>369.14</v>
      </c>
      <c r="L201" s="15">
        <v>1116.44</v>
      </c>
      <c r="M201" s="15">
        <v>636.95000000000005</v>
      </c>
      <c r="N201" s="15">
        <v>585.77</v>
      </c>
      <c r="O201" s="15">
        <v>13.35</v>
      </c>
      <c r="P201" s="15">
        <v>5.04</v>
      </c>
      <c r="Q201" s="15">
        <v>140.66999999999999</v>
      </c>
      <c r="R201" s="15">
        <v>3256.93</v>
      </c>
      <c r="S201" s="15">
        <v>0.41</v>
      </c>
      <c r="T201" s="15">
        <v>83.19</v>
      </c>
      <c r="U201" s="15">
        <v>25.77</v>
      </c>
      <c r="V201" s="15">
        <v>625.98</v>
      </c>
      <c r="W201" s="16">
        <v>122.68</v>
      </c>
      <c r="X201" s="31">
        <f>MOD(general_price[[#This Row],[date]], 1)</f>
        <v>0.66666666666424135</v>
      </c>
      <c r="Y201" s="25" t="str">
        <f t="shared" si="3"/>
        <v/>
      </c>
      <c r="Z201" s="22">
        <v>0</v>
      </c>
      <c r="AA201" s="48">
        <f>general_price[[#This Row],[Battery (Charging) -  MW]]+general_price[[#This Row],[Battery (Discharging) -  MW]]</f>
        <v>-96.580000000000013</v>
      </c>
      <c r="AB201" s="48">
        <f>general_price[[#This Row],[Pumps -  MW]]+general_price[[#This Row],[Hydro -  MW]]</f>
        <v>369.14</v>
      </c>
    </row>
    <row r="202" spans="1:28">
      <c r="A202" s="13">
        <v>45853.6875</v>
      </c>
      <c r="B202" s="14">
        <v>-60.62</v>
      </c>
      <c r="C202" s="15">
        <v>0</v>
      </c>
      <c r="D202" s="15">
        <v>-169.46</v>
      </c>
      <c r="E202" s="15">
        <v>456.03</v>
      </c>
      <c r="F202" s="15">
        <v>7361.76</v>
      </c>
      <c r="G202" s="15">
        <v>-2.56</v>
      </c>
      <c r="H202" s="15">
        <v>450</v>
      </c>
      <c r="I202" s="15">
        <v>435.09</v>
      </c>
      <c r="J202" s="15">
        <v>126.24</v>
      </c>
      <c r="K202" s="15">
        <v>658.29</v>
      </c>
      <c r="L202" s="15">
        <v>1114.25</v>
      </c>
      <c r="M202" s="15">
        <v>384.5</v>
      </c>
      <c r="N202" s="15">
        <v>329.56</v>
      </c>
      <c r="O202" s="15">
        <v>13.12</v>
      </c>
      <c r="P202" s="15">
        <v>57.09</v>
      </c>
      <c r="Q202" s="15">
        <v>151.38999999999999</v>
      </c>
      <c r="R202" s="15">
        <v>3333.87</v>
      </c>
      <c r="S202" s="15">
        <v>0.44</v>
      </c>
      <c r="T202" s="15">
        <v>83.66</v>
      </c>
      <c r="U202" s="15">
        <v>143.53</v>
      </c>
      <c r="V202" s="15">
        <v>642.69000000000005</v>
      </c>
      <c r="W202" s="16">
        <v>137.57</v>
      </c>
      <c r="X202" s="31">
        <f>MOD(general_price[[#This Row],[date]], 1)</f>
        <v>0.6875</v>
      </c>
      <c r="Y202" s="25" t="str">
        <f t="shared" si="3"/>
        <v/>
      </c>
      <c r="Z202" s="22">
        <v>0</v>
      </c>
      <c r="AA202" s="48">
        <f>general_price[[#This Row],[Battery (Charging) -  MW]]+general_price[[#This Row],[Battery (Discharging) -  MW]]</f>
        <v>65.62</v>
      </c>
      <c r="AB202" s="48">
        <f>general_price[[#This Row],[Pumps -  MW]]+general_price[[#This Row],[Hydro -  MW]]</f>
        <v>658.29</v>
      </c>
    </row>
    <row r="203" spans="1:28">
      <c r="A203" s="13">
        <v>45853.708333333336</v>
      </c>
      <c r="B203" s="14">
        <v>-96.48</v>
      </c>
      <c r="C203" s="15">
        <v>0</v>
      </c>
      <c r="D203" s="15">
        <v>-60.01</v>
      </c>
      <c r="E203" s="15">
        <v>467.9</v>
      </c>
      <c r="F203" s="15">
        <v>7430.85</v>
      </c>
      <c r="G203" s="15">
        <v>-1.78</v>
      </c>
      <c r="H203" s="15">
        <v>449.33</v>
      </c>
      <c r="I203" s="15">
        <v>861.28</v>
      </c>
      <c r="J203" s="15">
        <v>116.18</v>
      </c>
      <c r="K203" s="15">
        <v>975.56</v>
      </c>
      <c r="L203" s="15">
        <v>1027.3699999999999</v>
      </c>
      <c r="M203" s="15">
        <v>98.8</v>
      </c>
      <c r="N203" s="15">
        <v>103.2</v>
      </c>
      <c r="O203" s="15">
        <v>12.91</v>
      </c>
      <c r="P203" s="15">
        <v>20.22</v>
      </c>
      <c r="Q203" s="15">
        <v>162.29</v>
      </c>
      <c r="R203" s="15">
        <v>3364.95</v>
      </c>
      <c r="S203" s="15">
        <v>0.42</v>
      </c>
      <c r="T203" s="15">
        <v>83.53</v>
      </c>
      <c r="U203" s="15">
        <v>278.37</v>
      </c>
      <c r="V203" s="15">
        <v>655.51</v>
      </c>
      <c r="W203" s="16">
        <v>175.84</v>
      </c>
      <c r="X203" s="31">
        <f>MOD(general_price[[#This Row],[date]], 1)</f>
        <v>0.70833333333575865</v>
      </c>
      <c r="Y203" s="25" t="str">
        <f t="shared" si="3"/>
        <v/>
      </c>
      <c r="Z203" s="22">
        <v>0</v>
      </c>
      <c r="AA203" s="48">
        <f>general_price[[#This Row],[Battery (Charging) -  MW]]+general_price[[#This Row],[Battery (Discharging) -  MW]]</f>
        <v>19.700000000000003</v>
      </c>
      <c r="AB203" s="48">
        <f>general_price[[#This Row],[Pumps -  MW]]+general_price[[#This Row],[Hydro -  MW]]</f>
        <v>975.56</v>
      </c>
    </row>
    <row r="204" spans="1:28">
      <c r="A204" s="13">
        <v>45853.729166666664</v>
      </c>
      <c r="B204" s="14">
        <v>-133.13999999999999</v>
      </c>
      <c r="C204" s="15">
        <v>0</v>
      </c>
      <c r="D204" s="15">
        <v>0</v>
      </c>
      <c r="E204" s="15">
        <v>569.89</v>
      </c>
      <c r="F204" s="15">
        <v>7425.79</v>
      </c>
      <c r="G204" s="15">
        <v>-2.58</v>
      </c>
      <c r="H204" s="15">
        <v>451.67</v>
      </c>
      <c r="I204" s="15">
        <v>1037.73</v>
      </c>
      <c r="J204" s="15">
        <v>186.82</v>
      </c>
      <c r="K204" s="15">
        <v>1210.01</v>
      </c>
      <c r="L204" s="15">
        <v>1008.6</v>
      </c>
      <c r="M204" s="15">
        <v>6.32</v>
      </c>
      <c r="N204" s="15">
        <v>11.91</v>
      </c>
      <c r="O204" s="15">
        <v>12.65</v>
      </c>
      <c r="P204" s="15">
        <v>0</v>
      </c>
      <c r="Q204" s="15">
        <v>209.49</v>
      </c>
      <c r="R204" s="15">
        <v>3363.85</v>
      </c>
      <c r="S204" s="15">
        <v>0.41</v>
      </c>
      <c r="T204" s="15">
        <v>83.97</v>
      </c>
      <c r="U204" s="15">
        <v>327.92</v>
      </c>
      <c r="V204" s="15">
        <v>641.49</v>
      </c>
      <c r="W204" s="16">
        <v>208.37</v>
      </c>
      <c r="X204" s="31">
        <f>MOD(general_price[[#This Row],[date]], 1)</f>
        <v>0.72916666666424135</v>
      </c>
      <c r="Y204" s="25" t="str">
        <f t="shared" si="3"/>
        <v/>
      </c>
      <c r="Z204" s="22">
        <v>0</v>
      </c>
      <c r="AA204" s="48">
        <f>general_price[[#This Row],[Battery (Charging) -  MW]]+general_price[[#This Row],[Battery (Discharging) -  MW]]</f>
        <v>53.680000000000007</v>
      </c>
      <c r="AB204" s="48">
        <f>general_price[[#This Row],[Pumps -  MW]]+general_price[[#This Row],[Hydro -  MW]]</f>
        <v>1210.01</v>
      </c>
    </row>
    <row r="205" spans="1:28">
      <c r="A205" s="13">
        <v>45853.75</v>
      </c>
      <c r="B205" s="14">
        <v>-5.15</v>
      </c>
      <c r="C205" s="15">
        <v>0</v>
      </c>
      <c r="D205" s="15">
        <v>0</v>
      </c>
      <c r="E205" s="15">
        <v>1059.2</v>
      </c>
      <c r="F205" s="15">
        <v>7285.92</v>
      </c>
      <c r="G205" s="15">
        <v>-2.46</v>
      </c>
      <c r="H205" s="15">
        <v>450.33</v>
      </c>
      <c r="I205" s="15">
        <v>1035.6199999999999</v>
      </c>
      <c r="J205" s="15">
        <v>172.06</v>
      </c>
      <c r="K205" s="15">
        <v>1262.2</v>
      </c>
      <c r="L205" s="15">
        <v>1065.6500000000001</v>
      </c>
      <c r="M205" s="15">
        <v>0.03</v>
      </c>
      <c r="N205" s="15">
        <v>0.11</v>
      </c>
      <c r="O205" s="15">
        <v>12.59</v>
      </c>
      <c r="P205" s="15">
        <v>0</v>
      </c>
      <c r="Q205" s="15">
        <v>379.8</v>
      </c>
      <c r="R205" s="15">
        <v>3301.45</v>
      </c>
      <c r="S205" s="15">
        <v>0.41</v>
      </c>
      <c r="T205" s="15">
        <v>83.72</v>
      </c>
      <c r="U205" s="15">
        <v>327.14</v>
      </c>
      <c r="V205" s="15">
        <v>602.54</v>
      </c>
      <c r="W205" s="16">
        <v>269.77999999999997</v>
      </c>
      <c r="X205" s="31">
        <f>MOD(general_price[[#This Row],[date]], 1)</f>
        <v>0.75</v>
      </c>
      <c r="Y205" s="25" t="str">
        <f t="shared" si="3"/>
        <v/>
      </c>
      <c r="Z205" s="22">
        <v>0</v>
      </c>
      <c r="AA205" s="48">
        <f>general_price[[#This Row],[Battery (Charging) -  MW]]+general_price[[#This Row],[Battery (Discharging) -  MW]]</f>
        <v>166.91</v>
      </c>
      <c r="AB205" s="48">
        <f>general_price[[#This Row],[Pumps -  MW]]+general_price[[#This Row],[Hydro -  MW]]</f>
        <v>1262.2</v>
      </c>
    </row>
    <row r="206" spans="1:28">
      <c r="A206" s="13">
        <v>45853.770833333336</v>
      </c>
      <c r="B206" s="14">
        <v>-5.62</v>
      </c>
      <c r="C206" s="15">
        <v>0</v>
      </c>
      <c r="D206" s="15">
        <v>0</v>
      </c>
      <c r="E206" s="15">
        <v>1077.56</v>
      </c>
      <c r="F206" s="15">
        <v>7043.9</v>
      </c>
      <c r="G206" s="15">
        <v>-1.97</v>
      </c>
      <c r="H206" s="15">
        <v>451.83</v>
      </c>
      <c r="I206" s="15">
        <v>1038.24</v>
      </c>
      <c r="J206" s="15">
        <v>228.5</v>
      </c>
      <c r="K206" s="15">
        <v>1389.42</v>
      </c>
      <c r="L206" s="15">
        <v>1164.3399999999999</v>
      </c>
      <c r="M206" s="15">
        <v>0.03</v>
      </c>
      <c r="N206" s="15">
        <v>0</v>
      </c>
      <c r="O206" s="15">
        <v>12.5</v>
      </c>
      <c r="P206" s="15">
        <v>0</v>
      </c>
      <c r="Q206" s="15">
        <v>387.46</v>
      </c>
      <c r="R206" s="15">
        <v>3192.78</v>
      </c>
      <c r="S206" s="15">
        <v>0.41</v>
      </c>
      <c r="T206" s="15">
        <v>84</v>
      </c>
      <c r="U206" s="15">
        <v>328.07</v>
      </c>
      <c r="V206" s="15">
        <v>582.14</v>
      </c>
      <c r="W206" s="16">
        <v>203.88</v>
      </c>
      <c r="X206" s="31">
        <f>MOD(general_price[[#This Row],[date]], 1)</f>
        <v>0.77083333333575865</v>
      </c>
      <c r="Y206" s="25" t="str">
        <f t="shared" si="3"/>
        <v/>
      </c>
      <c r="Z206" s="22">
        <v>0</v>
      </c>
      <c r="AA206" s="48">
        <f>general_price[[#This Row],[Battery (Charging) -  MW]]+general_price[[#This Row],[Battery (Discharging) -  MW]]</f>
        <v>222.88</v>
      </c>
      <c r="AB206" s="48">
        <f>general_price[[#This Row],[Pumps -  MW]]+general_price[[#This Row],[Hydro -  MW]]</f>
        <v>1389.42</v>
      </c>
    </row>
    <row r="207" spans="1:28">
      <c r="A207" s="13">
        <v>45853.791666666664</v>
      </c>
      <c r="B207" s="14">
        <v>-6.27</v>
      </c>
      <c r="C207" s="15">
        <v>0</v>
      </c>
      <c r="D207" s="15">
        <v>0</v>
      </c>
      <c r="E207" s="15">
        <v>1066.77</v>
      </c>
      <c r="F207" s="15">
        <v>7031.93</v>
      </c>
      <c r="G207" s="15">
        <v>-2.2599999999999998</v>
      </c>
      <c r="H207" s="15">
        <v>450.83</v>
      </c>
      <c r="I207" s="15">
        <v>1037.17</v>
      </c>
      <c r="J207" s="15">
        <v>115.27</v>
      </c>
      <c r="K207" s="15">
        <v>1339.39</v>
      </c>
      <c r="L207" s="15">
        <v>1239.46</v>
      </c>
      <c r="M207" s="15">
        <v>0.03</v>
      </c>
      <c r="N207" s="15">
        <v>0</v>
      </c>
      <c r="O207" s="15">
        <v>12.31</v>
      </c>
      <c r="P207" s="15">
        <v>0</v>
      </c>
      <c r="Q207" s="15">
        <v>379.13</v>
      </c>
      <c r="R207" s="15">
        <v>3186.75</v>
      </c>
      <c r="S207" s="15">
        <v>0.42</v>
      </c>
      <c r="T207" s="15">
        <v>83.81</v>
      </c>
      <c r="U207" s="15">
        <v>327.58999999999997</v>
      </c>
      <c r="V207" s="15">
        <v>586.45000000000005</v>
      </c>
      <c r="W207" s="16">
        <v>153.72</v>
      </c>
      <c r="X207" s="31">
        <f>MOD(general_price[[#This Row],[date]], 1)</f>
        <v>0.79166666666424135</v>
      </c>
      <c r="Y207" s="25" t="str">
        <f t="shared" si="3"/>
        <v/>
      </c>
      <c r="Z207" s="22">
        <v>0</v>
      </c>
      <c r="AA207" s="48">
        <f>general_price[[#This Row],[Battery (Charging) -  MW]]+general_price[[#This Row],[Battery (Discharging) -  MW]]</f>
        <v>109</v>
      </c>
      <c r="AB207" s="48">
        <f>general_price[[#This Row],[Pumps -  MW]]+general_price[[#This Row],[Hydro -  MW]]</f>
        <v>1339.39</v>
      </c>
    </row>
    <row r="208" spans="1:28">
      <c r="A208" s="13">
        <v>45853.8125</v>
      </c>
      <c r="B208" s="14">
        <v>-17.82</v>
      </c>
      <c r="C208" s="15">
        <v>0</v>
      </c>
      <c r="D208" s="15">
        <v>0</v>
      </c>
      <c r="E208" s="15">
        <v>1049.43</v>
      </c>
      <c r="F208" s="15">
        <v>7010.03</v>
      </c>
      <c r="G208" s="15">
        <v>-1.56</v>
      </c>
      <c r="H208" s="15">
        <v>450.83</v>
      </c>
      <c r="I208" s="15">
        <v>1036</v>
      </c>
      <c r="J208" s="15">
        <v>26.49</v>
      </c>
      <c r="K208" s="15">
        <v>1225.48</v>
      </c>
      <c r="L208" s="15">
        <v>1337.7</v>
      </c>
      <c r="M208" s="15">
        <v>0.03</v>
      </c>
      <c r="N208" s="15">
        <v>0</v>
      </c>
      <c r="O208" s="15">
        <v>12.01</v>
      </c>
      <c r="P208" s="15">
        <v>0</v>
      </c>
      <c r="Q208" s="15">
        <v>367.82</v>
      </c>
      <c r="R208" s="15">
        <v>3177.02</v>
      </c>
      <c r="S208" s="15">
        <v>0.43</v>
      </c>
      <c r="T208" s="15">
        <v>83.81</v>
      </c>
      <c r="U208" s="15">
        <v>327.32</v>
      </c>
      <c r="V208" s="15">
        <v>592.34</v>
      </c>
      <c r="W208" s="16">
        <v>193.27</v>
      </c>
      <c r="X208" s="31">
        <f>MOD(general_price[[#This Row],[date]], 1)</f>
        <v>0.8125</v>
      </c>
      <c r="Y208" s="25" t="str">
        <f t="shared" si="3"/>
        <v/>
      </c>
      <c r="Z208" s="22">
        <v>0</v>
      </c>
      <c r="AA208" s="48">
        <f>general_price[[#This Row],[Battery (Charging) -  MW]]+general_price[[#This Row],[Battery (Discharging) -  MW]]</f>
        <v>8.6699999999999982</v>
      </c>
      <c r="AB208" s="48">
        <f>general_price[[#This Row],[Pumps -  MW]]+general_price[[#This Row],[Hydro -  MW]]</f>
        <v>1225.48</v>
      </c>
    </row>
    <row r="209" spans="1:28">
      <c r="A209" s="13">
        <v>45853.833333333336</v>
      </c>
      <c r="B209" s="14">
        <v>-12.74</v>
      </c>
      <c r="C209" s="15">
        <v>0</v>
      </c>
      <c r="D209" s="15">
        <v>0</v>
      </c>
      <c r="E209" s="15">
        <v>996.45</v>
      </c>
      <c r="F209" s="15">
        <v>6974.25</v>
      </c>
      <c r="G209" s="15">
        <v>-2.63</v>
      </c>
      <c r="H209" s="15">
        <v>453</v>
      </c>
      <c r="I209" s="15">
        <v>1028.56</v>
      </c>
      <c r="J209" s="15">
        <v>2.1800000000000002</v>
      </c>
      <c r="K209" s="15">
        <v>1143.6500000000001</v>
      </c>
      <c r="L209" s="15">
        <v>1383.15</v>
      </c>
      <c r="M209" s="15">
        <v>0.03</v>
      </c>
      <c r="N209" s="15">
        <v>0</v>
      </c>
      <c r="O209" s="15">
        <v>11.55</v>
      </c>
      <c r="P209" s="15">
        <v>0</v>
      </c>
      <c r="Q209" s="15">
        <v>348.18</v>
      </c>
      <c r="R209" s="15">
        <v>3161.09</v>
      </c>
      <c r="S209" s="15">
        <v>0.42</v>
      </c>
      <c r="T209" s="15">
        <v>84.21</v>
      </c>
      <c r="U209" s="15">
        <v>325.5</v>
      </c>
      <c r="V209" s="15">
        <v>596.9</v>
      </c>
      <c r="W209" s="16">
        <v>146.05000000000001</v>
      </c>
      <c r="X209" s="31">
        <f>MOD(general_price[[#This Row],[date]], 1)</f>
        <v>0.83333333333575865</v>
      </c>
      <c r="Y209" s="25" t="str">
        <f t="shared" si="3"/>
        <v/>
      </c>
      <c r="Z209" s="22">
        <v>0</v>
      </c>
      <c r="AA209" s="48">
        <f>general_price[[#This Row],[Battery (Charging) -  MW]]+general_price[[#This Row],[Battery (Discharging) -  MW]]</f>
        <v>-10.56</v>
      </c>
      <c r="AB209" s="48">
        <f>general_price[[#This Row],[Pumps -  MW]]+general_price[[#This Row],[Hydro -  MW]]</f>
        <v>1143.6500000000001</v>
      </c>
    </row>
    <row r="210" spans="1:28">
      <c r="A210" s="13">
        <v>45853.854166666664</v>
      </c>
      <c r="B210" s="14">
        <v>-8.18</v>
      </c>
      <c r="C210" s="15">
        <v>0</v>
      </c>
      <c r="D210" s="15">
        <v>0</v>
      </c>
      <c r="E210" s="15">
        <v>959.99</v>
      </c>
      <c r="F210" s="15">
        <v>7001.03</v>
      </c>
      <c r="G210" s="15">
        <v>-2.11</v>
      </c>
      <c r="H210" s="15">
        <v>454.33</v>
      </c>
      <c r="I210" s="15">
        <v>1028.19</v>
      </c>
      <c r="J210" s="15">
        <v>51.99</v>
      </c>
      <c r="K210" s="15">
        <v>1059.47</v>
      </c>
      <c r="L210" s="15">
        <v>1214.76</v>
      </c>
      <c r="M210" s="15">
        <v>0.03</v>
      </c>
      <c r="N210" s="15">
        <v>0</v>
      </c>
      <c r="O210" s="15">
        <v>11.14</v>
      </c>
      <c r="P210" s="15">
        <v>0</v>
      </c>
      <c r="Q210" s="15">
        <v>330.18</v>
      </c>
      <c r="R210" s="15">
        <v>3174.39</v>
      </c>
      <c r="S210" s="15">
        <v>0.43</v>
      </c>
      <c r="T210" s="15">
        <v>84.46</v>
      </c>
      <c r="U210" s="15">
        <v>325.42</v>
      </c>
      <c r="V210" s="15">
        <v>609.66999999999996</v>
      </c>
      <c r="W210" s="16">
        <v>128.78</v>
      </c>
      <c r="X210" s="31">
        <f>MOD(general_price[[#This Row],[date]], 1)</f>
        <v>0.85416666666424135</v>
      </c>
      <c r="Y210" s="25" t="str">
        <f t="shared" si="3"/>
        <v/>
      </c>
      <c r="Z210" s="22">
        <v>0</v>
      </c>
      <c r="AA210" s="48">
        <f>general_price[[#This Row],[Battery (Charging) -  MW]]+general_price[[#This Row],[Battery (Discharging) -  MW]]</f>
        <v>43.81</v>
      </c>
      <c r="AB210" s="48">
        <f>general_price[[#This Row],[Pumps -  MW]]+general_price[[#This Row],[Hydro -  MW]]</f>
        <v>1059.47</v>
      </c>
    </row>
    <row r="211" spans="1:28">
      <c r="A211" s="13">
        <v>45853.875</v>
      </c>
      <c r="B211" s="14">
        <v>-6.76</v>
      </c>
      <c r="C211" s="15">
        <v>0</v>
      </c>
      <c r="D211" s="15">
        <v>0</v>
      </c>
      <c r="E211" s="15">
        <v>823.84</v>
      </c>
      <c r="F211" s="15">
        <v>6981.95</v>
      </c>
      <c r="G211" s="15">
        <v>-2.66</v>
      </c>
      <c r="H211" s="15">
        <v>454.33</v>
      </c>
      <c r="I211" s="15">
        <v>998.64</v>
      </c>
      <c r="J211" s="15">
        <v>38.4</v>
      </c>
      <c r="K211" s="15">
        <v>927.6</v>
      </c>
      <c r="L211" s="15">
        <v>1100</v>
      </c>
      <c r="M211" s="15">
        <v>0.03</v>
      </c>
      <c r="N211" s="15">
        <v>0</v>
      </c>
      <c r="O211" s="15">
        <v>10.84</v>
      </c>
      <c r="P211" s="15">
        <v>0</v>
      </c>
      <c r="Q211" s="15">
        <v>284.25</v>
      </c>
      <c r="R211" s="15">
        <v>3165.74</v>
      </c>
      <c r="S211" s="15">
        <v>0.4</v>
      </c>
      <c r="T211" s="15">
        <v>84.46</v>
      </c>
      <c r="U211" s="15">
        <v>314.93</v>
      </c>
      <c r="V211" s="15">
        <v>630.21</v>
      </c>
      <c r="W211" s="16">
        <v>153.12</v>
      </c>
      <c r="X211" s="31">
        <f>MOD(general_price[[#This Row],[date]], 1)</f>
        <v>0.875</v>
      </c>
      <c r="Y211" s="25" t="str">
        <f t="shared" si="3"/>
        <v/>
      </c>
      <c r="Z211" s="22">
        <v>0</v>
      </c>
      <c r="AA211" s="48">
        <f>general_price[[#This Row],[Battery (Charging) -  MW]]+general_price[[#This Row],[Battery (Discharging) -  MW]]</f>
        <v>31.64</v>
      </c>
      <c r="AB211" s="48">
        <f>general_price[[#This Row],[Pumps -  MW]]+general_price[[#This Row],[Hydro -  MW]]</f>
        <v>927.6</v>
      </c>
    </row>
    <row r="212" spans="1:28">
      <c r="A212" s="13">
        <v>45853.895833333336</v>
      </c>
      <c r="B212" s="14">
        <v>-13.72</v>
      </c>
      <c r="C212" s="15">
        <v>0</v>
      </c>
      <c r="D212" s="15">
        <v>0</v>
      </c>
      <c r="E212" s="15">
        <v>826.52</v>
      </c>
      <c r="F212" s="15">
        <v>6969.56</v>
      </c>
      <c r="G212" s="15">
        <v>-2.46</v>
      </c>
      <c r="H212" s="15">
        <v>453</v>
      </c>
      <c r="I212" s="15">
        <v>656.22</v>
      </c>
      <c r="J212" s="15">
        <v>9.33</v>
      </c>
      <c r="K212" s="15">
        <v>870.78</v>
      </c>
      <c r="L212" s="15">
        <v>983.93</v>
      </c>
      <c r="M212" s="15">
        <v>0.03</v>
      </c>
      <c r="N212" s="15">
        <v>0</v>
      </c>
      <c r="O212" s="15">
        <v>10.7</v>
      </c>
      <c r="P212" s="15">
        <v>0</v>
      </c>
      <c r="Q212" s="15">
        <v>282.54000000000002</v>
      </c>
      <c r="R212" s="15">
        <v>3160.4</v>
      </c>
      <c r="S212" s="15">
        <v>0.43</v>
      </c>
      <c r="T212" s="15">
        <v>84.21</v>
      </c>
      <c r="U212" s="15">
        <v>187.15</v>
      </c>
      <c r="V212" s="15">
        <v>638.36</v>
      </c>
      <c r="W212" s="16">
        <v>163.04</v>
      </c>
      <c r="X212" s="31">
        <f>MOD(general_price[[#This Row],[date]], 1)</f>
        <v>0.89583333333575865</v>
      </c>
      <c r="Y212" s="25" t="str">
        <f t="shared" si="3"/>
        <v/>
      </c>
      <c r="Z212" s="22">
        <v>0</v>
      </c>
      <c r="AA212" s="48">
        <f>general_price[[#This Row],[Battery (Charging) -  MW]]+general_price[[#This Row],[Battery (Discharging) -  MW]]</f>
        <v>-4.3900000000000006</v>
      </c>
      <c r="AB212" s="48">
        <f>general_price[[#This Row],[Pumps -  MW]]+general_price[[#This Row],[Hydro -  MW]]</f>
        <v>870.78</v>
      </c>
    </row>
    <row r="213" spans="1:28">
      <c r="A213" s="13">
        <v>45853.916666666664</v>
      </c>
      <c r="B213" s="14">
        <v>-14.12</v>
      </c>
      <c r="C213" s="15">
        <v>0</v>
      </c>
      <c r="D213" s="15">
        <v>0</v>
      </c>
      <c r="E213" s="15">
        <v>839.63</v>
      </c>
      <c r="F213" s="15">
        <v>6924.38</v>
      </c>
      <c r="G213" s="15">
        <v>-1.59</v>
      </c>
      <c r="H213" s="15">
        <v>430.83</v>
      </c>
      <c r="I213" s="15">
        <v>551.91999999999996</v>
      </c>
      <c r="J213" s="15">
        <v>0.96</v>
      </c>
      <c r="K213" s="15">
        <v>623.46</v>
      </c>
      <c r="L213" s="15">
        <v>917.71</v>
      </c>
      <c r="M213" s="15">
        <v>0.03</v>
      </c>
      <c r="N213" s="15">
        <v>0</v>
      </c>
      <c r="O213" s="15">
        <v>10.5</v>
      </c>
      <c r="P213" s="15">
        <v>0</v>
      </c>
      <c r="Q213" s="15">
        <v>286.86</v>
      </c>
      <c r="R213" s="15">
        <v>3139.14</v>
      </c>
      <c r="S213" s="15">
        <v>0.42</v>
      </c>
      <c r="T213" s="15">
        <v>80.09</v>
      </c>
      <c r="U213" s="15">
        <v>156.54</v>
      </c>
      <c r="V213" s="15">
        <v>657.28</v>
      </c>
      <c r="W213" s="16">
        <v>119.99</v>
      </c>
      <c r="X213" s="31">
        <f>MOD(general_price[[#This Row],[date]], 1)</f>
        <v>0.91666666666424135</v>
      </c>
      <c r="Y213" s="25" t="str">
        <f t="shared" si="3"/>
        <v/>
      </c>
      <c r="Z213" s="22">
        <v>0</v>
      </c>
      <c r="AA213" s="48">
        <f>general_price[[#This Row],[Battery (Charging) -  MW]]+general_price[[#This Row],[Battery (Discharging) -  MW]]</f>
        <v>-13.16</v>
      </c>
      <c r="AB213" s="48">
        <f>general_price[[#This Row],[Pumps -  MW]]+general_price[[#This Row],[Hydro -  MW]]</f>
        <v>623.46</v>
      </c>
    </row>
    <row r="214" spans="1:28">
      <c r="A214" s="13">
        <v>45853.9375</v>
      </c>
      <c r="B214" s="14">
        <v>-7.64</v>
      </c>
      <c r="C214" s="15">
        <v>0</v>
      </c>
      <c r="D214" s="15">
        <v>0</v>
      </c>
      <c r="E214" s="15">
        <v>789.57</v>
      </c>
      <c r="F214" s="15">
        <v>6895.02</v>
      </c>
      <c r="G214" s="15">
        <v>-2.08</v>
      </c>
      <c r="H214" s="15">
        <v>455</v>
      </c>
      <c r="I214" s="15">
        <v>334.57</v>
      </c>
      <c r="J214" s="15">
        <v>88.99</v>
      </c>
      <c r="K214" s="15">
        <v>600.72</v>
      </c>
      <c r="L214" s="15">
        <v>828.47</v>
      </c>
      <c r="M214" s="15">
        <v>0.03</v>
      </c>
      <c r="N214" s="15">
        <v>0</v>
      </c>
      <c r="O214" s="15">
        <v>10.14</v>
      </c>
      <c r="P214" s="15">
        <v>0</v>
      </c>
      <c r="Q214" s="15">
        <v>268.52</v>
      </c>
      <c r="R214" s="15">
        <v>3124.56</v>
      </c>
      <c r="S214" s="15">
        <v>0.41</v>
      </c>
      <c r="T214" s="15">
        <v>84.58</v>
      </c>
      <c r="U214" s="15">
        <v>95.23</v>
      </c>
      <c r="V214" s="15">
        <v>662.11</v>
      </c>
      <c r="W214" s="16">
        <v>158.80000000000001</v>
      </c>
      <c r="X214" s="31">
        <f>MOD(general_price[[#This Row],[date]], 1)</f>
        <v>0.9375</v>
      </c>
      <c r="Y214" s="25" t="str">
        <f t="shared" si="3"/>
        <v/>
      </c>
      <c r="Z214" s="22">
        <v>0</v>
      </c>
      <c r="AA214" s="48">
        <f>general_price[[#This Row],[Battery (Charging) -  MW]]+general_price[[#This Row],[Battery (Discharging) -  MW]]</f>
        <v>81.349999999999994</v>
      </c>
      <c r="AB214" s="48">
        <f>general_price[[#This Row],[Pumps -  MW]]+general_price[[#This Row],[Hydro -  MW]]</f>
        <v>600.72</v>
      </c>
    </row>
    <row r="215" spans="1:28">
      <c r="A215" s="13">
        <v>45853.958333333336</v>
      </c>
      <c r="B215" s="14">
        <v>-11.04</v>
      </c>
      <c r="C215" s="15">
        <v>0</v>
      </c>
      <c r="D215" s="15">
        <v>0</v>
      </c>
      <c r="E215" s="15">
        <v>788.15</v>
      </c>
      <c r="F215" s="15">
        <v>6891.76</v>
      </c>
      <c r="G215" s="15">
        <v>-1.45</v>
      </c>
      <c r="H215" s="15">
        <v>422.83</v>
      </c>
      <c r="I215" s="15">
        <v>67.81</v>
      </c>
      <c r="J215" s="15">
        <v>19.87</v>
      </c>
      <c r="K215" s="15">
        <v>538.44000000000005</v>
      </c>
      <c r="L215" s="15">
        <v>879.75</v>
      </c>
      <c r="M215" s="15">
        <v>0.03</v>
      </c>
      <c r="N215" s="15">
        <v>0</v>
      </c>
      <c r="O215" s="15">
        <v>9.84</v>
      </c>
      <c r="P215" s="15">
        <v>0</v>
      </c>
      <c r="Q215" s="15">
        <v>265.55</v>
      </c>
      <c r="R215" s="15">
        <v>3123.02</v>
      </c>
      <c r="S215" s="15">
        <v>0.43</v>
      </c>
      <c r="T215" s="15">
        <v>78.599999999999994</v>
      </c>
      <c r="U215" s="15">
        <v>19.989999999999998</v>
      </c>
      <c r="V215" s="15">
        <v>671.53</v>
      </c>
      <c r="W215" s="16">
        <v>142</v>
      </c>
      <c r="X215" s="31">
        <f>MOD(general_price[[#This Row],[date]], 1)</f>
        <v>0.95833333333575865</v>
      </c>
      <c r="Y215" s="25" t="str">
        <f t="shared" si="3"/>
        <v/>
      </c>
      <c r="Z215" s="22">
        <v>0</v>
      </c>
      <c r="AA215" s="48">
        <f>general_price[[#This Row],[Battery (Charging) -  MW]]+general_price[[#This Row],[Battery (Discharging) -  MW]]</f>
        <v>8.8300000000000018</v>
      </c>
      <c r="AB215" s="48">
        <f>general_price[[#This Row],[Pumps -  MW]]+general_price[[#This Row],[Hydro -  MW]]</f>
        <v>538.44000000000005</v>
      </c>
    </row>
    <row r="216" spans="1:28">
      <c r="A216" s="13">
        <v>45853.979166666664</v>
      </c>
      <c r="B216" s="14">
        <v>-8.8000000000000007</v>
      </c>
      <c r="C216" s="15">
        <v>0</v>
      </c>
      <c r="D216" s="15">
        <v>0</v>
      </c>
      <c r="E216" s="15">
        <v>786.67</v>
      </c>
      <c r="F216" s="15">
        <v>6848.61</v>
      </c>
      <c r="G216" s="15">
        <v>-2.06</v>
      </c>
      <c r="H216" s="15">
        <v>302.17</v>
      </c>
      <c r="I216" s="15">
        <v>45.33</v>
      </c>
      <c r="J216" s="15">
        <v>0.57999999999999996</v>
      </c>
      <c r="K216" s="15">
        <v>372.84</v>
      </c>
      <c r="L216" s="15">
        <v>979.2</v>
      </c>
      <c r="M216" s="15">
        <v>0.03</v>
      </c>
      <c r="N216" s="15">
        <v>0</v>
      </c>
      <c r="O216" s="15">
        <v>9.6999999999999993</v>
      </c>
      <c r="P216" s="15">
        <v>0</v>
      </c>
      <c r="Q216" s="15">
        <v>262.47000000000003</v>
      </c>
      <c r="R216" s="15">
        <v>3103.31</v>
      </c>
      <c r="S216" s="15">
        <v>0.41</v>
      </c>
      <c r="T216" s="15">
        <v>56.17</v>
      </c>
      <c r="U216" s="15">
        <v>13.65</v>
      </c>
      <c r="V216" s="15">
        <v>680.68</v>
      </c>
      <c r="W216" s="16">
        <v>87.28</v>
      </c>
      <c r="X216" s="31">
        <f>MOD(general_price[[#This Row],[date]], 1)</f>
        <v>0.97916666666424135</v>
      </c>
      <c r="Y216" s="25" t="str">
        <f t="shared" si="3"/>
        <v/>
      </c>
      <c r="Z216" s="22">
        <v>0</v>
      </c>
      <c r="AA216" s="48">
        <f>general_price[[#This Row],[Battery (Charging) -  MW]]+general_price[[#This Row],[Battery (Discharging) -  MW]]</f>
        <v>-8.2200000000000006</v>
      </c>
      <c r="AB216" s="48">
        <f>general_price[[#This Row],[Pumps -  MW]]+general_price[[#This Row],[Hydro -  MW]]</f>
        <v>372.84</v>
      </c>
    </row>
    <row r="217" spans="1:28">
      <c r="A217" s="13">
        <v>45854</v>
      </c>
      <c r="B217" s="14">
        <v>-48.46</v>
      </c>
      <c r="C217" s="15">
        <v>0</v>
      </c>
      <c r="D217" s="15">
        <v>0</v>
      </c>
      <c r="E217" s="15">
        <v>782.11</v>
      </c>
      <c r="F217" s="15">
        <v>6764.92</v>
      </c>
      <c r="G217" s="15">
        <v>-2.4500000000000002</v>
      </c>
      <c r="H217" s="15">
        <v>291</v>
      </c>
      <c r="I217" s="15">
        <v>45.1</v>
      </c>
      <c r="J217" s="15">
        <v>1.87</v>
      </c>
      <c r="K217" s="15">
        <v>302.93</v>
      </c>
      <c r="L217" s="15">
        <v>933.73</v>
      </c>
      <c r="M217" s="15">
        <v>0.03</v>
      </c>
      <c r="N217" s="15">
        <v>0</v>
      </c>
      <c r="O217" s="15">
        <v>9.52</v>
      </c>
      <c r="P217" s="15">
        <v>0</v>
      </c>
      <c r="Q217" s="15">
        <v>257.55</v>
      </c>
      <c r="R217" s="15">
        <v>3066.23</v>
      </c>
      <c r="S217" s="15">
        <v>0.41</v>
      </c>
      <c r="T217" s="15">
        <v>54.1</v>
      </c>
      <c r="U217" s="15">
        <v>13.58</v>
      </c>
      <c r="V217" s="15">
        <v>691.08</v>
      </c>
      <c r="W217" s="16">
        <v>80.03</v>
      </c>
      <c r="X217" s="31">
        <f>MOD(general_price[[#This Row],[date]], 1)</f>
        <v>0</v>
      </c>
      <c r="Y217" s="25" t="str">
        <f t="shared" si="3"/>
        <v>16 Jul</v>
      </c>
      <c r="Z217" s="22">
        <v>0</v>
      </c>
      <c r="AA217" s="48">
        <f>general_price[[#This Row],[Battery (Charging) -  MW]]+general_price[[#This Row],[Battery (Discharging) -  MW]]</f>
        <v>-46.59</v>
      </c>
      <c r="AB217" s="48">
        <f>general_price[[#This Row],[Pumps -  MW]]+general_price[[#This Row],[Hydro -  MW]]</f>
        <v>302.93</v>
      </c>
    </row>
    <row r="218" spans="1:28">
      <c r="A218" s="13">
        <v>45854.020833333336</v>
      </c>
      <c r="B218" s="14">
        <v>-11.98</v>
      </c>
      <c r="C218" s="15">
        <v>-67.36</v>
      </c>
      <c r="D218" s="15">
        <v>0</v>
      </c>
      <c r="E218" s="15">
        <v>856.85</v>
      </c>
      <c r="F218" s="15">
        <v>6589.13</v>
      </c>
      <c r="G218" s="15">
        <v>-0.92</v>
      </c>
      <c r="H218" s="15">
        <v>194</v>
      </c>
      <c r="I218" s="15">
        <v>44.54</v>
      </c>
      <c r="J218" s="15">
        <v>0.11</v>
      </c>
      <c r="K218" s="15">
        <v>226.89</v>
      </c>
      <c r="L218" s="15">
        <v>954.46</v>
      </c>
      <c r="M218" s="15">
        <v>0.03</v>
      </c>
      <c r="N218" s="15">
        <v>0</v>
      </c>
      <c r="O218" s="15">
        <v>9.32</v>
      </c>
      <c r="P218" s="15">
        <v>0</v>
      </c>
      <c r="Q218" s="15">
        <v>282.08</v>
      </c>
      <c r="R218" s="15">
        <v>2987.85</v>
      </c>
      <c r="S218" s="15">
        <v>0.44</v>
      </c>
      <c r="T218" s="15">
        <v>36.06</v>
      </c>
      <c r="U218" s="15">
        <v>13.41</v>
      </c>
      <c r="V218" s="15">
        <v>691.52</v>
      </c>
      <c r="W218" s="16">
        <v>83.72</v>
      </c>
      <c r="X218" s="31">
        <f>MOD(general_price[[#This Row],[date]], 1)</f>
        <v>2.0833333335758653E-2</v>
      </c>
      <c r="Y218" s="25" t="str">
        <f t="shared" si="3"/>
        <v/>
      </c>
      <c r="Z218" s="22">
        <v>0</v>
      </c>
      <c r="AA218" s="48">
        <f>general_price[[#This Row],[Battery (Charging) -  MW]]+general_price[[#This Row],[Battery (Discharging) -  MW]]</f>
        <v>-11.870000000000001</v>
      </c>
      <c r="AB218" s="48">
        <f>general_price[[#This Row],[Pumps -  MW]]+general_price[[#This Row],[Hydro -  MW]]</f>
        <v>159.52999999999997</v>
      </c>
    </row>
    <row r="219" spans="1:28">
      <c r="A219" s="13">
        <v>45854.041666666664</v>
      </c>
      <c r="B219" s="14">
        <v>-43.37</v>
      </c>
      <c r="C219" s="15">
        <v>-80.8</v>
      </c>
      <c r="D219" s="15">
        <v>0</v>
      </c>
      <c r="E219" s="15">
        <v>940.09</v>
      </c>
      <c r="F219" s="15">
        <v>6365.28</v>
      </c>
      <c r="G219" s="15">
        <v>-0.75</v>
      </c>
      <c r="H219" s="15">
        <v>190</v>
      </c>
      <c r="I219" s="15">
        <v>44.21</v>
      </c>
      <c r="J219" s="15">
        <v>1.17</v>
      </c>
      <c r="K219" s="15">
        <v>74.290000000000006</v>
      </c>
      <c r="L219" s="15">
        <v>985.39</v>
      </c>
      <c r="M219" s="15">
        <v>0.03</v>
      </c>
      <c r="N219" s="15">
        <v>0</v>
      </c>
      <c r="O219" s="15">
        <v>9.14</v>
      </c>
      <c r="P219" s="15">
        <v>0</v>
      </c>
      <c r="Q219" s="15">
        <v>307.88</v>
      </c>
      <c r="R219" s="15">
        <v>2887.8</v>
      </c>
      <c r="S219" s="15">
        <v>0.45</v>
      </c>
      <c r="T219" s="15">
        <v>35.32</v>
      </c>
      <c r="U219" s="15">
        <v>13.31</v>
      </c>
      <c r="V219" s="15">
        <v>693.03</v>
      </c>
      <c r="W219" s="16">
        <v>75.25</v>
      </c>
      <c r="X219" s="31">
        <f>MOD(general_price[[#This Row],[date]], 1)</f>
        <v>4.1666666664241347E-2</v>
      </c>
      <c r="Y219" s="25" t="str">
        <f t="shared" si="3"/>
        <v/>
      </c>
      <c r="Z219" s="22">
        <v>0</v>
      </c>
      <c r="AA219" s="48">
        <f>general_price[[#This Row],[Battery (Charging) -  MW]]+general_price[[#This Row],[Battery (Discharging) -  MW]]</f>
        <v>-42.199999999999996</v>
      </c>
      <c r="AB219" s="48">
        <f>general_price[[#This Row],[Pumps -  MW]]+general_price[[#This Row],[Hydro -  MW]]</f>
        <v>-6.5099999999999909</v>
      </c>
    </row>
    <row r="220" spans="1:28">
      <c r="A220" s="13">
        <v>45854.0625</v>
      </c>
      <c r="B220" s="14">
        <v>-106.28</v>
      </c>
      <c r="C220" s="15">
        <v>-80.760000000000005</v>
      </c>
      <c r="D220" s="15">
        <v>0</v>
      </c>
      <c r="E220" s="15">
        <v>911.07</v>
      </c>
      <c r="F220" s="15">
        <v>6234.07</v>
      </c>
      <c r="G220" s="15">
        <v>-2.37</v>
      </c>
      <c r="H220" s="15">
        <v>189.83</v>
      </c>
      <c r="I220" s="15">
        <v>42.96</v>
      </c>
      <c r="J220" s="15">
        <v>3.33</v>
      </c>
      <c r="K220" s="15">
        <v>76.22</v>
      </c>
      <c r="L220" s="15">
        <v>1041.4000000000001</v>
      </c>
      <c r="M220" s="15">
        <v>0.03</v>
      </c>
      <c r="N220" s="15">
        <v>0</v>
      </c>
      <c r="O220" s="15">
        <v>9.16</v>
      </c>
      <c r="P220" s="15">
        <v>0</v>
      </c>
      <c r="Q220" s="15">
        <v>303.41000000000003</v>
      </c>
      <c r="R220" s="15">
        <v>2827.98</v>
      </c>
      <c r="S220" s="15">
        <v>0.42</v>
      </c>
      <c r="T220" s="15">
        <v>35.29</v>
      </c>
      <c r="U220" s="15">
        <v>12.94</v>
      </c>
      <c r="V220" s="15">
        <v>692.37</v>
      </c>
      <c r="W220" s="16">
        <v>76.58</v>
      </c>
      <c r="X220" s="31">
        <f>MOD(general_price[[#This Row],[date]], 1)</f>
        <v>6.25E-2</v>
      </c>
      <c r="Y220" s="25" t="str">
        <f t="shared" si="3"/>
        <v/>
      </c>
      <c r="Z220" s="22">
        <v>0</v>
      </c>
      <c r="AA220" s="48">
        <f>general_price[[#This Row],[Battery (Charging) -  MW]]+general_price[[#This Row],[Battery (Discharging) -  MW]]</f>
        <v>-102.95</v>
      </c>
      <c r="AB220" s="48">
        <f>general_price[[#This Row],[Pumps -  MW]]+general_price[[#This Row],[Hydro -  MW]]</f>
        <v>-4.5400000000000063</v>
      </c>
    </row>
    <row r="221" spans="1:28">
      <c r="A221" s="13">
        <v>45854.083333333336</v>
      </c>
      <c r="B221" s="14">
        <v>-123.26</v>
      </c>
      <c r="C221" s="15">
        <v>-80.78</v>
      </c>
      <c r="D221" s="15">
        <v>0</v>
      </c>
      <c r="E221" s="15">
        <v>940.03</v>
      </c>
      <c r="F221" s="15">
        <v>6096.22</v>
      </c>
      <c r="G221" s="15">
        <v>-4.2699999999999996</v>
      </c>
      <c r="H221" s="15">
        <v>190</v>
      </c>
      <c r="I221" s="15">
        <v>43</v>
      </c>
      <c r="J221" s="15">
        <v>3.31</v>
      </c>
      <c r="K221" s="15">
        <v>59.41</v>
      </c>
      <c r="L221" s="15">
        <v>1014.4</v>
      </c>
      <c r="M221" s="15">
        <v>0.03</v>
      </c>
      <c r="N221" s="15">
        <v>0</v>
      </c>
      <c r="O221" s="15">
        <v>8.94</v>
      </c>
      <c r="P221" s="15">
        <v>0</v>
      </c>
      <c r="Q221" s="15">
        <v>311.58999999999997</v>
      </c>
      <c r="R221" s="15">
        <v>2762.77</v>
      </c>
      <c r="S221" s="15">
        <v>0.41</v>
      </c>
      <c r="T221" s="15">
        <v>35.32</v>
      </c>
      <c r="U221" s="15">
        <v>12.95</v>
      </c>
      <c r="V221" s="15">
        <v>690.94</v>
      </c>
      <c r="W221" s="16">
        <v>60.26</v>
      </c>
      <c r="X221" s="31">
        <f>MOD(general_price[[#This Row],[date]], 1)</f>
        <v>8.3333333335758653E-2</v>
      </c>
      <c r="Y221" s="25" t="str">
        <f t="shared" si="3"/>
        <v/>
      </c>
      <c r="Z221" s="22">
        <v>0</v>
      </c>
      <c r="AA221" s="48">
        <f>general_price[[#This Row],[Battery (Charging) -  MW]]+general_price[[#This Row],[Battery (Discharging) -  MW]]</f>
        <v>-119.95</v>
      </c>
      <c r="AB221" s="48">
        <f>general_price[[#This Row],[Pumps -  MW]]+general_price[[#This Row],[Hydro -  MW]]</f>
        <v>-21.370000000000005</v>
      </c>
    </row>
    <row r="222" spans="1:28">
      <c r="A222" s="13">
        <v>45854.104166666664</v>
      </c>
      <c r="B222" s="14">
        <v>-90.15</v>
      </c>
      <c r="C222" s="15">
        <v>-80.78</v>
      </c>
      <c r="D222" s="15">
        <v>0</v>
      </c>
      <c r="E222" s="15">
        <v>888.7</v>
      </c>
      <c r="F222" s="15">
        <v>6098.62</v>
      </c>
      <c r="G222" s="15">
        <v>-4.49</v>
      </c>
      <c r="H222" s="15">
        <v>190.33</v>
      </c>
      <c r="I222" s="15">
        <v>43.36</v>
      </c>
      <c r="J222" s="15">
        <v>3.86</v>
      </c>
      <c r="K222" s="15">
        <v>27.58</v>
      </c>
      <c r="L222" s="15">
        <v>918.22</v>
      </c>
      <c r="M222" s="15">
        <v>0.03</v>
      </c>
      <c r="N222" s="15">
        <v>0</v>
      </c>
      <c r="O222" s="15">
        <v>8.81</v>
      </c>
      <c r="P222" s="15">
        <v>0</v>
      </c>
      <c r="Q222" s="15">
        <v>291.85000000000002</v>
      </c>
      <c r="R222" s="15">
        <v>2764.35</v>
      </c>
      <c r="S222" s="15">
        <v>0.41</v>
      </c>
      <c r="T222" s="15">
        <v>35.380000000000003</v>
      </c>
      <c r="U222" s="15">
        <v>13.05</v>
      </c>
      <c r="V222" s="15">
        <v>703.71</v>
      </c>
      <c r="W222" s="16">
        <v>76.8</v>
      </c>
      <c r="X222" s="31">
        <f>MOD(general_price[[#This Row],[date]], 1)</f>
        <v>0.10416666666424135</v>
      </c>
      <c r="Y222" s="25" t="str">
        <f t="shared" si="3"/>
        <v/>
      </c>
      <c r="Z222" s="22">
        <v>0</v>
      </c>
      <c r="AA222" s="48">
        <f>general_price[[#This Row],[Battery (Charging) -  MW]]+general_price[[#This Row],[Battery (Discharging) -  MW]]</f>
        <v>-86.29</v>
      </c>
      <c r="AB222" s="48">
        <f>general_price[[#This Row],[Pumps -  MW]]+general_price[[#This Row],[Hydro -  MW]]</f>
        <v>-53.2</v>
      </c>
    </row>
    <row r="223" spans="1:28">
      <c r="A223" s="13">
        <v>45854.125</v>
      </c>
      <c r="B223" s="14">
        <v>-112.17</v>
      </c>
      <c r="C223" s="15">
        <v>-80.75</v>
      </c>
      <c r="D223" s="15">
        <v>0</v>
      </c>
      <c r="E223" s="15">
        <v>979.77</v>
      </c>
      <c r="F223" s="15">
        <v>5986.73</v>
      </c>
      <c r="G223" s="15">
        <v>-4.3600000000000003</v>
      </c>
      <c r="H223" s="15">
        <v>190</v>
      </c>
      <c r="I223" s="15">
        <v>43.2</v>
      </c>
      <c r="J223" s="15">
        <v>3.74</v>
      </c>
      <c r="K223" s="15">
        <v>4.97</v>
      </c>
      <c r="L223" s="15">
        <v>822.27</v>
      </c>
      <c r="M223" s="15">
        <v>0.03</v>
      </c>
      <c r="N223" s="15">
        <v>0</v>
      </c>
      <c r="O223" s="15">
        <v>8.68</v>
      </c>
      <c r="P223" s="15">
        <v>0</v>
      </c>
      <c r="Q223" s="15">
        <v>324.26</v>
      </c>
      <c r="R223" s="15">
        <v>2714.28</v>
      </c>
      <c r="S223" s="15">
        <v>0.41</v>
      </c>
      <c r="T223" s="15">
        <v>35.32</v>
      </c>
      <c r="U223" s="15">
        <v>13.01</v>
      </c>
      <c r="V223" s="15">
        <v>705.44</v>
      </c>
      <c r="W223" s="16">
        <v>76.8</v>
      </c>
      <c r="X223" s="31">
        <f>MOD(general_price[[#This Row],[date]], 1)</f>
        <v>0.125</v>
      </c>
      <c r="Y223" s="25" t="str">
        <f t="shared" si="3"/>
        <v/>
      </c>
      <c r="Z223" s="22">
        <v>0</v>
      </c>
      <c r="AA223" s="48">
        <f>general_price[[#This Row],[Battery (Charging) -  MW]]+general_price[[#This Row],[Battery (Discharging) -  MW]]</f>
        <v>-108.43</v>
      </c>
      <c r="AB223" s="48">
        <f>general_price[[#This Row],[Pumps -  MW]]+general_price[[#This Row],[Hydro -  MW]]</f>
        <v>-75.78</v>
      </c>
    </row>
    <row r="224" spans="1:28">
      <c r="A224" s="13">
        <v>45854.145833333336</v>
      </c>
      <c r="B224" s="14">
        <v>-121.77</v>
      </c>
      <c r="C224" s="15">
        <v>-80.75</v>
      </c>
      <c r="D224" s="15">
        <v>0</v>
      </c>
      <c r="E224" s="15">
        <v>1177.1400000000001</v>
      </c>
      <c r="F224" s="15">
        <v>5813.57</v>
      </c>
      <c r="G224" s="15">
        <v>-4.25</v>
      </c>
      <c r="H224" s="15">
        <v>190</v>
      </c>
      <c r="I224" s="15">
        <v>43.31</v>
      </c>
      <c r="J224" s="15">
        <v>0.05</v>
      </c>
      <c r="K224" s="15">
        <v>0.28000000000000003</v>
      </c>
      <c r="L224" s="15">
        <v>831.72</v>
      </c>
      <c r="M224" s="15">
        <v>0.03</v>
      </c>
      <c r="N224" s="15">
        <v>0</v>
      </c>
      <c r="O224" s="15">
        <v>8.35</v>
      </c>
      <c r="P224" s="15">
        <v>0</v>
      </c>
      <c r="Q224" s="15">
        <v>391.34</v>
      </c>
      <c r="R224" s="15">
        <v>2635.84</v>
      </c>
      <c r="S224" s="15">
        <v>0.4</v>
      </c>
      <c r="T224" s="15">
        <v>35.32</v>
      </c>
      <c r="U224" s="15">
        <v>13.04</v>
      </c>
      <c r="V224" s="15">
        <v>684.04</v>
      </c>
      <c r="W224" s="16">
        <v>64.89</v>
      </c>
      <c r="X224" s="31">
        <f>MOD(general_price[[#This Row],[date]], 1)</f>
        <v>0.14583333333575865</v>
      </c>
      <c r="Y224" s="25" t="str">
        <f t="shared" si="3"/>
        <v/>
      </c>
      <c r="Z224" s="22">
        <v>0</v>
      </c>
      <c r="AA224" s="48">
        <f>general_price[[#This Row],[Battery (Charging) -  MW]]+general_price[[#This Row],[Battery (Discharging) -  MW]]</f>
        <v>-121.72</v>
      </c>
      <c r="AB224" s="48">
        <f>general_price[[#This Row],[Pumps -  MW]]+general_price[[#This Row],[Hydro -  MW]]</f>
        <v>-80.47</v>
      </c>
    </row>
    <row r="225" spans="1:28">
      <c r="A225" s="13">
        <v>45854.166666666664</v>
      </c>
      <c r="B225" s="14">
        <v>-130.87</v>
      </c>
      <c r="C225" s="15">
        <v>-80.61</v>
      </c>
      <c r="D225" s="15">
        <v>0</v>
      </c>
      <c r="E225" s="15">
        <v>1162.75</v>
      </c>
      <c r="F225" s="15">
        <v>5836.79</v>
      </c>
      <c r="G225" s="15">
        <v>5.95</v>
      </c>
      <c r="H225" s="15">
        <v>190.33</v>
      </c>
      <c r="I225" s="15">
        <v>42.78</v>
      </c>
      <c r="J225" s="15">
        <v>0.6</v>
      </c>
      <c r="K225" s="15">
        <v>39.700000000000003</v>
      </c>
      <c r="L225" s="15">
        <v>880.97</v>
      </c>
      <c r="M225" s="15">
        <v>0.03</v>
      </c>
      <c r="N225" s="15">
        <v>0</v>
      </c>
      <c r="O225" s="15">
        <v>8.1300000000000008</v>
      </c>
      <c r="P225" s="15">
        <v>0</v>
      </c>
      <c r="Q225" s="15">
        <v>381.33</v>
      </c>
      <c r="R225" s="15">
        <v>2646.12</v>
      </c>
      <c r="S225" s="15">
        <v>0.41</v>
      </c>
      <c r="T225" s="15">
        <v>35.380000000000003</v>
      </c>
      <c r="U225" s="15">
        <v>12.88</v>
      </c>
      <c r="V225" s="15">
        <v>678.07</v>
      </c>
      <c r="W225" s="16">
        <v>77.97</v>
      </c>
      <c r="X225" s="31">
        <f>MOD(general_price[[#This Row],[date]], 1)</f>
        <v>0.16666666666424135</v>
      </c>
      <c r="Y225" s="25" t="str">
        <f t="shared" si="3"/>
        <v/>
      </c>
      <c r="Z225" s="22">
        <v>0</v>
      </c>
      <c r="AA225" s="48">
        <f>general_price[[#This Row],[Battery (Charging) -  MW]]+general_price[[#This Row],[Battery (Discharging) -  MW]]</f>
        <v>-130.27000000000001</v>
      </c>
      <c r="AB225" s="48">
        <f>general_price[[#This Row],[Pumps -  MW]]+general_price[[#This Row],[Hydro -  MW]]</f>
        <v>-40.909999999999997</v>
      </c>
    </row>
    <row r="226" spans="1:28">
      <c r="A226" s="13">
        <v>45854.1875</v>
      </c>
      <c r="B226" s="14">
        <v>-100.34</v>
      </c>
      <c r="C226" s="15">
        <v>-80.64</v>
      </c>
      <c r="D226" s="15">
        <v>0</v>
      </c>
      <c r="E226" s="15">
        <v>1146.95</v>
      </c>
      <c r="F226" s="15">
        <v>5783.17</v>
      </c>
      <c r="G226" s="15">
        <v>21.02</v>
      </c>
      <c r="H226" s="15">
        <v>189.83</v>
      </c>
      <c r="I226" s="15">
        <v>42.48</v>
      </c>
      <c r="J226" s="15">
        <v>0.59</v>
      </c>
      <c r="K226" s="15">
        <v>50.75</v>
      </c>
      <c r="L226" s="15">
        <v>947.86</v>
      </c>
      <c r="M226" s="15">
        <v>0.03</v>
      </c>
      <c r="N226" s="15">
        <v>0</v>
      </c>
      <c r="O226" s="15">
        <v>8.1</v>
      </c>
      <c r="P226" s="15">
        <v>0</v>
      </c>
      <c r="Q226" s="15">
        <v>376.89</v>
      </c>
      <c r="R226" s="15">
        <v>2619.7399999999998</v>
      </c>
      <c r="S226" s="15">
        <v>0.41</v>
      </c>
      <c r="T226" s="15">
        <v>35.29</v>
      </c>
      <c r="U226" s="15">
        <v>12.79</v>
      </c>
      <c r="V226" s="15">
        <v>666.91</v>
      </c>
      <c r="W226" s="16">
        <v>76.58</v>
      </c>
      <c r="X226" s="31">
        <f>MOD(general_price[[#This Row],[date]], 1)</f>
        <v>0.1875</v>
      </c>
      <c r="Y226" s="25" t="str">
        <f t="shared" si="3"/>
        <v/>
      </c>
      <c r="Z226" s="22">
        <v>0</v>
      </c>
      <c r="AA226" s="48">
        <f>general_price[[#This Row],[Battery (Charging) -  MW]]+general_price[[#This Row],[Battery (Discharging) -  MW]]</f>
        <v>-99.75</v>
      </c>
      <c r="AB226" s="48">
        <f>general_price[[#This Row],[Pumps -  MW]]+general_price[[#This Row],[Hydro -  MW]]</f>
        <v>-29.89</v>
      </c>
    </row>
    <row r="227" spans="1:28">
      <c r="A227" s="13">
        <v>45854.208333333336</v>
      </c>
      <c r="B227" s="14">
        <v>-42.13</v>
      </c>
      <c r="C227" s="15">
        <v>-67.17</v>
      </c>
      <c r="D227" s="15">
        <v>0</v>
      </c>
      <c r="E227" s="15">
        <v>1084.27</v>
      </c>
      <c r="F227" s="15">
        <v>5928.17</v>
      </c>
      <c r="G227" s="15">
        <v>20.59</v>
      </c>
      <c r="H227" s="15">
        <v>190.33</v>
      </c>
      <c r="I227" s="15">
        <v>41.28</v>
      </c>
      <c r="J227" s="15">
        <v>1.36</v>
      </c>
      <c r="K227" s="15">
        <v>74.22</v>
      </c>
      <c r="L227" s="15">
        <v>980.55</v>
      </c>
      <c r="M227" s="15">
        <v>0.03</v>
      </c>
      <c r="N227" s="15">
        <v>0</v>
      </c>
      <c r="O227" s="15">
        <v>8.07</v>
      </c>
      <c r="P227" s="15">
        <v>0</v>
      </c>
      <c r="Q227" s="15">
        <v>361.35</v>
      </c>
      <c r="R227" s="15">
        <v>2684.62</v>
      </c>
      <c r="S227" s="15">
        <v>0.4</v>
      </c>
      <c r="T227" s="15">
        <v>35.380000000000003</v>
      </c>
      <c r="U227" s="15">
        <v>12.43</v>
      </c>
      <c r="V227" s="15">
        <v>665.61</v>
      </c>
      <c r="W227" s="16">
        <v>76.58</v>
      </c>
      <c r="X227" s="31">
        <f>MOD(general_price[[#This Row],[date]], 1)</f>
        <v>0.20833333333575865</v>
      </c>
      <c r="Y227" s="25" t="str">
        <f t="shared" si="3"/>
        <v/>
      </c>
      <c r="Z227" s="22">
        <v>0</v>
      </c>
      <c r="AA227" s="48">
        <f>general_price[[#This Row],[Battery (Charging) -  MW]]+general_price[[#This Row],[Battery (Discharging) -  MW]]</f>
        <v>-40.770000000000003</v>
      </c>
      <c r="AB227" s="48">
        <f>general_price[[#This Row],[Pumps -  MW]]+general_price[[#This Row],[Hydro -  MW]]</f>
        <v>7.0499999999999972</v>
      </c>
    </row>
    <row r="228" spans="1:28">
      <c r="A228" s="13">
        <v>45854.229166666664</v>
      </c>
      <c r="B228" s="14">
        <v>-8.7799999999999994</v>
      </c>
      <c r="C228" s="15">
        <v>0</v>
      </c>
      <c r="D228" s="15">
        <v>-52.04</v>
      </c>
      <c r="E228" s="15">
        <v>989.79</v>
      </c>
      <c r="F228" s="15">
        <v>6183.11</v>
      </c>
      <c r="G228" s="15">
        <v>20.440000000000001</v>
      </c>
      <c r="H228" s="15">
        <v>198.33</v>
      </c>
      <c r="I228" s="15">
        <v>40.58</v>
      </c>
      <c r="J228" s="15">
        <v>2.0299999999999998</v>
      </c>
      <c r="K228" s="15">
        <v>221.8</v>
      </c>
      <c r="L228" s="15">
        <v>995.76</v>
      </c>
      <c r="M228" s="15">
        <v>0.03</v>
      </c>
      <c r="N228" s="15">
        <v>0</v>
      </c>
      <c r="O228" s="15">
        <v>7.85</v>
      </c>
      <c r="P228" s="15">
        <v>19.34</v>
      </c>
      <c r="Q228" s="15">
        <v>345.36</v>
      </c>
      <c r="R228" s="15">
        <v>2799.97</v>
      </c>
      <c r="S228" s="15">
        <v>0.38</v>
      </c>
      <c r="T228" s="15">
        <v>36.869999999999997</v>
      </c>
      <c r="U228" s="15">
        <v>12.22</v>
      </c>
      <c r="V228" s="15">
        <v>663.35</v>
      </c>
      <c r="W228" s="16">
        <v>80.010000000000005</v>
      </c>
      <c r="X228" s="31">
        <f>MOD(general_price[[#This Row],[date]], 1)</f>
        <v>0.22916666666424135</v>
      </c>
      <c r="Y228" s="25" t="str">
        <f t="shared" si="3"/>
        <v/>
      </c>
      <c r="Z228" s="22">
        <v>0</v>
      </c>
      <c r="AA228" s="48">
        <f>general_price[[#This Row],[Battery (Charging) -  MW]]+general_price[[#This Row],[Battery (Discharging) -  MW]]</f>
        <v>-6.75</v>
      </c>
      <c r="AB228" s="48">
        <f>general_price[[#This Row],[Pumps -  MW]]+general_price[[#This Row],[Hydro -  MW]]</f>
        <v>221.8</v>
      </c>
    </row>
    <row r="229" spans="1:28">
      <c r="A229" s="13">
        <v>45854.25</v>
      </c>
      <c r="B229" s="14">
        <v>-6.42</v>
      </c>
      <c r="C229" s="15">
        <v>0</v>
      </c>
      <c r="D229" s="15">
        <v>-66.040000000000006</v>
      </c>
      <c r="E229" s="15">
        <v>707.07</v>
      </c>
      <c r="F229" s="15">
        <v>6584.98</v>
      </c>
      <c r="G229" s="15">
        <v>21.97</v>
      </c>
      <c r="H229" s="15">
        <v>400.33</v>
      </c>
      <c r="I229" s="15">
        <v>62.36</v>
      </c>
      <c r="J229" s="15">
        <v>19.12</v>
      </c>
      <c r="K229" s="15">
        <v>478.8</v>
      </c>
      <c r="L229" s="15">
        <v>991.43</v>
      </c>
      <c r="M229" s="15">
        <v>0.03</v>
      </c>
      <c r="N229" s="15">
        <v>0</v>
      </c>
      <c r="O229" s="15">
        <v>7.81</v>
      </c>
      <c r="P229" s="15">
        <v>24.09</v>
      </c>
      <c r="Q229" s="15">
        <v>259.02</v>
      </c>
      <c r="R229" s="15">
        <v>2983.66</v>
      </c>
      <c r="S229" s="15">
        <v>0.4</v>
      </c>
      <c r="T229" s="15">
        <v>74.42</v>
      </c>
      <c r="U229" s="15">
        <v>18.559999999999999</v>
      </c>
      <c r="V229" s="15">
        <v>669.39</v>
      </c>
      <c r="W229" s="16">
        <v>118.95</v>
      </c>
      <c r="X229" s="31">
        <f>MOD(general_price[[#This Row],[date]], 1)</f>
        <v>0.25</v>
      </c>
      <c r="Y229" s="25" t="str">
        <f t="shared" si="3"/>
        <v/>
      </c>
      <c r="Z229" s="22">
        <v>0</v>
      </c>
      <c r="AA229" s="48">
        <f>general_price[[#This Row],[Battery (Charging) -  MW]]+general_price[[#This Row],[Battery (Discharging) -  MW]]</f>
        <v>12.700000000000001</v>
      </c>
      <c r="AB229" s="48">
        <f>general_price[[#This Row],[Pumps -  MW]]+general_price[[#This Row],[Hydro -  MW]]</f>
        <v>478.8</v>
      </c>
    </row>
    <row r="230" spans="1:28">
      <c r="A230" s="13">
        <v>45854.270833333336</v>
      </c>
      <c r="B230" s="14">
        <v>-6.26</v>
      </c>
      <c r="C230" s="15">
        <v>0</v>
      </c>
      <c r="D230" s="15">
        <v>-117.59</v>
      </c>
      <c r="E230" s="15">
        <v>667.32</v>
      </c>
      <c r="F230" s="15">
        <v>6800.91</v>
      </c>
      <c r="G230" s="15">
        <v>22.15</v>
      </c>
      <c r="H230" s="15">
        <v>450.5</v>
      </c>
      <c r="I230" s="15">
        <v>353.98</v>
      </c>
      <c r="J230" s="15">
        <v>96.17</v>
      </c>
      <c r="K230" s="15">
        <v>789.86</v>
      </c>
      <c r="L230" s="15">
        <v>984.67</v>
      </c>
      <c r="M230" s="15">
        <v>0.03</v>
      </c>
      <c r="N230" s="15">
        <v>0.12</v>
      </c>
      <c r="O230" s="15">
        <v>7.88</v>
      </c>
      <c r="P230" s="15">
        <v>41.91</v>
      </c>
      <c r="Q230" s="15">
        <v>251.56</v>
      </c>
      <c r="R230" s="15">
        <v>3078.74</v>
      </c>
      <c r="S230" s="15">
        <v>0.41</v>
      </c>
      <c r="T230" s="15">
        <v>83.75</v>
      </c>
      <c r="U230" s="15">
        <v>104.83</v>
      </c>
      <c r="V230" s="15">
        <v>650.82000000000005</v>
      </c>
      <c r="W230" s="16">
        <v>120.01</v>
      </c>
      <c r="X230" s="31">
        <f>MOD(general_price[[#This Row],[date]], 1)</f>
        <v>0.27083333333575865</v>
      </c>
      <c r="Y230" s="25" t="str">
        <f t="shared" si="3"/>
        <v/>
      </c>
      <c r="Z230" s="22">
        <v>0</v>
      </c>
      <c r="AA230" s="48">
        <f>general_price[[#This Row],[Battery (Charging) -  MW]]+general_price[[#This Row],[Battery (Discharging) -  MW]]</f>
        <v>89.91</v>
      </c>
      <c r="AB230" s="48">
        <f>general_price[[#This Row],[Pumps -  MW]]+general_price[[#This Row],[Hydro -  MW]]</f>
        <v>789.86</v>
      </c>
    </row>
    <row r="231" spans="1:28">
      <c r="A231" s="13">
        <v>45854.291666666664</v>
      </c>
      <c r="B231" s="14">
        <v>-6.04</v>
      </c>
      <c r="C231" s="15">
        <v>0</v>
      </c>
      <c r="D231" s="15">
        <v>-35.78</v>
      </c>
      <c r="E231" s="15">
        <v>583.91999999999996</v>
      </c>
      <c r="F231" s="15">
        <v>6816.89</v>
      </c>
      <c r="G231" s="15">
        <v>23.93</v>
      </c>
      <c r="H231" s="15">
        <v>451</v>
      </c>
      <c r="I231" s="15">
        <v>795.02</v>
      </c>
      <c r="J231" s="15">
        <v>167.76</v>
      </c>
      <c r="K231" s="15">
        <v>983.02</v>
      </c>
      <c r="L231" s="15">
        <v>904.96</v>
      </c>
      <c r="M231" s="15">
        <v>1.18</v>
      </c>
      <c r="N231" s="15">
        <v>7.98</v>
      </c>
      <c r="O231" s="15">
        <v>7.81</v>
      </c>
      <c r="P231" s="15">
        <v>12.58</v>
      </c>
      <c r="Q231" s="15">
        <v>220.79</v>
      </c>
      <c r="R231" s="15">
        <v>3086.18</v>
      </c>
      <c r="S231" s="15">
        <v>0.43</v>
      </c>
      <c r="T231" s="15">
        <v>83.84</v>
      </c>
      <c r="U231" s="15">
        <v>258.36</v>
      </c>
      <c r="V231" s="15">
        <v>641.27</v>
      </c>
      <c r="W231" s="16">
        <v>150.07</v>
      </c>
      <c r="X231" s="31">
        <f>MOD(general_price[[#This Row],[date]], 1)</f>
        <v>0.29166666666424135</v>
      </c>
      <c r="Y231" s="25" t="str">
        <f t="shared" si="3"/>
        <v/>
      </c>
      <c r="Z231" s="22">
        <v>0</v>
      </c>
      <c r="AA231" s="48">
        <f>general_price[[#This Row],[Battery (Charging) -  MW]]+general_price[[#This Row],[Battery (Discharging) -  MW]]</f>
        <v>161.72</v>
      </c>
      <c r="AB231" s="48">
        <f>general_price[[#This Row],[Pumps -  MW]]+general_price[[#This Row],[Hydro -  MW]]</f>
        <v>983.02</v>
      </c>
    </row>
    <row r="232" spans="1:28">
      <c r="A232" s="13">
        <v>45854.3125</v>
      </c>
      <c r="B232" s="14">
        <v>-22.83</v>
      </c>
      <c r="C232" s="15">
        <v>0</v>
      </c>
      <c r="D232" s="15">
        <v>-7.54</v>
      </c>
      <c r="E232" s="15">
        <v>734.9</v>
      </c>
      <c r="F232" s="15">
        <v>6875.66</v>
      </c>
      <c r="G232" s="15">
        <v>26.83</v>
      </c>
      <c r="H232" s="15">
        <v>451.5</v>
      </c>
      <c r="I232" s="15">
        <v>871.8</v>
      </c>
      <c r="J232" s="15">
        <v>125.37</v>
      </c>
      <c r="K232" s="15">
        <v>1089.02</v>
      </c>
      <c r="L232" s="15">
        <v>842.58</v>
      </c>
      <c r="M232" s="15">
        <v>67.34</v>
      </c>
      <c r="N232" s="15">
        <v>96.5</v>
      </c>
      <c r="O232" s="15">
        <v>7.74</v>
      </c>
      <c r="P232" s="15">
        <v>2.65</v>
      </c>
      <c r="Q232" s="15">
        <v>270.94</v>
      </c>
      <c r="R232" s="15">
        <v>3115.65</v>
      </c>
      <c r="S232" s="15">
        <v>0.48</v>
      </c>
      <c r="T232" s="15">
        <v>83.93</v>
      </c>
      <c r="U232" s="15">
        <v>281.26</v>
      </c>
      <c r="V232" s="15">
        <v>624.39</v>
      </c>
      <c r="W232" s="16">
        <v>176.21</v>
      </c>
      <c r="X232" s="31">
        <f>MOD(general_price[[#This Row],[date]], 1)</f>
        <v>0.3125</v>
      </c>
      <c r="Y232" s="25" t="str">
        <f t="shared" si="3"/>
        <v/>
      </c>
      <c r="Z232" s="22">
        <v>0</v>
      </c>
      <c r="AA232" s="48">
        <f>general_price[[#This Row],[Battery (Charging) -  MW]]+general_price[[#This Row],[Battery (Discharging) -  MW]]</f>
        <v>102.54</v>
      </c>
      <c r="AB232" s="48">
        <f>general_price[[#This Row],[Pumps -  MW]]+general_price[[#This Row],[Hydro -  MW]]</f>
        <v>1089.02</v>
      </c>
    </row>
    <row r="233" spans="1:28">
      <c r="A233" s="13">
        <v>45854.333333333336</v>
      </c>
      <c r="B233" s="14">
        <v>-7.13</v>
      </c>
      <c r="C233" s="15">
        <v>0</v>
      </c>
      <c r="D233" s="15">
        <v>0</v>
      </c>
      <c r="E233" s="15">
        <v>714.54</v>
      </c>
      <c r="F233" s="15">
        <v>6884.99</v>
      </c>
      <c r="G233" s="15">
        <v>28.03</v>
      </c>
      <c r="H233" s="15">
        <v>451.33</v>
      </c>
      <c r="I233" s="15">
        <v>852.25</v>
      </c>
      <c r="J233" s="15">
        <v>133.88999999999999</v>
      </c>
      <c r="K233" s="15">
        <v>843.08</v>
      </c>
      <c r="L233" s="15">
        <v>786.68</v>
      </c>
      <c r="M233" s="15">
        <v>434.25</v>
      </c>
      <c r="N233" s="15">
        <v>401.36</v>
      </c>
      <c r="O233" s="15">
        <v>8.0299999999999994</v>
      </c>
      <c r="P233" s="15">
        <v>0</v>
      </c>
      <c r="Q233" s="15">
        <v>262.97000000000003</v>
      </c>
      <c r="R233" s="15">
        <v>3120.4</v>
      </c>
      <c r="S233" s="15">
        <v>0.51</v>
      </c>
      <c r="T233" s="15">
        <v>83.9</v>
      </c>
      <c r="U233" s="15">
        <v>273.57</v>
      </c>
      <c r="V233" s="15">
        <v>603.71</v>
      </c>
      <c r="W233" s="16">
        <v>143.37</v>
      </c>
      <c r="X233" s="31">
        <f>MOD(general_price[[#This Row],[date]], 1)</f>
        <v>0.33333333333575865</v>
      </c>
      <c r="Y233" s="25" t="str">
        <f t="shared" si="3"/>
        <v/>
      </c>
      <c r="Z233" s="22">
        <v>0</v>
      </c>
      <c r="AA233" s="48">
        <f>general_price[[#This Row],[Battery (Charging) -  MW]]+general_price[[#This Row],[Battery (Discharging) -  MW]]</f>
        <v>126.75999999999999</v>
      </c>
      <c r="AB233" s="48">
        <f>general_price[[#This Row],[Pumps -  MW]]+general_price[[#This Row],[Hydro -  MW]]</f>
        <v>843.08</v>
      </c>
    </row>
    <row r="234" spans="1:28">
      <c r="A234" s="13">
        <v>45854.354166666664</v>
      </c>
      <c r="B234" s="14">
        <v>-7.14</v>
      </c>
      <c r="C234" s="15">
        <v>0</v>
      </c>
      <c r="D234" s="15">
        <v>-103.05</v>
      </c>
      <c r="E234" s="15">
        <v>962.71</v>
      </c>
      <c r="F234" s="15">
        <v>6740.14</v>
      </c>
      <c r="G234" s="15">
        <v>28.17</v>
      </c>
      <c r="H234" s="15">
        <v>380.33</v>
      </c>
      <c r="I234" s="15">
        <v>609.87</v>
      </c>
      <c r="J234" s="15">
        <v>77.94</v>
      </c>
      <c r="K234" s="15">
        <v>243.18</v>
      </c>
      <c r="L234" s="15">
        <v>728.07</v>
      </c>
      <c r="M234" s="15">
        <v>1038.1199999999999</v>
      </c>
      <c r="N234" s="15">
        <v>889.76</v>
      </c>
      <c r="O234" s="15">
        <v>8.9600000000000009</v>
      </c>
      <c r="P234" s="15">
        <v>35.06</v>
      </c>
      <c r="Q234" s="15">
        <v>318.33</v>
      </c>
      <c r="R234" s="15">
        <v>3048.82</v>
      </c>
      <c r="S234" s="15">
        <v>0.51</v>
      </c>
      <c r="T234" s="15">
        <v>70.7</v>
      </c>
      <c r="U234" s="15">
        <v>188.3</v>
      </c>
      <c r="V234" s="15">
        <v>570.99</v>
      </c>
      <c r="W234" s="16">
        <v>134.05000000000001</v>
      </c>
      <c r="X234" s="31">
        <f>MOD(general_price[[#This Row],[date]], 1)</f>
        <v>0.35416666666424135</v>
      </c>
      <c r="Y234" s="25" t="str">
        <f t="shared" si="3"/>
        <v/>
      </c>
      <c r="Z234" s="22">
        <v>0</v>
      </c>
      <c r="AA234" s="48">
        <f>general_price[[#This Row],[Battery (Charging) -  MW]]+general_price[[#This Row],[Battery (Discharging) -  MW]]</f>
        <v>70.8</v>
      </c>
      <c r="AB234" s="48">
        <f>general_price[[#This Row],[Pumps -  MW]]+general_price[[#This Row],[Hydro -  MW]]</f>
        <v>243.18</v>
      </c>
    </row>
    <row r="235" spans="1:28">
      <c r="A235" s="13">
        <v>45854.375</v>
      </c>
      <c r="B235" s="14">
        <v>-6.88</v>
      </c>
      <c r="C235" s="15">
        <v>0</v>
      </c>
      <c r="D235" s="15">
        <v>-276.20999999999998</v>
      </c>
      <c r="E235" s="15">
        <v>1228.28</v>
      </c>
      <c r="F235" s="15">
        <v>6353.45</v>
      </c>
      <c r="G235" s="15">
        <v>26.62</v>
      </c>
      <c r="H235" s="15">
        <v>120.67</v>
      </c>
      <c r="I235" s="15">
        <v>370.52</v>
      </c>
      <c r="J235" s="15">
        <v>37.97</v>
      </c>
      <c r="K235" s="15">
        <v>80</v>
      </c>
      <c r="L235" s="15">
        <v>577.47</v>
      </c>
      <c r="M235" s="15">
        <v>1505.56</v>
      </c>
      <c r="N235" s="15">
        <v>1469.23</v>
      </c>
      <c r="O235" s="15">
        <v>10.35</v>
      </c>
      <c r="P235" s="15">
        <v>92.93</v>
      </c>
      <c r="Q235" s="15">
        <v>346.36</v>
      </c>
      <c r="R235" s="15">
        <v>2872.29</v>
      </c>
      <c r="S235" s="15">
        <v>0.48</v>
      </c>
      <c r="T235" s="15">
        <v>22.43</v>
      </c>
      <c r="U235" s="15">
        <v>105.24</v>
      </c>
      <c r="V235" s="15">
        <v>522.41999999999996</v>
      </c>
      <c r="W235" s="16">
        <v>76.8</v>
      </c>
      <c r="X235" s="31">
        <f>MOD(general_price[[#This Row],[date]], 1)</f>
        <v>0.375</v>
      </c>
      <c r="Y235" s="25" t="str">
        <f t="shared" si="3"/>
        <v/>
      </c>
      <c r="Z235" s="22">
        <v>0</v>
      </c>
      <c r="AA235" s="48">
        <f>general_price[[#This Row],[Battery (Charging) -  MW]]+general_price[[#This Row],[Battery (Discharging) -  MW]]</f>
        <v>31.09</v>
      </c>
      <c r="AB235" s="48">
        <f>general_price[[#This Row],[Pumps -  MW]]+general_price[[#This Row],[Hydro -  MW]]</f>
        <v>80</v>
      </c>
    </row>
    <row r="236" spans="1:28">
      <c r="A236" s="13">
        <v>45854.395833333336</v>
      </c>
      <c r="B236" s="14">
        <v>-6.98</v>
      </c>
      <c r="C236" s="15">
        <v>0</v>
      </c>
      <c r="D236" s="15">
        <v>-254.46</v>
      </c>
      <c r="E236" s="15">
        <v>1162.07</v>
      </c>
      <c r="F236" s="15">
        <v>6027.26</v>
      </c>
      <c r="G236" s="15">
        <v>7.14</v>
      </c>
      <c r="H236" s="15">
        <v>0</v>
      </c>
      <c r="I236" s="15">
        <v>71.680000000000007</v>
      </c>
      <c r="J236" s="15">
        <v>6.25</v>
      </c>
      <c r="K236" s="15">
        <v>32.31</v>
      </c>
      <c r="L236" s="15">
        <v>520.59</v>
      </c>
      <c r="M236" s="15">
        <v>1840.47</v>
      </c>
      <c r="N236" s="15">
        <v>2052.06</v>
      </c>
      <c r="O236" s="15">
        <v>11.57</v>
      </c>
      <c r="P236" s="15">
        <v>85.82</v>
      </c>
      <c r="Q236" s="15">
        <v>323.36</v>
      </c>
      <c r="R236" s="15">
        <v>2727.61</v>
      </c>
      <c r="S236" s="15">
        <v>0.14000000000000001</v>
      </c>
      <c r="T236" s="15">
        <v>0</v>
      </c>
      <c r="U236" s="15">
        <v>20.93</v>
      </c>
      <c r="V236" s="15">
        <v>479.77</v>
      </c>
      <c r="W236" s="16">
        <v>63.76</v>
      </c>
      <c r="X236" s="31">
        <f>MOD(general_price[[#This Row],[date]], 1)</f>
        <v>0.39583333333575865</v>
      </c>
      <c r="Y236" s="25" t="str">
        <f t="shared" si="3"/>
        <v/>
      </c>
      <c r="Z236" s="22">
        <v>0</v>
      </c>
      <c r="AA236" s="48">
        <f>general_price[[#This Row],[Battery (Charging) -  MW]]+general_price[[#This Row],[Battery (Discharging) -  MW]]</f>
        <v>-0.73000000000000043</v>
      </c>
      <c r="AB236" s="48">
        <f>general_price[[#This Row],[Pumps -  MW]]+general_price[[#This Row],[Hydro -  MW]]</f>
        <v>32.31</v>
      </c>
    </row>
    <row r="237" spans="1:28">
      <c r="A237" s="13">
        <v>45854.416666666664</v>
      </c>
      <c r="B237" s="14">
        <v>-77.48</v>
      </c>
      <c r="C237" s="15">
        <v>0</v>
      </c>
      <c r="D237" s="15">
        <v>-278.38</v>
      </c>
      <c r="E237" s="15">
        <v>1122.33</v>
      </c>
      <c r="F237" s="15">
        <v>5381.56</v>
      </c>
      <c r="G237" s="15">
        <v>-0.23</v>
      </c>
      <c r="H237" s="15">
        <v>0</v>
      </c>
      <c r="I237" s="15">
        <v>36.799999999999997</v>
      </c>
      <c r="J237" s="15">
        <v>0.53</v>
      </c>
      <c r="K237" s="15">
        <v>34.25</v>
      </c>
      <c r="L237" s="15">
        <v>506.81</v>
      </c>
      <c r="M237" s="15">
        <v>2087.0500000000002</v>
      </c>
      <c r="N237" s="15">
        <v>2591.34</v>
      </c>
      <c r="O237" s="15">
        <v>12.44</v>
      </c>
      <c r="P237" s="15">
        <v>91.56</v>
      </c>
      <c r="Q237" s="15">
        <v>316.43</v>
      </c>
      <c r="R237" s="15">
        <v>2435.9699999999998</v>
      </c>
      <c r="S237" s="15">
        <v>0.02</v>
      </c>
      <c r="T237" s="15">
        <v>0</v>
      </c>
      <c r="U237" s="15">
        <v>11.08</v>
      </c>
      <c r="V237" s="15">
        <v>429.14</v>
      </c>
      <c r="W237" s="16">
        <v>-0.01</v>
      </c>
      <c r="X237" s="31">
        <f>MOD(general_price[[#This Row],[date]], 1)</f>
        <v>0.41666666666424135</v>
      </c>
      <c r="Y237" s="25" t="str">
        <f t="shared" si="3"/>
        <v/>
      </c>
      <c r="Z237" s="22">
        <v>0</v>
      </c>
      <c r="AA237" s="48">
        <f>general_price[[#This Row],[Battery (Charging) -  MW]]+general_price[[#This Row],[Battery (Discharging) -  MW]]</f>
        <v>-76.95</v>
      </c>
      <c r="AB237" s="48">
        <f>general_price[[#This Row],[Pumps -  MW]]+general_price[[#This Row],[Hydro -  MW]]</f>
        <v>34.25</v>
      </c>
    </row>
    <row r="238" spans="1:28">
      <c r="A238" s="13">
        <v>45854.4375</v>
      </c>
      <c r="B238" s="14">
        <v>-111.94</v>
      </c>
      <c r="C238" s="15">
        <v>0</v>
      </c>
      <c r="D238" s="15">
        <v>-290.77999999999997</v>
      </c>
      <c r="E238" s="15">
        <v>1114.8900000000001</v>
      </c>
      <c r="F238" s="15">
        <v>4791.59</v>
      </c>
      <c r="G238" s="15">
        <v>-0.13</v>
      </c>
      <c r="H238" s="15">
        <v>0</v>
      </c>
      <c r="I238" s="15">
        <v>36.56</v>
      </c>
      <c r="J238" s="15">
        <v>0.03</v>
      </c>
      <c r="K238" s="15">
        <v>0</v>
      </c>
      <c r="L238" s="15">
        <v>457.49</v>
      </c>
      <c r="M238" s="15">
        <v>2175.84</v>
      </c>
      <c r="N238" s="15">
        <v>3025.77</v>
      </c>
      <c r="O238" s="15">
        <v>13.29</v>
      </c>
      <c r="P238" s="15">
        <v>94.65</v>
      </c>
      <c r="Q238" s="15">
        <v>317.63</v>
      </c>
      <c r="R238" s="15">
        <v>2166.2600000000002</v>
      </c>
      <c r="S238" s="15">
        <v>0.02</v>
      </c>
      <c r="T238" s="15">
        <v>0</v>
      </c>
      <c r="U238" s="15">
        <v>11.01</v>
      </c>
      <c r="V238" s="15">
        <v>388.83</v>
      </c>
      <c r="W238" s="16">
        <v>56.98</v>
      </c>
      <c r="X238" s="31">
        <f>MOD(general_price[[#This Row],[date]], 1)</f>
        <v>0.4375</v>
      </c>
      <c r="Y238" s="25" t="str">
        <f t="shared" si="3"/>
        <v/>
      </c>
      <c r="Z238" s="22">
        <v>0</v>
      </c>
      <c r="AA238" s="48">
        <f>general_price[[#This Row],[Battery (Charging) -  MW]]+general_price[[#This Row],[Battery (Discharging) -  MW]]</f>
        <v>-111.91</v>
      </c>
      <c r="AB238" s="48">
        <f>general_price[[#This Row],[Pumps -  MW]]+general_price[[#This Row],[Hydro -  MW]]</f>
        <v>0</v>
      </c>
    </row>
    <row r="239" spans="1:28">
      <c r="A239" s="13">
        <v>45854.458333333336</v>
      </c>
      <c r="B239" s="14">
        <v>-75.11</v>
      </c>
      <c r="C239" s="15">
        <v>-67.3</v>
      </c>
      <c r="D239" s="15">
        <v>-357.6</v>
      </c>
      <c r="E239" s="15">
        <v>1113.3</v>
      </c>
      <c r="F239" s="15">
        <v>4094.45</v>
      </c>
      <c r="G239" s="15">
        <v>-0.03</v>
      </c>
      <c r="H239" s="15">
        <v>0</v>
      </c>
      <c r="I239" s="15">
        <v>36.17</v>
      </c>
      <c r="J239" s="15">
        <v>137.94999999999999</v>
      </c>
      <c r="K239" s="15">
        <v>0</v>
      </c>
      <c r="L239" s="15">
        <v>466.01</v>
      </c>
      <c r="M239" s="15">
        <v>2357.94</v>
      </c>
      <c r="N239" s="15">
        <v>3358.54</v>
      </c>
      <c r="O239" s="15">
        <v>13.85</v>
      </c>
      <c r="P239" s="15">
        <v>111.66</v>
      </c>
      <c r="Q239" s="15">
        <v>319.74</v>
      </c>
      <c r="R239" s="15">
        <v>1850.78</v>
      </c>
      <c r="S239" s="15">
        <v>0.02</v>
      </c>
      <c r="T239" s="15">
        <v>0</v>
      </c>
      <c r="U239" s="15">
        <v>10.89</v>
      </c>
      <c r="V239" s="15">
        <v>336.52</v>
      </c>
      <c r="W239" s="16">
        <v>-14.01</v>
      </c>
      <c r="X239" s="31">
        <f>MOD(general_price[[#This Row],[date]], 1)</f>
        <v>0.45833333333575865</v>
      </c>
      <c r="Y239" s="25" t="str">
        <f t="shared" si="3"/>
        <v/>
      </c>
      <c r="Z239" s="22">
        <v>0</v>
      </c>
      <c r="AA239" s="48">
        <f>general_price[[#This Row],[Battery (Charging) -  MW]]+general_price[[#This Row],[Battery (Discharging) -  MW]]</f>
        <v>62.839999999999989</v>
      </c>
      <c r="AB239" s="48">
        <f>general_price[[#This Row],[Pumps -  MW]]+general_price[[#This Row],[Hydro -  MW]]</f>
        <v>-67.3</v>
      </c>
    </row>
    <row r="240" spans="1:28">
      <c r="A240" s="13">
        <v>45854.479166666664</v>
      </c>
      <c r="B240" s="14">
        <v>-105.88</v>
      </c>
      <c r="C240" s="15">
        <v>-256.69</v>
      </c>
      <c r="D240" s="15">
        <v>-236.64</v>
      </c>
      <c r="E240" s="15">
        <v>1052.3499999999999</v>
      </c>
      <c r="F240" s="15">
        <v>3594.12</v>
      </c>
      <c r="G240" s="15">
        <v>-0.05</v>
      </c>
      <c r="H240" s="15">
        <v>0</v>
      </c>
      <c r="I240" s="15">
        <v>35.770000000000003</v>
      </c>
      <c r="J240" s="15">
        <v>129.59</v>
      </c>
      <c r="K240" s="15">
        <v>0</v>
      </c>
      <c r="L240" s="15">
        <v>437.97</v>
      </c>
      <c r="M240" s="15">
        <v>2518.3200000000002</v>
      </c>
      <c r="N240" s="15">
        <v>3578.98</v>
      </c>
      <c r="O240" s="15">
        <v>14.32</v>
      </c>
      <c r="P240" s="15">
        <v>68.989999999999995</v>
      </c>
      <c r="Q240" s="15">
        <v>299.70999999999998</v>
      </c>
      <c r="R240" s="15">
        <v>1624.87</v>
      </c>
      <c r="S240" s="15">
        <v>0.03</v>
      </c>
      <c r="T240" s="15">
        <v>0</v>
      </c>
      <c r="U240" s="15">
        <v>10.77</v>
      </c>
      <c r="V240" s="15">
        <v>304.37</v>
      </c>
      <c r="W240" s="16">
        <v>35.880000000000003</v>
      </c>
      <c r="X240" s="31">
        <f>MOD(general_price[[#This Row],[date]], 1)</f>
        <v>0.47916666666424135</v>
      </c>
      <c r="Y240" s="25" t="str">
        <f t="shared" si="3"/>
        <v/>
      </c>
      <c r="Z240" s="22">
        <v>0</v>
      </c>
      <c r="AA240" s="48">
        <f>general_price[[#This Row],[Battery (Charging) -  MW]]+general_price[[#This Row],[Battery (Discharging) -  MW]]</f>
        <v>23.710000000000008</v>
      </c>
      <c r="AB240" s="48">
        <f>general_price[[#This Row],[Pumps -  MW]]+general_price[[#This Row],[Hydro -  MW]]</f>
        <v>-256.69</v>
      </c>
    </row>
    <row r="241" spans="1:28">
      <c r="A241" s="13">
        <v>45854.5</v>
      </c>
      <c r="B241" s="14">
        <v>-92.17</v>
      </c>
      <c r="C241" s="15">
        <v>-271.67</v>
      </c>
      <c r="D241" s="15">
        <v>-248.87</v>
      </c>
      <c r="E241" s="15">
        <v>925.28</v>
      </c>
      <c r="F241" s="15">
        <v>3480.66</v>
      </c>
      <c r="G241" s="15">
        <v>-0.81</v>
      </c>
      <c r="H241" s="15">
        <v>0</v>
      </c>
      <c r="I241" s="15">
        <v>35.65</v>
      </c>
      <c r="J241" s="15">
        <v>0.75</v>
      </c>
      <c r="K241" s="15">
        <v>0</v>
      </c>
      <c r="L241" s="15">
        <v>394.03</v>
      </c>
      <c r="M241" s="15">
        <v>2607.6</v>
      </c>
      <c r="N241" s="15">
        <v>3698.06</v>
      </c>
      <c r="O241" s="15">
        <v>15.18</v>
      </c>
      <c r="P241" s="15">
        <v>58.04</v>
      </c>
      <c r="Q241" s="15">
        <v>240.05</v>
      </c>
      <c r="R241" s="15">
        <v>1574.42</v>
      </c>
      <c r="S241" s="15">
        <v>0.03</v>
      </c>
      <c r="T241" s="15">
        <v>0</v>
      </c>
      <c r="U241" s="15">
        <v>10.73</v>
      </c>
      <c r="V241" s="15">
        <v>301.12</v>
      </c>
      <c r="W241" s="16">
        <v>-9.5</v>
      </c>
      <c r="X241" s="31">
        <f>MOD(general_price[[#This Row],[date]], 1)</f>
        <v>0.5</v>
      </c>
      <c r="Y241" s="25" t="str">
        <f t="shared" si="3"/>
        <v/>
      </c>
      <c r="Z241" s="22">
        <v>0</v>
      </c>
      <c r="AA241" s="48">
        <f>general_price[[#This Row],[Battery (Charging) -  MW]]+general_price[[#This Row],[Battery (Discharging) -  MW]]</f>
        <v>-91.42</v>
      </c>
      <c r="AB241" s="48">
        <f>general_price[[#This Row],[Pumps -  MW]]+general_price[[#This Row],[Hydro -  MW]]</f>
        <v>-271.67</v>
      </c>
    </row>
    <row r="242" spans="1:28">
      <c r="A242" s="13">
        <v>45854.520833333336</v>
      </c>
      <c r="B242" s="14">
        <v>-92.57</v>
      </c>
      <c r="C242" s="15">
        <v>-271.18</v>
      </c>
      <c r="D242" s="15">
        <v>-283.45</v>
      </c>
      <c r="E242" s="15">
        <v>914.72</v>
      </c>
      <c r="F242" s="15">
        <v>3401.49</v>
      </c>
      <c r="G242" s="15">
        <v>-0.89</v>
      </c>
      <c r="H242" s="15">
        <v>0</v>
      </c>
      <c r="I242" s="15">
        <v>36.44</v>
      </c>
      <c r="J242" s="15">
        <v>1.18</v>
      </c>
      <c r="K242" s="15">
        <v>0</v>
      </c>
      <c r="L242" s="15">
        <v>418.58</v>
      </c>
      <c r="M242" s="15">
        <v>2571.08</v>
      </c>
      <c r="N242" s="15">
        <v>3708.24</v>
      </c>
      <c r="O242" s="15">
        <v>15.85</v>
      </c>
      <c r="P242" s="15">
        <v>65.56</v>
      </c>
      <c r="Q242" s="15">
        <v>241.96</v>
      </c>
      <c r="R242" s="15">
        <v>1539.08</v>
      </c>
      <c r="S242" s="15">
        <v>0.03</v>
      </c>
      <c r="T242" s="15">
        <v>0</v>
      </c>
      <c r="U242" s="15">
        <v>10.97</v>
      </c>
      <c r="V242" s="15">
        <v>297.99</v>
      </c>
      <c r="W242" s="16">
        <v>56.98</v>
      </c>
      <c r="X242" s="31">
        <f>MOD(general_price[[#This Row],[date]], 1)</f>
        <v>0.52083333333575865</v>
      </c>
      <c r="Y242" s="25" t="str">
        <f t="shared" si="3"/>
        <v/>
      </c>
      <c r="Z242" s="22">
        <v>0</v>
      </c>
      <c r="AA242" s="48">
        <f>general_price[[#This Row],[Battery (Charging) -  MW]]+general_price[[#This Row],[Battery (Discharging) -  MW]]</f>
        <v>-91.389999999999986</v>
      </c>
      <c r="AB242" s="48">
        <f>general_price[[#This Row],[Pumps -  MW]]+general_price[[#This Row],[Hydro -  MW]]</f>
        <v>-271.18</v>
      </c>
    </row>
    <row r="243" spans="1:28">
      <c r="A243" s="13">
        <v>45854.541666666664</v>
      </c>
      <c r="B243" s="14">
        <v>-213.99</v>
      </c>
      <c r="C243" s="15">
        <v>-271.22000000000003</v>
      </c>
      <c r="D243" s="15">
        <v>-265.19</v>
      </c>
      <c r="E243" s="15">
        <v>907.66</v>
      </c>
      <c r="F243" s="15">
        <v>3382.89</v>
      </c>
      <c r="G243" s="15">
        <v>5.98</v>
      </c>
      <c r="H243" s="15">
        <v>0</v>
      </c>
      <c r="I243" s="15">
        <v>37.31</v>
      </c>
      <c r="J243" s="15">
        <v>0.42</v>
      </c>
      <c r="K243" s="15">
        <v>0</v>
      </c>
      <c r="L243" s="15">
        <v>507.13</v>
      </c>
      <c r="M243" s="15">
        <v>2446.92</v>
      </c>
      <c r="N243" s="15">
        <v>3593.2</v>
      </c>
      <c r="O243" s="15">
        <v>16.43</v>
      </c>
      <c r="P243" s="15">
        <v>61.46</v>
      </c>
      <c r="Q243" s="15">
        <v>241.73</v>
      </c>
      <c r="R243" s="15">
        <v>1530.81</v>
      </c>
      <c r="S243" s="15">
        <v>0.12</v>
      </c>
      <c r="T243" s="15">
        <v>0</v>
      </c>
      <c r="U243" s="15">
        <v>11.23</v>
      </c>
      <c r="V243" s="15">
        <v>304.44</v>
      </c>
      <c r="W243" s="16">
        <v>-14.99</v>
      </c>
      <c r="X243" s="31">
        <f>MOD(general_price[[#This Row],[date]], 1)</f>
        <v>0.54166666666424135</v>
      </c>
      <c r="Y243" s="25" t="str">
        <f t="shared" si="3"/>
        <v/>
      </c>
      <c r="Z243" s="22">
        <v>0</v>
      </c>
      <c r="AA243" s="48">
        <f>general_price[[#This Row],[Battery (Charging) -  MW]]+general_price[[#This Row],[Battery (Discharging) -  MW]]</f>
        <v>-213.57000000000002</v>
      </c>
      <c r="AB243" s="48">
        <f>general_price[[#This Row],[Pumps -  MW]]+general_price[[#This Row],[Hydro -  MW]]</f>
        <v>-271.22000000000003</v>
      </c>
    </row>
    <row r="244" spans="1:28">
      <c r="A244" s="13">
        <v>45854.5625</v>
      </c>
      <c r="B244" s="14">
        <v>-154.68</v>
      </c>
      <c r="C244" s="15">
        <v>-270.79000000000002</v>
      </c>
      <c r="D244" s="15">
        <v>-282.10000000000002</v>
      </c>
      <c r="E244" s="15">
        <v>906.06</v>
      </c>
      <c r="F244" s="15">
        <v>3391.47</v>
      </c>
      <c r="G244" s="15">
        <v>17.32</v>
      </c>
      <c r="H244" s="15">
        <v>0</v>
      </c>
      <c r="I244" s="15">
        <v>36.93</v>
      </c>
      <c r="J244" s="15">
        <v>17.059999999999999</v>
      </c>
      <c r="K244" s="15">
        <v>0</v>
      </c>
      <c r="L244" s="15">
        <v>550.49</v>
      </c>
      <c r="M244" s="15">
        <v>2344.6</v>
      </c>
      <c r="N244" s="15">
        <v>3386.53</v>
      </c>
      <c r="O244" s="15">
        <v>16.79</v>
      </c>
      <c r="P244" s="15">
        <v>65.8</v>
      </c>
      <c r="Q244" s="15">
        <v>239.66</v>
      </c>
      <c r="R244" s="15">
        <v>1534.69</v>
      </c>
      <c r="S244" s="15">
        <v>0.31</v>
      </c>
      <c r="T244" s="15">
        <v>0</v>
      </c>
      <c r="U244" s="15">
        <v>11.12</v>
      </c>
      <c r="V244" s="15">
        <v>311</v>
      </c>
      <c r="W244" s="16">
        <v>-18</v>
      </c>
      <c r="X244" s="31">
        <f>MOD(general_price[[#This Row],[date]], 1)</f>
        <v>0.5625</v>
      </c>
      <c r="Y244" s="25" t="str">
        <f t="shared" si="3"/>
        <v/>
      </c>
      <c r="Z244" s="22">
        <v>0</v>
      </c>
      <c r="AA244" s="48">
        <f>general_price[[#This Row],[Battery (Charging) -  MW]]+general_price[[#This Row],[Battery (Discharging) -  MW]]</f>
        <v>-137.62</v>
      </c>
      <c r="AB244" s="48">
        <f>general_price[[#This Row],[Pumps -  MW]]+general_price[[#This Row],[Hydro -  MW]]</f>
        <v>-270.79000000000002</v>
      </c>
    </row>
    <row r="245" spans="1:28">
      <c r="A245" s="13">
        <v>45854.583333333336</v>
      </c>
      <c r="B245" s="14">
        <v>-57.89</v>
      </c>
      <c r="C245" s="15">
        <v>-271.17</v>
      </c>
      <c r="D245" s="15">
        <v>-265.55</v>
      </c>
      <c r="E245" s="15">
        <v>863.9</v>
      </c>
      <c r="F245" s="15">
        <v>3393.65</v>
      </c>
      <c r="G245" s="15">
        <v>16.13</v>
      </c>
      <c r="H245" s="15">
        <v>0</v>
      </c>
      <c r="I245" s="15">
        <v>36.880000000000003</v>
      </c>
      <c r="J245" s="15">
        <v>1.87</v>
      </c>
      <c r="K245" s="15">
        <v>0</v>
      </c>
      <c r="L245" s="15">
        <v>618.38</v>
      </c>
      <c r="M245" s="15">
        <v>2393.77</v>
      </c>
      <c r="N245" s="15">
        <v>3096.16</v>
      </c>
      <c r="O245" s="15">
        <v>17.25</v>
      </c>
      <c r="P245" s="15">
        <v>60.99</v>
      </c>
      <c r="Q245" s="15">
        <v>234.58</v>
      </c>
      <c r="R245" s="15">
        <v>1535.72</v>
      </c>
      <c r="S245" s="15">
        <v>0.28000000000000003</v>
      </c>
      <c r="T245" s="15">
        <v>0</v>
      </c>
      <c r="U245" s="15">
        <v>11.1</v>
      </c>
      <c r="V245" s="15">
        <v>314.89999999999998</v>
      </c>
      <c r="W245" s="16">
        <v>-9.5</v>
      </c>
      <c r="X245" s="31">
        <f>MOD(general_price[[#This Row],[date]], 1)</f>
        <v>0.58333333333575865</v>
      </c>
      <c r="Y245" s="25" t="str">
        <f t="shared" si="3"/>
        <v/>
      </c>
      <c r="Z245" s="22">
        <v>0</v>
      </c>
      <c r="AA245" s="48">
        <f>general_price[[#This Row],[Battery (Charging) -  MW]]+general_price[[#This Row],[Battery (Discharging) -  MW]]</f>
        <v>-56.02</v>
      </c>
      <c r="AB245" s="48">
        <f>general_price[[#This Row],[Pumps -  MW]]+general_price[[#This Row],[Hydro -  MW]]</f>
        <v>-271.17</v>
      </c>
    </row>
    <row r="246" spans="1:28">
      <c r="A246" s="13">
        <v>45854.604166666664</v>
      </c>
      <c r="B246" s="14">
        <v>-116.89</v>
      </c>
      <c r="C246" s="15">
        <v>-271.07</v>
      </c>
      <c r="D246" s="15">
        <v>-233.49</v>
      </c>
      <c r="E246" s="15">
        <v>907.39</v>
      </c>
      <c r="F246" s="15">
        <v>3576.46</v>
      </c>
      <c r="G246" s="15">
        <v>14.86</v>
      </c>
      <c r="H246" s="15">
        <v>0</v>
      </c>
      <c r="I246" s="15">
        <v>37.08</v>
      </c>
      <c r="J246" s="15">
        <v>1.87</v>
      </c>
      <c r="K246" s="15">
        <v>0</v>
      </c>
      <c r="L246" s="15">
        <v>660.47</v>
      </c>
      <c r="M246" s="15">
        <v>2390.09</v>
      </c>
      <c r="N246" s="15">
        <v>2720.09</v>
      </c>
      <c r="O246" s="15">
        <v>17.63</v>
      </c>
      <c r="P246" s="15">
        <v>54.79</v>
      </c>
      <c r="Q246" s="15">
        <v>243.47</v>
      </c>
      <c r="R246" s="15">
        <v>1619.36</v>
      </c>
      <c r="S246" s="15">
        <v>0.26</v>
      </c>
      <c r="T246" s="15">
        <v>0</v>
      </c>
      <c r="U246" s="15">
        <v>11.17</v>
      </c>
      <c r="V246" s="15">
        <v>336.7</v>
      </c>
      <c r="W246" s="16">
        <v>-14.99</v>
      </c>
      <c r="X246" s="31">
        <f>MOD(general_price[[#This Row],[date]], 1)</f>
        <v>0.60416666666424135</v>
      </c>
      <c r="Y246" s="25" t="str">
        <f t="shared" si="3"/>
        <v/>
      </c>
      <c r="Z246" s="22">
        <v>0</v>
      </c>
      <c r="AA246" s="48">
        <f>general_price[[#This Row],[Battery (Charging) -  MW]]+general_price[[#This Row],[Battery (Discharging) -  MW]]</f>
        <v>-115.02</v>
      </c>
      <c r="AB246" s="48">
        <f>general_price[[#This Row],[Pumps -  MW]]+general_price[[#This Row],[Hydro -  MW]]</f>
        <v>-271.07</v>
      </c>
    </row>
    <row r="247" spans="1:28">
      <c r="A247" s="13">
        <v>45854.625</v>
      </c>
      <c r="B247" s="14">
        <v>-5.53</v>
      </c>
      <c r="C247" s="15">
        <v>-271.54000000000002</v>
      </c>
      <c r="D247" s="15">
        <v>-253.13</v>
      </c>
      <c r="E247" s="15">
        <v>804.33</v>
      </c>
      <c r="F247" s="15">
        <v>3890.8</v>
      </c>
      <c r="G247" s="15">
        <v>14.82</v>
      </c>
      <c r="H247" s="15">
        <v>3.83</v>
      </c>
      <c r="I247" s="15">
        <v>37.17</v>
      </c>
      <c r="J247" s="15">
        <v>6.61</v>
      </c>
      <c r="K247" s="15">
        <v>0</v>
      </c>
      <c r="L247" s="15">
        <v>663.22</v>
      </c>
      <c r="M247" s="15">
        <v>2312.6</v>
      </c>
      <c r="N247" s="15">
        <v>2242.0500000000002</v>
      </c>
      <c r="O247" s="15">
        <v>17.66</v>
      </c>
      <c r="P247" s="15">
        <v>62.32</v>
      </c>
      <c r="Q247" s="15">
        <v>207.72</v>
      </c>
      <c r="R247" s="15">
        <v>1761.27</v>
      </c>
      <c r="S247" s="15">
        <v>0.26</v>
      </c>
      <c r="T247" s="15">
        <v>0.71</v>
      </c>
      <c r="U247" s="15">
        <v>11.19</v>
      </c>
      <c r="V247" s="15">
        <v>375.52</v>
      </c>
      <c r="W247" s="16">
        <v>35.880000000000003</v>
      </c>
      <c r="X247" s="31">
        <f>MOD(general_price[[#This Row],[date]], 1)</f>
        <v>0.625</v>
      </c>
      <c r="Y247" s="25" t="str">
        <f t="shared" si="3"/>
        <v/>
      </c>
      <c r="Z247" s="22">
        <v>0</v>
      </c>
      <c r="AA247" s="48">
        <f>general_price[[#This Row],[Battery (Charging) -  MW]]+general_price[[#This Row],[Battery (Discharging) -  MW]]</f>
        <v>1.08</v>
      </c>
      <c r="AB247" s="48">
        <f>general_price[[#This Row],[Pumps -  MW]]+general_price[[#This Row],[Hydro -  MW]]</f>
        <v>-271.54000000000002</v>
      </c>
    </row>
    <row r="248" spans="1:28">
      <c r="A248" s="13">
        <v>45854.645833333336</v>
      </c>
      <c r="B248" s="14">
        <v>-17.36</v>
      </c>
      <c r="C248" s="15">
        <v>-58.45</v>
      </c>
      <c r="D248" s="15">
        <v>-270.01</v>
      </c>
      <c r="E248" s="15">
        <v>805.58</v>
      </c>
      <c r="F248" s="15">
        <v>4338.79</v>
      </c>
      <c r="G248" s="15">
        <v>15.96</v>
      </c>
      <c r="H248" s="15">
        <v>101.33</v>
      </c>
      <c r="I248" s="15">
        <v>37.840000000000003</v>
      </c>
      <c r="J248" s="15">
        <v>32.04</v>
      </c>
      <c r="K248" s="15">
        <v>0</v>
      </c>
      <c r="L248" s="15">
        <v>642.19000000000005</v>
      </c>
      <c r="M248" s="15">
        <v>2153.73</v>
      </c>
      <c r="N248" s="15">
        <v>1667.16</v>
      </c>
      <c r="O248" s="15">
        <v>17.87</v>
      </c>
      <c r="P248" s="15">
        <v>73</v>
      </c>
      <c r="Q248" s="15">
        <v>218.14</v>
      </c>
      <c r="R248" s="15">
        <v>1965.32</v>
      </c>
      <c r="S248" s="15">
        <v>0.28000000000000003</v>
      </c>
      <c r="T248" s="15">
        <v>18.84</v>
      </c>
      <c r="U248" s="15">
        <v>11.39</v>
      </c>
      <c r="V248" s="15">
        <v>422.45</v>
      </c>
      <c r="W248" s="16">
        <v>0</v>
      </c>
      <c r="X248" s="31">
        <f>MOD(general_price[[#This Row],[date]], 1)</f>
        <v>0.64583333333575865</v>
      </c>
      <c r="Y248" s="25" t="str">
        <f t="shared" si="3"/>
        <v/>
      </c>
      <c r="Z248" s="22">
        <v>0</v>
      </c>
      <c r="AA248" s="48">
        <f>general_price[[#This Row],[Battery (Charging) -  MW]]+general_price[[#This Row],[Battery (Discharging) -  MW]]</f>
        <v>14.68</v>
      </c>
      <c r="AB248" s="48">
        <f>general_price[[#This Row],[Pumps -  MW]]+general_price[[#This Row],[Hydro -  MW]]</f>
        <v>-58.45</v>
      </c>
    </row>
    <row r="249" spans="1:28">
      <c r="A249" s="13">
        <v>45854.666666666664</v>
      </c>
      <c r="B249" s="14">
        <v>-16.07</v>
      </c>
      <c r="C249" s="15">
        <v>0</v>
      </c>
      <c r="D249" s="15">
        <v>-170.57</v>
      </c>
      <c r="E249" s="15">
        <v>726.44</v>
      </c>
      <c r="F249" s="15">
        <v>5004.04</v>
      </c>
      <c r="G249" s="15">
        <v>15.33</v>
      </c>
      <c r="H249" s="15">
        <v>233.17</v>
      </c>
      <c r="I249" s="15">
        <v>103.98</v>
      </c>
      <c r="J249" s="15">
        <v>46.69</v>
      </c>
      <c r="K249" s="15">
        <v>0</v>
      </c>
      <c r="L249" s="15">
        <v>613.4</v>
      </c>
      <c r="M249" s="15">
        <v>1732.88</v>
      </c>
      <c r="N249" s="15">
        <v>1077.18</v>
      </c>
      <c r="O249" s="15">
        <v>16.55</v>
      </c>
      <c r="P249" s="15">
        <v>51.42</v>
      </c>
      <c r="Q249" s="15">
        <v>219.37</v>
      </c>
      <c r="R249" s="15">
        <v>2269.4899999999998</v>
      </c>
      <c r="S249" s="15">
        <v>0.28000000000000003</v>
      </c>
      <c r="T249" s="15">
        <v>43.35</v>
      </c>
      <c r="U249" s="15">
        <v>30.76</v>
      </c>
      <c r="V249" s="15">
        <v>500.48</v>
      </c>
      <c r="W249" s="16">
        <v>102.78</v>
      </c>
      <c r="X249" s="31">
        <f>MOD(general_price[[#This Row],[date]], 1)</f>
        <v>0.66666666666424135</v>
      </c>
      <c r="Y249" s="25" t="str">
        <f t="shared" si="3"/>
        <v/>
      </c>
      <c r="Z249" s="22">
        <v>0</v>
      </c>
      <c r="AA249" s="48">
        <f>general_price[[#This Row],[Battery (Charging) -  MW]]+general_price[[#This Row],[Battery (Discharging) -  MW]]</f>
        <v>30.619999999999997</v>
      </c>
      <c r="AB249" s="48">
        <f>general_price[[#This Row],[Pumps -  MW]]+general_price[[#This Row],[Hydro -  MW]]</f>
        <v>0</v>
      </c>
    </row>
    <row r="250" spans="1:28">
      <c r="A250" s="13">
        <v>45854.6875</v>
      </c>
      <c r="B250" s="14">
        <v>-155.34</v>
      </c>
      <c r="C250" s="15">
        <v>0</v>
      </c>
      <c r="D250" s="15">
        <v>-294.61</v>
      </c>
      <c r="E250" s="15">
        <v>617.04</v>
      </c>
      <c r="F250" s="15">
        <v>6023.8</v>
      </c>
      <c r="G250" s="15">
        <v>5.85</v>
      </c>
      <c r="H250" s="15">
        <v>401.83</v>
      </c>
      <c r="I250" s="15">
        <v>544.23</v>
      </c>
      <c r="J250" s="15">
        <v>117.61</v>
      </c>
      <c r="K250" s="15">
        <v>360.59</v>
      </c>
      <c r="L250" s="15">
        <v>600.11</v>
      </c>
      <c r="M250" s="15">
        <v>1049.21</v>
      </c>
      <c r="N250" s="15">
        <v>544.84</v>
      </c>
      <c r="O250" s="15">
        <v>15.73</v>
      </c>
      <c r="P250" s="15">
        <v>95.76</v>
      </c>
      <c r="Q250" s="15">
        <v>204.6</v>
      </c>
      <c r="R250" s="15">
        <v>2732.22</v>
      </c>
      <c r="S250" s="15">
        <v>0.28000000000000003</v>
      </c>
      <c r="T250" s="15">
        <v>74.7</v>
      </c>
      <c r="U250" s="15">
        <v>154.22999999999999</v>
      </c>
      <c r="V250" s="15">
        <v>603.44000000000005</v>
      </c>
      <c r="W250" s="16">
        <v>97.87</v>
      </c>
      <c r="X250" s="31">
        <f>MOD(general_price[[#This Row],[date]], 1)</f>
        <v>0.6875</v>
      </c>
      <c r="Y250" s="25" t="str">
        <f t="shared" si="3"/>
        <v/>
      </c>
      <c r="Z250" s="22">
        <v>0</v>
      </c>
      <c r="AA250" s="48">
        <f>general_price[[#This Row],[Battery (Charging) -  MW]]+general_price[[#This Row],[Battery (Discharging) -  MW]]</f>
        <v>-37.730000000000004</v>
      </c>
      <c r="AB250" s="48">
        <f>general_price[[#This Row],[Pumps -  MW]]+general_price[[#This Row],[Hydro -  MW]]</f>
        <v>360.59</v>
      </c>
    </row>
    <row r="251" spans="1:28">
      <c r="A251" s="13">
        <v>45854.708333333336</v>
      </c>
      <c r="B251" s="14">
        <v>-8.01</v>
      </c>
      <c r="C251" s="15">
        <v>0</v>
      </c>
      <c r="D251" s="15">
        <v>-203.07</v>
      </c>
      <c r="E251" s="15">
        <v>645.45000000000005</v>
      </c>
      <c r="F251" s="15">
        <v>6450.83</v>
      </c>
      <c r="G251" s="15">
        <v>-4.87</v>
      </c>
      <c r="H251" s="15">
        <v>441.5</v>
      </c>
      <c r="I251" s="15">
        <v>727.54</v>
      </c>
      <c r="J251" s="15">
        <v>269.66000000000003</v>
      </c>
      <c r="K251" s="15">
        <v>873.38</v>
      </c>
      <c r="L251" s="15">
        <v>555.47</v>
      </c>
      <c r="M251" s="15">
        <v>294.99</v>
      </c>
      <c r="N251" s="15">
        <v>161.56</v>
      </c>
      <c r="O251" s="15">
        <v>14.95</v>
      </c>
      <c r="P251" s="15">
        <v>67.55</v>
      </c>
      <c r="Q251" s="15">
        <v>224.01</v>
      </c>
      <c r="R251" s="15">
        <v>2920.34</v>
      </c>
      <c r="S251" s="15">
        <v>0.37</v>
      </c>
      <c r="T251" s="15">
        <v>82.07</v>
      </c>
      <c r="U251" s="15">
        <v>209.64</v>
      </c>
      <c r="V251" s="15">
        <v>629.61</v>
      </c>
      <c r="W251" s="16">
        <v>173.64</v>
      </c>
      <c r="X251" s="31">
        <f>MOD(general_price[[#This Row],[date]], 1)</f>
        <v>0.70833333333575865</v>
      </c>
      <c r="Y251" s="25" t="str">
        <f t="shared" si="3"/>
        <v/>
      </c>
      <c r="Z251" s="22">
        <v>0</v>
      </c>
      <c r="AA251" s="48">
        <f>general_price[[#This Row],[Battery (Charging) -  MW]]+general_price[[#This Row],[Battery (Discharging) -  MW]]</f>
        <v>261.65000000000003</v>
      </c>
      <c r="AB251" s="48">
        <f>general_price[[#This Row],[Pumps -  MW]]+general_price[[#This Row],[Hydro -  MW]]</f>
        <v>873.38</v>
      </c>
    </row>
    <row r="252" spans="1:28">
      <c r="A252" s="13">
        <v>45854.729166666664</v>
      </c>
      <c r="B252" s="14">
        <v>-1.68</v>
      </c>
      <c r="C252" s="15">
        <v>0</v>
      </c>
      <c r="D252" s="15">
        <v>-73.92</v>
      </c>
      <c r="E252" s="15">
        <v>667.17</v>
      </c>
      <c r="F252" s="15">
        <v>6796.95</v>
      </c>
      <c r="G252" s="15">
        <v>-6.02</v>
      </c>
      <c r="H252" s="15">
        <v>449</v>
      </c>
      <c r="I252" s="15">
        <v>1026.98</v>
      </c>
      <c r="J252" s="15">
        <v>307.17</v>
      </c>
      <c r="K252" s="15">
        <v>1086.53</v>
      </c>
      <c r="L252" s="15">
        <v>513.66999999999996</v>
      </c>
      <c r="M252" s="15">
        <v>12.64</v>
      </c>
      <c r="N252" s="15">
        <v>18.989999999999998</v>
      </c>
      <c r="O252" s="15">
        <v>14.01</v>
      </c>
      <c r="P252" s="15">
        <v>25.25</v>
      </c>
      <c r="Q252" s="15">
        <v>233.29</v>
      </c>
      <c r="R252" s="15">
        <v>3077.33</v>
      </c>
      <c r="S252" s="15">
        <v>0.38</v>
      </c>
      <c r="T252" s="15">
        <v>83.47</v>
      </c>
      <c r="U252" s="15">
        <v>323.76</v>
      </c>
      <c r="V252" s="15">
        <v>645.51</v>
      </c>
      <c r="W252" s="16">
        <v>158.97999999999999</v>
      </c>
      <c r="X252" s="31">
        <f>MOD(general_price[[#This Row],[date]], 1)</f>
        <v>0.72916666666424135</v>
      </c>
      <c r="Y252" s="25" t="str">
        <f t="shared" si="3"/>
        <v/>
      </c>
      <c r="Z252" s="22">
        <v>0</v>
      </c>
      <c r="AA252" s="48">
        <f>general_price[[#This Row],[Battery (Charging) -  MW]]+general_price[[#This Row],[Battery (Discharging) -  MW]]</f>
        <v>305.49</v>
      </c>
      <c r="AB252" s="48">
        <f>general_price[[#This Row],[Pumps -  MW]]+general_price[[#This Row],[Hydro -  MW]]</f>
        <v>1086.53</v>
      </c>
    </row>
    <row r="253" spans="1:28">
      <c r="A253" s="13">
        <v>45854.75</v>
      </c>
      <c r="B253" s="14">
        <v>-2.61</v>
      </c>
      <c r="C253" s="15">
        <v>0</v>
      </c>
      <c r="D253" s="15">
        <v>0</v>
      </c>
      <c r="E253" s="15">
        <v>1031.05</v>
      </c>
      <c r="F253" s="15">
        <v>6879</v>
      </c>
      <c r="G253" s="15">
        <v>-4.0199999999999996</v>
      </c>
      <c r="H253" s="15">
        <v>476.23</v>
      </c>
      <c r="I253" s="15">
        <v>1039.6400000000001</v>
      </c>
      <c r="J253" s="15">
        <v>253.76</v>
      </c>
      <c r="K253" s="15">
        <v>1265.21</v>
      </c>
      <c r="L253" s="15">
        <v>530.42999999999995</v>
      </c>
      <c r="M253" s="15">
        <v>0.05</v>
      </c>
      <c r="N253" s="15">
        <v>0.26</v>
      </c>
      <c r="O253" s="15">
        <v>13.34</v>
      </c>
      <c r="P253" s="15">
        <v>0</v>
      </c>
      <c r="Q253" s="15">
        <v>366.43</v>
      </c>
      <c r="R253" s="15">
        <v>3116.91</v>
      </c>
      <c r="S253" s="15">
        <v>0.42</v>
      </c>
      <c r="T253" s="15">
        <v>93.16</v>
      </c>
      <c r="U253" s="15">
        <v>328.64</v>
      </c>
      <c r="V253" s="15">
        <v>617.16</v>
      </c>
      <c r="W253" s="16">
        <v>277.92</v>
      </c>
      <c r="X253" s="31">
        <f>MOD(general_price[[#This Row],[date]], 1)</f>
        <v>0.75</v>
      </c>
      <c r="Y253" s="25" t="str">
        <f t="shared" si="3"/>
        <v/>
      </c>
      <c r="Z253" s="22">
        <v>0</v>
      </c>
      <c r="AA253" s="48">
        <f>general_price[[#This Row],[Battery (Charging) -  MW]]+general_price[[#This Row],[Battery (Discharging) -  MW]]</f>
        <v>251.14999999999998</v>
      </c>
      <c r="AB253" s="48">
        <f>general_price[[#This Row],[Pumps -  MW]]+general_price[[#This Row],[Hydro -  MW]]</f>
        <v>1265.21</v>
      </c>
    </row>
    <row r="254" spans="1:28">
      <c r="A254" s="13">
        <v>45854.770833333336</v>
      </c>
      <c r="B254" s="14">
        <v>-1.85</v>
      </c>
      <c r="C254" s="15">
        <v>0</v>
      </c>
      <c r="D254" s="15">
        <v>0</v>
      </c>
      <c r="E254" s="15">
        <v>1143.03</v>
      </c>
      <c r="F254" s="15">
        <v>6902.17</v>
      </c>
      <c r="G254" s="15">
        <v>-2.09</v>
      </c>
      <c r="H254" s="15">
        <v>529.34</v>
      </c>
      <c r="I254" s="15">
        <v>1032.6600000000001</v>
      </c>
      <c r="J254" s="15">
        <v>241.43</v>
      </c>
      <c r="K254" s="15">
        <v>1389.06</v>
      </c>
      <c r="L254" s="15">
        <v>528.08000000000004</v>
      </c>
      <c r="M254" s="15">
        <v>0.05</v>
      </c>
      <c r="N254" s="15">
        <v>0</v>
      </c>
      <c r="O254" s="15">
        <v>13.36</v>
      </c>
      <c r="P254" s="15">
        <v>0</v>
      </c>
      <c r="Q254" s="15">
        <v>402.87</v>
      </c>
      <c r="R254" s="15">
        <v>3128.49</v>
      </c>
      <c r="S254" s="15">
        <v>0.45</v>
      </c>
      <c r="T254" s="15">
        <v>112.27</v>
      </c>
      <c r="U254" s="15">
        <v>326.66000000000003</v>
      </c>
      <c r="V254" s="15">
        <v>606.67999999999995</v>
      </c>
      <c r="W254" s="16">
        <v>261.18</v>
      </c>
      <c r="X254" s="31">
        <f>MOD(general_price[[#This Row],[date]], 1)</f>
        <v>0.77083333333575865</v>
      </c>
      <c r="Y254" s="25" t="str">
        <f t="shared" si="3"/>
        <v/>
      </c>
      <c r="Z254" s="22">
        <v>0</v>
      </c>
      <c r="AA254" s="48">
        <f>general_price[[#This Row],[Battery (Charging) -  MW]]+general_price[[#This Row],[Battery (Discharging) -  MW]]</f>
        <v>239.58</v>
      </c>
      <c r="AB254" s="48">
        <f>general_price[[#This Row],[Pumps -  MW]]+general_price[[#This Row],[Hydro -  MW]]</f>
        <v>1389.06</v>
      </c>
    </row>
    <row r="255" spans="1:28">
      <c r="A255" s="13">
        <v>45854.791666666664</v>
      </c>
      <c r="B255" s="14">
        <v>-1.62</v>
      </c>
      <c r="C255" s="15">
        <v>0</v>
      </c>
      <c r="D255" s="15">
        <v>0</v>
      </c>
      <c r="E255" s="15">
        <v>1149.19</v>
      </c>
      <c r="F255" s="15">
        <v>6929.51</v>
      </c>
      <c r="G255" s="15">
        <v>-2.2000000000000002</v>
      </c>
      <c r="H255" s="15">
        <v>530.91999999999996</v>
      </c>
      <c r="I255" s="15">
        <v>1023.79</v>
      </c>
      <c r="J255" s="15">
        <v>186.71</v>
      </c>
      <c r="K255" s="15">
        <v>1433.19</v>
      </c>
      <c r="L255" s="15">
        <v>540.27</v>
      </c>
      <c r="M255" s="15">
        <v>0.05</v>
      </c>
      <c r="N255" s="15">
        <v>0</v>
      </c>
      <c r="O255" s="15">
        <v>12.53</v>
      </c>
      <c r="P255" s="15">
        <v>0</v>
      </c>
      <c r="Q255" s="15">
        <v>409.93</v>
      </c>
      <c r="R255" s="15">
        <v>3140.87</v>
      </c>
      <c r="S255" s="15">
        <v>0.45</v>
      </c>
      <c r="T255" s="15">
        <v>112.61</v>
      </c>
      <c r="U255" s="15">
        <v>324.31</v>
      </c>
      <c r="V255" s="15">
        <v>607.01</v>
      </c>
      <c r="W255" s="16">
        <v>299.99</v>
      </c>
      <c r="X255" s="31">
        <f>MOD(general_price[[#This Row],[date]], 1)</f>
        <v>0.79166666666424135</v>
      </c>
      <c r="Y255" s="25" t="str">
        <f t="shared" si="3"/>
        <v/>
      </c>
      <c r="Z255" s="22">
        <v>0</v>
      </c>
      <c r="AA255" s="48">
        <f>general_price[[#This Row],[Battery (Charging) -  MW]]+general_price[[#This Row],[Battery (Discharging) -  MW]]</f>
        <v>185.09</v>
      </c>
      <c r="AB255" s="48">
        <f>general_price[[#This Row],[Pumps -  MW]]+general_price[[#This Row],[Hydro -  MW]]</f>
        <v>1433.19</v>
      </c>
    </row>
    <row r="256" spans="1:28">
      <c r="A256" s="13">
        <v>45854.8125</v>
      </c>
      <c r="B256" s="14">
        <v>-4.66</v>
      </c>
      <c r="C256" s="15">
        <v>0</v>
      </c>
      <c r="D256" s="15">
        <v>0</v>
      </c>
      <c r="E256" s="15">
        <v>1184.05</v>
      </c>
      <c r="F256" s="15">
        <v>6949.18</v>
      </c>
      <c r="G256" s="15">
        <v>-0.41</v>
      </c>
      <c r="H256" s="15">
        <v>530.16999999999996</v>
      </c>
      <c r="I256" s="15">
        <v>1042.5</v>
      </c>
      <c r="J256" s="15">
        <v>65.61</v>
      </c>
      <c r="K256" s="15">
        <v>1398.95</v>
      </c>
      <c r="L256" s="15">
        <v>466.98</v>
      </c>
      <c r="M256" s="15">
        <v>0.05</v>
      </c>
      <c r="N256" s="15">
        <v>0</v>
      </c>
      <c r="O256" s="15">
        <v>11.86</v>
      </c>
      <c r="P256" s="15">
        <v>0</v>
      </c>
      <c r="Q256" s="15">
        <v>420.19</v>
      </c>
      <c r="R256" s="15">
        <v>3149.38</v>
      </c>
      <c r="S256" s="15">
        <v>0.45</v>
      </c>
      <c r="T256" s="15">
        <v>112.45</v>
      </c>
      <c r="U256" s="15">
        <v>329.49</v>
      </c>
      <c r="V256" s="15">
        <v>617.54999999999995</v>
      </c>
      <c r="W256" s="16">
        <v>240.57</v>
      </c>
      <c r="X256" s="31">
        <f>MOD(general_price[[#This Row],[date]], 1)</f>
        <v>0.8125</v>
      </c>
      <c r="Y256" s="25" t="str">
        <f t="shared" si="3"/>
        <v/>
      </c>
      <c r="Z256" s="22">
        <v>0</v>
      </c>
      <c r="AA256" s="48">
        <f>general_price[[#This Row],[Battery (Charging) -  MW]]+general_price[[#This Row],[Battery (Discharging) -  MW]]</f>
        <v>60.95</v>
      </c>
      <c r="AB256" s="48">
        <f>general_price[[#This Row],[Pumps -  MW]]+general_price[[#This Row],[Hydro -  MW]]</f>
        <v>1398.95</v>
      </c>
    </row>
    <row r="257" spans="1:28">
      <c r="A257" s="13">
        <v>45854.833333333336</v>
      </c>
      <c r="B257" s="14">
        <v>-2.19</v>
      </c>
      <c r="C257" s="15">
        <v>0</v>
      </c>
      <c r="D257" s="15">
        <v>0</v>
      </c>
      <c r="E257" s="15">
        <v>1264.25</v>
      </c>
      <c r="F257" s="15">
        <v>6958.2</v>
      </c>
      <c r="G257" s="15">
        <v>-1.6</v>
      </c>
      <c r="H257" s="15">
        <v>531.04999999999995</v>
      </c>
      <c r="I257" s="15">
        <v>1036.0999999999999</v>
      </c>
      <c r="J257" s="15">
        <v>38.51</v>
      </c>
      <c r="K257" s="15">
        <v>1178.3399999999999</v>
      </c>
      <c r="L257" s="15">
        <v>444.76</v>
      </c>
      <c r="M257" s="15">
        <v>0.05</v>
      </c>
      <c r="N257" s="15">
        <v>0</v>
      </c>
      <c r="O257" s="15">
        <v>11.34</v>
      </c>
      <c r="P257" s="15">
        <v>0</v>
      </c>
      <c r="Q257" s="15">
        <v>448.01</v>
      </c>
      <c r="R257" s="15">
        <v>3151.81</v>
      </c>
      <c r="S257" s="15">
        <v>0.41</v>
      </c>
      <c r="T257" s="15">
        <v>112.77</v>
      </c>
      <c r="U257" s="15">
        <v>327.74</v>
      </c>
      <c r="V257" s="15">
        <v>627.69000000000005</v>
      </c>
      <c r="W257" s="16">
        <v>207.34</v>
      </c>
      <c r="X257" s="31">
        <f>MOD(general_price[[#This Row],[date]], 1)</f>
        <v>0.83333333333575865</v>
      </c>
      <c r="Y257" s="25" t="str">
        <f t="shared" si="3"/>
        <v/>
      </c>
      <c r="Z257" s="22">
        <v>0</v>
      </c>
      <c r="AA257" s="48">
        <f>general_price[[#This Row],[Battery (Charging) -  MW]]+general_price[[#This Row],[Battery (Discharging) -  MW]]</f>
        <v>36.32</v>
      </c>
      <c r="AB257" s="48">
        <f>general_price[[#This Row],[Pumps -  MW]]+general_price[[#This Row],[Hydro -  MW]]</f>
        <v>1178.3399999999999</v>
      </c>
    </row>
    <row r="258" spans="1:28">
      <c r="A258" s="13">
        <v>45854.854166666664</v>
      </c>
      <c r="B258" s="14">
        <v>-3.13</v>
      </c>
      <c r="C258" s="15">
        <v>0</v>
      </c>
      <c r="D258" s="15">
        <v>0</v>
      </c>
      <c r="E258" s="15">
        <v>1288.56</v>
      </c>
      <c r="F258" s="15">
        <v>6928.49</v>
      </c>
      <c r="G258" s="15">
        <v>-1.25</v>
      </c>
      <c r="H258" s="15">
        <v>517.71</v>
      </c>
      <c r="I258" s="15">
        <v>1030.04</v>
      </c>
      <c r="J258" s="15">
        <v>19.989999999999998</v>
      </c>
      <c r="K258" s="15">
        <v>1096.73</v>
      </c>
      <c r="L258" s="15">
        <v>427.13</v>
      </c>
      <c r="M258" s="15">
        <v>0.05</v>
      </c>
      <c r="N258" s="15">
        <v>0</v>
      </c>
      <c r="O258" s="15">
        <v>10.84</v>
      </c>
      <c r="P258" s="15">
        <v>0</v>
      </c>
      <c r="Q258" s="15">
        <v>451.79</v>
      </c>
      <c r="R258" s="15">
        <v>3134.31</v>
      </c>
      <c r="S258" s="15">
        <v>0.43</v>
      </c>
      <c r="T258" s="15">
        <v>107.97</v>
      </c>
      <c r="U258" s="15">
        <v>326.01</v>
      </c>
      <c r="V258" s="15">
        <v>631.39</v>
      </c>
      <c r="W258" s="16">
        <v>175.46</v>
      </c>
      <c r="X258" s="31">
        <f>MOD(general_price[[#This Row],[date]], 1)</f>
        <v>0.85416666666424135</v>
      </c>
      <c r="Y258" s="25" t="str">
        <f t="shared" ref="Y258:Y321" si="4">IF(AND(HOUR(A258)=0,MINUTE(A258)=0),TEXT(A258,"d mmm"),"")</f>
        <v/>
      </c>
      <c r="Z258" s="22">
        <v>0</v>
      </c>
      <c r="AA258" s="48">
        <f>general_price[[#This Row],[Battery (Charging) -  MW]]+general_price[[#This Row],[Battery (Discharging) -  MW]]</f>
        <v>16.86</v>
      </c>
      <c r="AB258" s="48">
        <f>general_price[[#This Row],[Pumps -  MW]]+general_price[[#This Row],[Hydro -  MW]]</f>
        <v>1096.73</v>
      </c>
    </row>
    <row r="259" spans="1:28">
      <c r="A259" s="13">
        <v>45854.875</v>
      </c>
      <c r="B259" s="14">
        <v>-3.06</v>
      </c>
      <c r="C259" s="15">
        <v>0</v>
      </c>
      <c r="D259" s="15">
        <v>0</v>
      </c>
      <c r="E259" s="15">
        <v>1368.04</v>
      </c>
      <c r="F259" s="15">
        <v>6979.48</v>
      </c>
      <c r="G259" s="15">
        <v>-0.04</v>
      </c>
      <c r="H259" s="15">
        <v>450</v>
      </c>
      <c r="I259" s="15">
        <v>855.34</v>
      </c>
      <c r="J259" s="15">
        <v>4.79</v>
      </c>
      <c r="K259" s="15">
        <v>1021.54</v>
      </c>
      <c r="L259" s="15">
        <v>419.54</v>
      </c>
      <c r="M259" s="15">
        <v>0.05</v>
      </c>
      <c r="N259" s="15">
        <v>0</v>
      </c>
      <c r="O259" s="15">
        <v>10.38</v>
      </c>
      <c r="P259" s="15">
        <v>0</v>
      </c>
      <c r="Q259" s="15">
        <v>474.17</v>
      </c>
      <c r="R259" s="15">
        <v>3157.86</v>
      </c>
      <c r="S259" s="15">
        <v>0.43</v>
      </c>
      <c r="T259" s="15">
        <v>83.65</v>
      </c>
      <c r="U259" s="15">
        <v>276.74</v>
      </c>
      <c r="V259" s="15">
        <v>634.24</v>
      </c>
      <c r="W259" s="16">
        <v>158.97999999999999</v>
      </c>
      <c r="X259" s="31">
        <f>MOD(general_price[[#This Row],[date]], 1)</f>
        <v>0.875</v>
      </c>
      <c r="Y259" s="25" t="str">
        <f t="shared" si="4"/>
        <v/>
      </c>
      <c r="Z259" s="22">
        <v>0</v>
      </c>
      <c r="AA259" s="48">
        <f>general_price[[#This Row],[Battery (Charging) -  MW]]+general_price[[#This Row],[Battery (Discharging) -  MW]]</f>
        <v>1.73</v>
      </c>
      <c r="AB259" s="48">
        <f>general_price[[#This Row],[Pumps -  MW]]+general_price[[#This Row],[Hydro -  MW]]</f>
        <v>1021.54</v>
      </c>
    </row>
    <row r="260" spans="1:28">
      <c r="A260" s="13">
        <v>45854.895833333336</v>
      </c>
      <c r="B260" s="14">
        <v>-9.59</v>
      </c>
      <c r="C260" s="15">
        <v>0</v>
      </c>
      <c r="D260" s="15">
        <v>0</v>
      </c>
      <c r="E260" s="15">
        <v>1437.46</v>
      </c>
      <c r="F260" s="15">
        <v>7052.77</v>
      </c>
      <c r="G260" s="15">
        <v>-1.1499999999999999</v>
      </c>
      <c r="H260" s="15">
        <v>451.33</v>
      </c>
      <c r="I260" s="15">
        <v>687.79</v>
      </c>
      <c r="J260" s="15">
        <v>0.43</v>
      </c>
      <c r="K260" s="15">
        <v>819.09</v>
      </c>
      <c r="L260" s="15">
        <v>389.36</v>
      </c>
      <c r="M260" s="15">
        <v>0.05</v>
      </c>
      <c r="N260" s="15">
        <v>0</v>
      </c>
      <c r="O260" s="15">
        <v>10.23</v>
      </c>
      <c r="P260" s="15">
        <v>0</v>
      </c>
      <c r="Q260" s="15">
        <v>489.94</v>
      </c>
      <c r="R260" s="15">
        <v>3191.83</v>
      </c>
      <c r="S260" s="15">
        <v>0.42</v>
      </c>
      <c r="T260" s="15">
        <v>83.9</v>
      </c>
      <c r="U260" s="15">
        <v>227.36</v>
      </c>
      <c r="V260" s="15">
        <v>647.15</v>
      </c>
      <c r="W260" s="16">
        <v>158.99</v>
      </c>
      <c r="X260" s="31">
        <f>MOD(general_price[[#This Row],[date]], 1)</f>
        <v>0.89583333333575865</v>
      </c>
      <c r="Y260" s="25" t="str">
        <f t="shared" si="4"/>
        <v/>
      </c>
      <c r="Z260" s="22">
        <v>0</v>
      </c>
      <c r="AA260" s="48">
        <f>general_price[[#This Row],[Battery (Charging) -  MW]]+general_price[[#This Row],[Battery (Discharging) -  MW]]</f>
        <v>-9.16</v>
      </c>
      <c r="AB260" s="48">
        <f>general_price[[#This Row],[Pumps -  MW]]+general_price[[#This Row],[Hydro -  MW]]</f>
        <v>819.09</v>
      </c>
    </row>
    <row r="261" spans="1:28">
      <c r="A261" s="13">
        <v>45854.916666666664</v>
      </c>
      <c r="B261" s="14">
        <v>-4.28</v>
      </c>
      <c r="C261" s="15">
        <v>0</v>
      </c>
      <c r="D261" s="15">
        <v>0</v>
      </c>
      <c r="E261" s="15">
        <v>1507.01</v>
      </c>
      <c r="F261" s="15">
        <v>7089.3</v>
      </c>
      <c r="G261" s="15">
        <v>-0.57999999999999996</v>
      </c>
      <c r="H261" s="15">
        <v>449.17</v>
      </c>
      <c r="I261" s="15">
        <v>359.53</v>
      </c>
      <c r="J261" s="15">
        <v>5.94</v>
      </c>
      <c r="K261" s="15">
        <v>540.91</v>
      </c>
      <c r="L261" s="15">
        <v>384.31</v>
      </c>
      <c r="M261" s="15">
        <v>0.05</v>
      </c>
      <c r="N261" s="15">
        <v>0</v>
      </c>
      <c r="O261" s="15">
        <v>9.6300000000000008</v>
      </c>
      <c r="P261" s="15">
        <v>0</v>
      </c>
      <c r="Q261" s="15">
        <v>507.73</v>
      </c>
      <c r="R261" s="15">
        <v>3208.5</v>
      </c>
      <c r="S261" s="15">
        <v>0.44</v>
      </c>
      <c r="T261" s="15">
        <v>83.5</v>
      </c>
      <c r="U261" s="15">
        <v>122.54</v>
      </c>
      <c r="V261" s="15">
        <v>661.09</v>
      </c>
      <c r="W261" s="16">
        <v>149.99</v>
      </c>
      <c r="X261" s="31">
        <f>MOD(general_price[[#This Row],[date]], 1)</f>
        <v>0.91666666666424135</v>
      </c>
      <c r="Y261" s="25" t="str">
        <f t="shared" si="4"/>
        <v/>
      </c>
      <c r="Z261" s="22">
        <v>0</v>
      </c>
      <c r="AA261" s="48">
        <f>general_price[[#This Row],[Battery (Charging) -  MW]]+general_price[[#This Row],[Battery (Discharging) -  MW]]</f>
        <v>1.6600000000000001</v>
      </c>
      <c r="AB261" s="48">
        <f>general_price[[#This Row],[Pumps -  MW]]+general_price[[#This Row],[Hydro -  MW]]</f>
        <v>540.91</v>
      </c>
    </row>
    <row r="262" spans="1:28">
      <c r="A262" s="13">
        <v>45854.9375</v>
      </c>
      <c r="B262" s="14">
        <v>-5.45</v>
      </c>
      <c r="C262" s="15">
        <v>0</v>
      </c>
      <c r="D262" s="15">
        <v>0</v>
      </c>
      <c r="E262" s="15">
        <v>1490.62</v>
      </c>
      <c r="F262" s="15">
        <v>7103.07</v>
      </c>
      <c r="G262" s="15">
        <v>0.47</v>
      </c>
      <c r="H262" s="15">
        <v>451.83</v>
      </c>
      <c r="I262" s="15">
        <v>155.96</v>
      </c>
      <c r="J262" s="15">
        <v>6.51</v>
      </c>
      <c r="K262" s="15">
        <v>506.52</v>
      </c>
      <c r="L262" s="15">
        <v>350.06</v>
      </c>
      <c r="M262" s="15">
        <v>0.05</v>
      </c>
      <c r="N262" s="15">
        <v>0</v>
      </c>
      <c r="O262" s="15">
        <v>9.3699999999999992</v>
      </c>
      <c r="P262" s="15">
        <v>0</v>
      </c>
      <c r="Q262" s="15">
        <v>495.48</v>
      </c>
      <c r="R262" s="15">
        <v>3214.65</v>
      </c>
      <c r="S262" s="15">
        <v>0.44</v>
      </c>
      <c r="T262" s="15">
        <v>84</v>
      </c>
      <c r="U262" s="15">
        <v>44.77</v>
      </c>
      <c r="V262" s="15">
        <v>664.81</v>
      </c>
      <c r="W262" s="16">
        <v>158.97999999999999</v>
      </c>
      <c r="X262" s="31">
        <f>MOD(general_price[[#This Row],[date]], 1)</f>
        <v>0.9375</v>
      </c>
      <c r="Y262" s="25" t="str">
        <f t="shared" si="4"/>
        <v/>
      </c>
      <c r="Z262" s="22">
        <v>0</v>
      </c>
      <c r="AA262" s="48">
        <f>general_price[[#This Row],[Battery (Charging) -  MW]]+general_price[[#This Row],[Battery (Discharging) -  MW]]</f>
        <v>1.0599999999999996</v>
      </c>
      <c r="AB262" s="48">
        <f>general_price[[#This Row],[Pumps -  MW]]+general_price[[#This Row],[Hydro -  MW]]</f>
        <v>506.52</v>
      </c>
    </row>
    <row r="263" spans="1:28">
      <c r="A263" s="13">
        <v>45854.958333333336</v>
      </c>
      <c r="B263" s="14">
        <v>-7.99</v>
      </c>
      <c r="C263" s="15">
        <v>0</v>
      </c>
      <c r="D263" s="15">
        <v>0</v>
      </c>
      <c r="E263" s="15">
        <v>1442.74</v>
      </c>
      <c r="F263" s="15">
        <v>7103.03</v>
      </c>
      <c r="G263" s="15">
        <v>3.5</v>
      </c>
      <c r="H263" s="15">
        <v>451.5</v>
      </c>
      <c r="I263" s="15">
        <v>46.71</v>
      </c>
      <c r="J263" s="15">
        <v>0.17</v>
      </c>
      <c r="K263" s="15">
        <v>346.11</v>
      </c>
      <c r="L263" s="15">
        <v>323.37</v>
      </c>
      <c r="M263" s="15">
        <v>0.05</v>
      </c>
      <c r="N263" s="15">
        <v>0</v>
      </c>
      <c r="O263" s="15">
        <v>8.92</v>
      </c>
      <c r="P263" s="15">
        <v>0</v>
      </c>
      <c r="Q263" s="15">
        <v>467.69</v>
      </c>
      <c r="R263" s="15">
        <v>3214.53</v>
      </c>
      <c r="S263" s="15">
        <v>0.44</v>
      </c>
      <c r="T263" s="15">
        <v>83.93</v>
      </c>
      <c r="U263" s="15">
        <v>13.97</v>
      </c>
      <c r="V263" s="15">
        <v>682.42</v>
      </c>
      <c r="W263" s="16">
        <v>120.01</v>
      </c>
      <c r="X263" s="31">
        <f>MOD(general_price[[#This Row],[date]], 1)</f>
        <v>0.95833333333575865</v>
      </c>
      <c r="Y263" s="25" t="str">
        <f t="shared" si="4"/>
        <v/>
      </c>
      <c r="Z263" s="22">
        <v>0</v>
      </c>
      <c r="AA263" s="48">
        <f>general_price[[#This Row],[Battery (Charging) -  MW]]+general_price[[#This Row],[Battery (Discharging) -  MW]]</f>
        <v>-7.82</v>
      </c>
      <c r="AB263" s="48">
        <f>general_price[[#This Row],[Pumps -  MW]]+general_price[[#This Row],[Hydro -  MW]]</f>
        <v>346.11</v>
      </c>
    </row>
    <row r="264" spans="1:28">
      <c r="A264" s="13">
        <v>45854.979166666664</v>
      </c>
      <c r="B264" s="14">
        <v>-21.5</v>
      </c>
      <c r="C264" s="15">
        <v>0</v>
      </c>
      <c r="D264" s="15">
        <v>0</v>
      </c>
      <c r="E264" s="15">
        <v>1363.85</v>
      </c>
      <c r="F264" s="15">
        <v>7075.44</v>
      </c>
      <c r="G264" s="15">
        <v>4.43</v>
      </c>
      <c r="H264" s="15">
        <v>409.5</v>
      </c>
      <c r="I264" s="15">
        <v>41.68</v>
      </c>
      <c r="J264" s="15">
        <v>0.15</v>
      </c>
      <c r="K264" s="15">
        <v>280.95999999999998</v>
      </c>
      <c r="L264" s="15">
        <v>322.82</v>
      </c>
      <c r="M264" s="15">
        <v>0.05</v>
      </c>
      <c r="N264" s="15">
        <v>0</v>
      </c>
      <c r="O264" s="15">
        <v>9.06</v>
      </c>
      <c r="P264" s="15">
        <v>0</v>
      </c>
      <c r="Q264" s="15">
        <v>429.92</v>
      </c>
      <c r="R264" s="15">
        <v>3202.17</v>
      </c>
      <c r="S264" s="15">
        <v>0.44</v>
      </c>
      <c r="T264" s="15">
        <v>76.13</v>
      </c>
      <c r="U264" s="15">
        <v>12.55</v>
      </c>
      <c r="V264" s="15">
        <v>694.56</v>
      </c>
      <c r="W264" s="16">
        <v>101.36</v>
      </c>
      <c r="X264" s="31">
        <f>MOD(general_price[[#This Row],[date]], 1)</f>
        <v>0.97916666666424135</v>
      </c>
      <c r="Y264" s="25" t="str">
        <f t="shared" si="4"/>
        <v/>
      </c>
      <c r="Z264" s="22">
        <v>0</v>
      </c>
      <c r="AA264" s="48">
        <f>general_price[[#This Row],[Battery (Charging) -  MW]]+general_price[[#This Row],[Battery (Discharging) -  MW]]</f>
        <v>-21.35</v>
      </c>
      <c r="AB264" s="48">
        <f>general_price[[#This Row],[Pumps -  MW]]+general_price[[#This Row],[Hydro -  MW]]</f>
        <v>280.95999999999998</v>
      </c>
    </row>
    <row r="265" spans="1:28">
      <c r="A265" s="13">
        <v>45855</v>
      </c>
      <c r="B265" s="14">
        <v>-24.29</v>
      </c>
      <c r="C265" s="15">
        <v>0</v>
      </c>
      <c r="D265" s="15">
        <v>0</v>
      </c>
      <c r="E265" s="15">
        <v>1352.12</v>
      </c>
      <c r="F265" s="15">
        <v>6928.5</v>
      </c>
      <c r="G265" s="15">
        <v>3.16</v>
      </c>
      <c r="H265" s="15">
        <v>253.83</v>
      </c>
      <c r="I265" s="15">
        <v>41.52</v>
      </c>
      <c r="J265" s="15">
        <v>1.59</v>
      </c>
      <c r="K265" s="15">
        <v>258.74</v>
      </c>
      <c r="L265" s="15">
        <v>381.32</v>
      </c>
      <c r="M265" s="15">
        <v>0.05</v>
      </c>
      <c r="N265" s="15">
        <v>0</v>
      </c>
      <c r="O265" s="15">
        <v>9.19</v>
      </c>
      <c r="P265" s="15">
        <v>0</v>
      </c>
      <c r="Q265" s="15">
        <v>408.93</v>
      </c>
      <c r="R265" s="15">
        <v>3136.41</v>
      </c>
      <c r="S265" s="15">
        <v>0.44</v>
      </c>
      <c r="T265" s="15">
        <v>47.19</v>
      </c>
      <c r="U265" s="15">
        <v>12.5</v>
      </c>
      <c r="V265" s="15">
        <v>695.16</v>
      </c>
      <c r="W265" s="16">
        <v>80.760000000000005</v>
      </c>
      <c r="X265" s="31">
        <f>MOD(general_price[[#This Row],[date]], 1)</f>
        <v>0</v>
      </c>
      <c r="Y265" s="25" t="str">
        <f t="shared" si="4"/>
        <v>17 Jul</v>
      </c>
      <c r="Z265" s="22">
        <v>0</v>
      </c>
      <c r="AA265" s="48">
        <f>general_price[[#This Row],[Battery (Charging) -  MW]]+general_price[[#This Row],[Battery (Discharging) -  MW]]</f>
        <v>-22.7</v>
      </c>
      <c r="AB265" s="48">
        <f>general_price[[#This Row],[Pumps -  MW]]+general_price[[#This Row],[Hydro -  MW]]</f>
        <v>258.74</v>
      </c>
    </row>
    <row r="266" spans="1:28">
      <c r="A266" s="13">
        <v>45855.020833333336</v>
      </c>
      <c r="B266" s="14">
        <v>-53.84</v>
      </c>
      <c r="C266" s="15">
        <v>0</v>
      </c>
      <c r="D266" s="15">
        <v>0</v>
      </c>
      <c r="E266" s="15">
        <v>1481.85</v>
      </c>
      <c r="F266" s="15">
        <v>6704.77</v>
      </c>
      <c r="G266" s="15">
        <v>0.84</v>
      </c>
      <c r="H266" s="15">
        <v>50.17</v>
      </c>
      <c r="I266" s="15">
        <v>41.75</v>
      </c>
      <c r="J266" s="15">
        <v>3.05</v>
      </c>
      <c r="K266" s="15">
        <v>255.46</v>
      </c>
      <c r="L266" s="15">
        <v>431.06</v>
      </c>
      <c r="M266" s="15">
        <v>0.05</v>
      </c>
      <c r="N266" s="15">
        <v>0</v>
      </c>
      <c r="O266" s="15">
        <v>9.27</v>
      </c>
      <c r="P266" s="15">
        <v>0</v>
      </c>
      <c r="Q266" s="15">
        <v>430.36</v>
      </c>
      <c r="R266" s="15">
        <v>3032.31</v>
      </c>
      <c r="S266" s="15">
        <v>0.44</v>
      </c>
      <c r="T266" s="15">
        <v>9.33</v>
      </c>
      <c r="U266" s="15">
        <v>12.57</v>
      </c>
      <c r="V266" s="15">
        <v>685.27</v>
      </c>
      <c r="W266" s="16">
        <v>80.02</v>
      </c>
      <c r="X266" s="31">
        <f>MOD(general_price[[#This Row],[date]], 1)</f>
        <v>2.0833333335758653E-2</v>
      </c>
      <c r="Y266" s="25" t="str">
        <f t="shared" si="4"/>
        <v/>
      </c>
      <c r="Z266" s="22">
        <v>0</v>
      </c>
      <c r="AA266" s="48">
        <f>general_price[[#This Row],[Battery (Charging) -  MW]]+general_price[[#This Row],[Battery (Discharging) -  MW]]</f>
        <v>-50.790000000000006</v>
      </c>
      <c r="AB266" s="48">
        <f>general_price[[#This Row],[Pumps -  MW]]+general_price[[#This Row],[Hydro -  MW]]</f>
        <v>255.46</v>
      </c>
    </row>
    <row r="267" spans="1:28">
      <c r="A267" s="13">
        <v>45855.041666666664</v>
      </c>
      <c r="B267" s="14">
        <v>-7.03</v>
      </c>
      <c r="C267" s="15">
        <v>0</v>
      </c>
      <c r="D267" s="15">
        <v>0</v>
      </c>
      <c r="E267" s="15">
        <v>1570.65</v>
      </c>
      <c r="F267" s="15">
        <v>6563.28</v>
      </c>
      <c r="G267" s="15">
        <v>-1.02</v>
      </c>
      <c r="H267" s="15">
        <v>0</v>
      </c>
      <c r="I267" s="15">
        <v>41.97</v>
      </c>
      <c r="J267" s="15">
        <v>0.6</v>
      </c>
      <c r="K267" s="15">
        <v>244.72</v>
      </c>
      <c r="L267" s="15">
        <v>373.11</v>
      </c>
      <c r="M267" s="15">
        <v>0.05</v>
      </c>
      <c r="N267" s="15">
        <v>0</v>
      </c>
      <c r="O267" s="15">
        <v>9.18</v>
      </c>
      <c r="P267" s="15">
        <v>0</v>
      </c>
      <c r="Q267" s="15">
        <v>455</v>
      </c>
      <c r="R267" s="15">
        <v>2966.03</v>
      </c>
      <c r="S267" s="15">
        <v>0.44</v>
      </c>
      <c r="T267" s="15">
        <v>0</v>
      </c>
      <c r="U267" s="15">
        <v>12.64</v>
      </c>
      <c r="V267" s="15">
        <v>678.12</v>
      </c>
      <c r="W267" s="16">
        <v>84.19</v>
      </c>
      <c r="X267" s="31">
        <f>MOD(general_price[[#This Row],[date]], 1)</f>
        <v>4.1666666664241347E-2</v>
      </c>
      <c r="Y267" s="25" t="str">
        <f t="shared" si="4"/>
        <v/>
      </c>
      <c r="Z267" s="22">
        <v>0</v>
      </c>
      <c r="AA267" s="48">
        <f>general_price[[#This Row],[Battery (Charging) -  MW]]+general_price[[#This Row],[Battery (Discharging) -  MW]]</f>
        <v>-6.4300000000000006</v>
      </c>
      <c r="AB267" s="48">
        <f>general_price[[#This Row],[Pumps -  MW]]+general_price[[#This Row],[Hydro -  MW]]</f>
        <v>244.72</v>
      </c>
    </row>
    <row r="268" spans="1:28">
      <c r="A268" s="13">
        <v>45855.0625</v>
      </c>
      <c r="B268" s="14">
        <v>-9.25</v>
      </c>
      <c r="C268" s="15">
        <v>0</v>
      </c>
      <c r="D268" s="15">
        <v>0</v>
      </c>
      <c r="E268" s="15">
        <v>1408.46</v>
      </c>
      <c r="F268" s="15">
        <v>6593.27</v>
      </c>
      <c r="G268" s="15">
        <v>-0.79</v>
      </c>
      <c r="H268" s="15">
        <v>0</v>
      </c>
      <c r="I268" s="15">
        <v>42.18</v>
      </c>
      <c r="J268" s="15">
        <v>1.62</v>
      </c>
      <c r="K268" s="15">
        <v>179.58</v>
      </c>
      <c r="L268" s="15">
        <v>327.67</v>
      </c>
      <c r="M268" s="15">
        <v>0.05</v>
      </c>
      <c r="N268" s="15">
        <v>0</v>
      </c>
      <c r="O268" s="15">
        <v>8.85</v>
      </c>
      <c r="P268" s="15">
        <v>0</v>
      </c>
      <c r="Q268" s="15">
        <v>397.67</v>
      </c>
      <c r="R268" s="15">
        <v>2978.73</v>
      </c>
      <c r="S268" s="15">
        <v>0.44</v>
      </c>
      <c r="T268" s="15">
        <v>0</v>
      </c>
      <c r="U268" s="15">
        <v>12.7</v>
      </c>
      <c r="V268" s="15">
        <v>700.44</v>
      </c>
      <c r="W268" s="16">
        <v>80.02</v>
      </c>
      <c r="X268" s="31">
        <f>MOD(general_price[[#This Row],[date]], 1)</f>
        <v>6.25E-2</v>
      </c>
      <c r="Y268" s="25" t="str">
        <f t="shared" si="4"/>
        <v/>
      </c>
      <c r="Z268" s="22">
        <v>0</v>
      </c>
      <c r="AA268" s="48">
        <f>general_price[[#This Row],[Battery (Charging) -  MW]]+general_price[[#This Row],[Battery (Discharging) -  MW]]</f>
        <v>-7.63</v>
      </c>
      <c r="AB268" s="48">
        <f>general_price[[#This Row],[Pumps -  MW]]+general_price[[#This Row],[Hydro -  MW]]</f>
        <v>179.58</v>
      </c>
    </row>
    <row r="269" spans="1:28">
      <c r="A269" s="13">
        <v>45855.083333333336</v>
      </c>
      <c r="B269" s="14">
        <v>-80.16</v>
      </c>
      <c r="C269" s="15">
        <v>0</v>
      </c>
      <c r="D269" s="15">
        <v>0</v>
      </c>
      <c r="E269" s="15">
        <v>1588.21</v>
      </c>
      <c r="F269" s="15">
        <v>6335.81</v>
      </c>
      <c r="G269" s="15">
        <v>-1.03</v>
      </c>
      <c r="H269" s="15">
        <v>0</v>
      </c>
      <c r="I269" s="15">
        <v>41.86</v>
      </c>
      <c r="J269" s="15">
        <v>0.28999999999999998</v>
      </c>
      <c r="K269" s="15">
        <v>106.65</v>
      </c>
      <c r="L269" s="15">
        <v>358.86</v>
      </c>
      <c r="M269" s="15">
        <v>0.05</v>
      </c>
      <c r="N269" s="15">
        <v>0</v>
      </c>
      <c r="O269" s="15">
        <v>8.6199999999999992</v>
      </c>
      <c r="P269" s="15">
        <v>0</v>
      </c>
      <c r="Q269" s="15">
        <v>455.66</v>
      </c>
      <c r="R269" s="15">
        <v>2864.88</v>
      </c>
      <c r="S269" s="15">
        <v>0.44</v>
      </c>
      <c r="T269" s="15">
        <v>0</v>
      </c>
      <c r="U269" s="15">
        <v>12.6</v>
      </c>
      <c r="V269" s="15">
        <v>689.28</v>
      </c>
      <c r="W269" s="16">
        <v>76.8</v>
      </c>
      <c r="X269" s="31">
        <f>MOD(general_price[[#This Row],[date]], 1)</f>
        <v>8.3333333335758653E-2</v>
      </c>
      <c r="Y269" s="25" t="str">
        <f t="shared" si="4"/>
        <v/>
      </c>
      <c r="Z269" s="22">
        <v>0</v>
      </c>
      <c r="AA269" s="48">
        <f>general_price[[#This Row],[Battery (Charging) -  MW]]+general_price[[#This Row],[Battery (Discharging) -  MW]]</f>
        <v>-79.86999999999999</v>
      </c>
      <c r="AB269" s="48">
        <f>general_price[[#This Row],[Pumps -  MW]]+general_price[[#This Row],[Hydro -  MW]]</f>
        <v>106.65</v>
      </c>
    </row>
    <row r="270" spans="1:28">
      <c r="A270" s="13">
        <v>45855.104166666664</v>
      </c>
      <c r="B270" s="14">
        <v>-61.47</v>
      </c>
      <c r="C270" s="15">
        <v>0</v>
      </c>
      <c r="D270" s="15">
        <v>0</v>
      </c>
      <c r="E270" s="15">
        <v>1510.71</v>
      </c>
      <c r="F270" s="15">
        <v>6186.98</v>
      </c>
      <c r="G270" s="15">
        <v>-0.9</v>
      </c>
      <c r="H270" s="15">
        <v>0</v>
      </c>
      <c r="I270" s="15">
        <v>41.82</v>
      </c>
      <c r="J270" s="15">
        <v>0.19</v>
      </c>
      <c r="K270" s="15">
        <v>99.53</v>
      </c>
      <c r="L270" s="15">
        <v>398.15</v>
      </c>
      <c r="M270" s="15">
        <v>0.05</v>
      </c>
      <c r="N270" s="15">
        <v>0</v>
      </c>
      <c r="O270" s="15">
        <v>8.52</v>
      </c>
      <c r="P270" s="15">
        <v>0</v>
      </c>
      <c r="Q270" s="15">
        <v>426.12</v>
      </c>
      <c r="R270" s="15">
        <v>2801.25</v>
      </c>
      <c r="S270" s="15">
        <v>0.44</v>
      </c>
      <c r="T270" s="15">
        <v>0</v>
      </c>
      <c r="U270" s="15">
        <v>12.59</v>
      </c>
      <c r="V270" s="15">
        <v>688.5</v>
      </c>
      <c r="W270" s="16">
        <v>76.8</v>
      </c>
      <c r="X270" s="31">
        <f>MOD(general_price[[#This Row],[date]], 1)</f>
        <v>0.10416666666424135</v>
      </c>
      <c r="Y270" s="25" t="str">
        <f t="shared" si="4"/>
        <v/>
      </c>
      <c r="Z270" s="22">
        <v>0</v>
      </c>
      <c r="AA270" s="48">
        <f>general_price[[#This Row],[Battery (Charging) -  MW]]+general_price[[#This Row],[Battery (Discharging) -  MW]]</f>
        <v>-61.28</v>
      </c>
      <c r="AB270" s="48">
        <f>general_price[[#This Row],[Pumps -  MW]]+general_price[[#This Row],[Hydro -  MW]]</f>
        <v>99.53</v>
      </c>
    </row>
    <row r="271" spans="1:28">
      <c r="A271" s="13">
        <v>45855.125</v>
      </c>
      <c r="B271" s="14">
        <v>-37.4</v>
      </c>
      <c r="C271" s="15">
        <v>0</v>
      </c>
      <c r="D271" s="15">
        <v>0</v>
      </c>
      <c r="E271" s="15">
        <v>1457.04</v>
      </c>
      <c r="F271" s="15">
        <v>6094.46</v>
      </c>
      <c r="G271" s="15">
        <v>-0.59</v>
      </c>
      <c r="H271" s="15">
        <v>0</v>
      </c>
      <c r="I271" s="15">
        <v>41.55</v>
      </c>
      <c r="J271" s="15">
        <v>0.42</v>
      </c>
      <c r="K271" s="15">
        <v>113.11</v>
      </c>
      <c r="L271" s="15">
        <v>366.58</v>
      </c>
      <c r="M271" s="15">
        <v>0.05</v>
      </c>
      <c r="N271" s="15">
        <v>0</v>
      </c>
      <c r="O271" s="15">
        <v>8.49</v>
      </c>
      <c r="P271" s="15">
        <v>0</v>
      </c>
      <c r="Q271" s="15">
        <v>419.29</v>
      </c>
      <c r="R271" s="15">
        <v>2759.53</v>
      </c>
      <c r="S271" s="15">
        <v>0.44</v>
      </c>
      <c r="T271" s="15">
        <v>0</v>
      </c>
      <c r="U271" s="15">
        <v>12.51</v>
      </c>
      <c r="V271" s="15">
        <v>690.08</v>
      </c>
      <c r="W271" s="16">
        <v>80.02</v>
      </c>
      <c r="X271" s="31">
        <f>MOD(general_price[[#This Row],[date]], 1)</f>
        <v>0.125</v>
      </c>
      <c r="Y271" s="25" t="str">
        <f t="shared" si="4"/>
        <v/>
      </c>
      <c r="Z271" s="22">
        <v>0</v>
      </c>
      <c r="AA271" s="48">
        <f>general_price[[#This Row],[Battery (Charging) -  MW]]+general_price[[#This Row],[Battery (Discharging) -  MW]]</f>
        <v>-36.979999999999997</v>
      </c>
      <c r="AB271" s="48">
        <f>general_price[[#This Row],[Pumps -  MW]]+general_price[[#This Row],[Hydro -  MW]]</f>
        <v>113.11</v>
      </c>
    </row>
    <row r="272" spans="1:28">
      <c r="A272" s="13">
        <v>45855.145833333336</v>
      </c>
      <c r="B272" s="14">
        <v>-72.31</v>
      </c>
      <c r="C272" s="15">
        <v>0</v>
      </c>
      <c r="D272" s="15">
        <v>0</v>
      </c>
      <c r="E272" s="15">
        <v>1511.17</v>
      </c>
      <c r="F272" s="15">
        <v>6042.81</v>
      </c>
      <c r="G272" s="15">
        <v>-0.97</v>
      </c>
      <c r="H272" s="15">
        <v>0</v>
      </c>
      <c r="I272" s="15">
        <v>41.79</v>
      </c>
      <c r="J272" s="15">
        <v>0.71</v>
      </c>
      <c r="K272" s="15">
        <v>85.95</v>
      </c>
      <c r="L272" s="15">
        <v>315.26</v>
      </c>
      <c r="M272" s="15">
        <v>0.05</v>
      </c>
      <c r="N272" s="15">
        <v>0</v>
      </c>
      <c r="O272" s="15">
        <v>8.39</v>
      </c>
      <c r="P272" s="15">
        <v>0</v>
      </c>
      <c r="Q272" s="15">
        <v>443.91</v>
      </c>
      <c r="R272" s="15">
        <v>2736.76</v>
      </c>
      <c r="S272" s="15">
        <v>0.44</v>
      </c>
      <c r="T272" s="15">
        <v>0</v>
      </c>
      <c r="U272" s="15">
        <v>12.58</v>
      </c>
      <c r="V272" s="15">
        <v>694</v>
      </c>
      <c r="W272" s="16">
        <v>80.02</v>
      </c>
      <c r="X272" s="31">
        <f>MOD(general_price[[#This Row],[date]], 1)</f>
        <v>0.14583333333575865</v>
      </c>
      <c r="Y272" s="25" t="str">
        <f t="shared" si="4"/>
        <v/>
      </c>
      <c r="Z272" s="22">
        <v>0</v>
      </c>
      <c r="AA272" s="48">
        <f>general_price[[#This Row],[Battery (Charging) -  MW]]+general_price[[#This Row],[Battery (Discharging) -  MW]]</f>
        <v>-71.600000000000009</v>
      </c>
      <c r="AB272" s="48">
        <f>general_price[[#This Row],[Pumps -  MW]]+general_price[[#This Row],[Hydro -  MW]]</f>
        <v>85.95</v>
      </c>
    </row>
    <row r="273" spans="1:28">
      <c r="A273" s="13">
        <v>45855.166666666664</v>
      </c>
      <c r="B273" s="14">
        <v>-76.900000000000006</v>
      </c>
      <c r="C273" s="15">
        <v>0</v>
      </c>
      <c r="D273" s="15">
        <v>0</v>
      </c>
      <c r="E273" s="15">
        <v>1536.81</v>
      </c>
      <c r="F273" s="15">
        <v>6084.84</v>
      </c>
      <c r="G273" s="15">
        <v>-0.6</v>
      </c>
      <c r="H273" s="15">
        <v>0</v>
      </c>
      <c r="I273" s="15">
        <v>41.67</v>
      </c>
      <c r="J273" s="15">
        <v>0.53</v>
      </c>
      <c r="K273" s="15">
        <v>67.39</v>
      </c>
      <c r="L273" s="15">
        <v>346.46</v>
      </c>
      <c r="M273" s="15">
        <v>0.05</v>
      </c>
      <c r="N273" s="15">
        <v>0</v>
      </c>
      <c r="O273" s="15">
        <v>8.11</v>
      </c>
      <c r="P273" s="15">
        <v>0</v>
      </c>
      <c r="Q273" s="15">
        <v>442.78</v>
      </c>
      <c r="R273" s="15">
        <v>2755.91</v>
      </c>
      <c r="S273" s="15">
        <v>0.45</v>
      </c>
      <c r="T273" s="15">
        <v>0</v>
      </c>
      <c r="U273" s="15">
        <v>12.55</v>
      </c>
      <c r="V273" s="15">
        <v>692.2</v>
      </c>
      <c r="W273" s="16">
        <v>80.02</v>
      </c>
      <c r="X273" s="31">
        <f>MOD(general_price[[#This Row],[date]], 1)</f>
        <v>0.16666666666424135</v>
      </c>
      <c r="Y273" s="25" t="str">
        <f t="shared" si="4"/>
        <v/>
      </c>
      <c r="Z273" s="22">
        <v>0</v>
      </c>
      <c r="AA273" s="48">
        <f>general_price[[#This Row],[Battery (Charging) -  MW]]+general_price[[#This Row],[Battery (Discharging) -  MW]]</f>
        <v>-76.37</v>
      </c>
      <c r="AB273" s="48">
        <f>general_price[[#This Row],[Pumps -  MW]]+general_price[[#This Row],[Hydro -  MW]]</f>
        <v>67.39</v>
      </c>
    </row>
    <row r="274" spans="1:28">
      <c r="A274" s="13">
        <v>45855.1875</v>
      </c>
      <c r="B274" s="14">
        <v>-114.78</v>
      </c>
      <c r="C274" s="15">
        <v>0</v>
      </c>
      <c r="D274" s="15">
        <v>0</v>
      </c>
      <c r="E274" s="15">
        <v>1496.86</v>
      </c>
      <c r="F274" s="15">
        <v>6235.52</v>
      </c>
      <c r="G274" s="15">
        <v>-1.36</v>
      </c>
      <c r="H274" s="15">
        <v>0</v>
      </c>
      <c r="I274" s="15">
        <v>41.39</v>
      </c>
      <c r="J274" s="15">
        <v>0.45</v>
      </c>
      <c r="K274" s="15">
        <v>181.98</v>
      </c>
      <c r="L274" s="15">
        <v>326.74</v>
      </c>
      <c r="M274" s="15">
        <v>0.05</v>
      </c>
      <c r="N274" s="15">
        <v>0</v>
      </c>
      <c r="O274" s="15">
        <v>7.67</v>
      </c>
      <c r="P274" s="15">
        <v>0</v>
      </c>
      <c r="Q274" s="15">
        <v>429.41</v>
      </c>
      <c r="R274" s="15">
        <v>2823.04</v>
      </c>
      <c r="S274" s="15">
        <v>0.44</v>
      </c>
      <c r="T274" s="15">
        <v>0</v>
      </c>
      <c r="U274" s="15">
        <v>12.46</v>
      </c>
      <c r="V274" s="15">
        <v>694.5</v>
      </c>
      <c r="W274" s="16">
        <v>84.85</v>
      </c>
      <c r="X274" s="31">
        <f>MOD(general_price[[#This Row],[date]], 1)</f>
        <v>0.1875</v>
      </c>
      <c r="Y274" s="25" t="str">
        <f t="shared" si="4"/>
        <v/>
      </c>
      <c r="Z274" s="22">
        <v>0</v>
      </c>
      <c r="AA274" s="48">
        <f>general_price[[#This Row],[Battery (Charging) -  MW]]+general_price[[#This Row],[Battery (Discharging) -  MW]]</f>
        <v>-114.33</v>
      </c>
      <c r="AB274" s="48">
        <f>general_price[[#This Row],[Pumps -  MW]]+general_price[[#This Row],[Hydro -  MW]]</f>
        <v>181.98</v>
      </c>
    </row>
    <row r="275" spans="1:28">
      <c r="A275" s="13">
        <v>45855.208333333336</v>
      </c>
      <c r="B275" s="14">
        <v>-111.86</v>
      </c>
      <c r="C275" s="15">
        <v>0</v>
      </c>
      <c r="D275" s="15">
        <v>0</v>
      </c>
      <c r="E275" s="15">
        <v>1417.78</v>
      </c>
      <c r="F275" s="15">
        <v>6404.62</v>
      </c>
      <c r="G275" s="15">
        <v>-0.95</v>
      </c>
      <c r="H275" s="15">
        <v>0</v>
      </c>
      <c r="I275" s="15">
        <v>41.15</v>
      </c>
      <c r="J275" s="15">
        <v>0.62</v>
      </c>
      <c r="K275" s="15">
        <v>175.05</v>
      </c>
      <c r="L275" s="15">
        <v>315.12</v>
      </c>
      <c r="M275" s="15">
        <v>0.05</v>
      </c>
      <c r="N275" s="15">
        <v>0</v>
      </c>
      <c r="O275" s="15">
        <v>7.43</v>
      </c>
      <c r="P275" s="15">
        <v>0</v>
      </c>
      <c r="Q275" s="15">
        <v>399.26</v>
      </c>
      <c r="R275" s="15">
        <v>2898.57</v>
      </c>
      <c r="S275" s="15">
        <v>0.45</v>
      </c>
      <c r="T275" s="15">
        <v>0</v>
      </c>
      <c r="U275" s="15">
        <v>12.39</v>
      </c>
      <c r="V275" s="15">
        <v>706.52</v>
      </c>
      <c r="W275" s="16">
        <v>78.47</v>
      </c>
      <c r="X275" s="31">
        <f>MOD(general_price[[#This Row],[date]], 1)</f>
        <v>0.20833333333575865</v>
      </c>
      <c r="Y275" s="25" t="str">
        <f t="shared" si="4"/>
        <v/>
      </c>
      <c r="Z275" s="22">
        <v>0</v>
      </c>
      <c r="AA275" s="48">
        <f>general_price[[#This Row],[Battery (Charging) -  MW]]+general_price[[#This Row],[Battery (Discharging) -  MW]]</f>
        <v>-111.24</v>
      </c>
      <c r="AB275" s="48">
        <f>general_price[[#This Row],[Pumps -  MW]]+general_price[[#This Row],[Hydro -  MW]]</f>
        <v>175.05</v>
      </c>
    </row>
    <row r="276" spans="1:28">
      <c r="A276" s="13">
        <v>45855.229166666664</v>
      </c>
      <c r="B276" s="14">
        <v>-78.739999999999995</v>
      </c>
      <c r="C276" s="15">
        <v>0</v>
      </c>
      <c r="D276" s="15">
        <v>0</v>
      </c>
      <c r="E276" s="15">
        <v>1450.46</v>
      </c>
      <c r="F276" s="15">
        <v>6728.24</v>
      </c>
      <c r="G276" s="15">
        <v>-1.57</v>
      </c>
      <c r="H276" s="15">
        <v>0</v>
      </c>
      <c r="I276" s="15">
        <v>41.32</v>
      </c>
      <c r="J276" s="15">
        <v>0.39</v>
      </c>
      <c r="K276" s="15">
        <v>195.19</v>
      </c>
      <c r="L276" s="15">
        <v>314.33</v>
      </c>
      <c r="M276" s="15">
        <v>0.05</v>
      </c>
      <c r="N276" s="15">
        <v>0</v>
      </c>
      <c r="O276" s="15">
        <v>7.39</v>
      </c>
      <c r="P276" s="15">
        <v>0</v>
      </c>
      <c r="Q276" s="15">
        <v>412.71</v>
      </c>
      <c r="R276" s="15">
        <v>3042.73</v>
      </c>
      <c r="S276" s="15">
        <v>0.44</v>
      </c>
      <c r="T276" s="15">
        <v>0</v>
      </c>
      <c r="U276" s="15">
        <v>12.44</v>
      </c>
      <c r="V276" s="15">
        <v>706.53</v>
      </c>
      <c r="W276" s="16">
        <v>80.010000000000005</v>
      </c>
      <c r="X276" s="31">
        <f>MOD(general_price[[#This Row],[date]], 1)</f>
        <v>0.22916666666424135</v>
      </c>
      <c r="Y276" s="25" t="str">
        <f t="shared" si="4"/>
        <v/>
      </c>
      <c r="Z276" s="22">
        <v>0</v>
      </c>
      <c r="AA276" s="48">
        <f>general_price[[#This Row],[Battery (Charging) -  MW]]+general_price[[#This Row],[Battery (Discharging) -  MW]]</f>
        <v>-78.349999999999994</v>
      </c>
      <c r="AB276" s="48">
        <f>general_price[[#This Row],[Pumps -  MW]]+general_price[[#This Row],[Hydro -  MW]]</f>
        <v>195.19</v>
      </c>
    </row>
    <row r="277" spans="1:28">
      <c r="A277" s="13">
        <v>45855.25</v>
      </c>
      <c r="B277" s="14">
        <v>-36.92</v>
      </c>
      <c r="C277" s="15">
        <v>0</v>
      </c>
      <c r="D277" s="15">
        <v>0</v>
      </c>
      <c r="E277" s="15">
        <v>1265.78</v>
      </c>
      <c r="F277" s="15">
        <v>7186.1</v>
      </c>
      <c r="G277" s="15">
        <v>-0.95</v>
      </c>
      <c r="H277" s="15">
        <v>0</v>
      </c>
      <c r="I277" s="15">
        <v>40.590000000000003</v>
      </c>
      <c r="J277" s="15">
        <v>6.89</v>
      </c>
      <c r="K277" s="15">
        <v>246.57</v>
      </c>
      <c r="L277" s="15">
        <v>354.1</v>
      </c>
      <c r="M277" s="15">
        <v>0.05</v>
      </c>
      <c r="N277" s="15">
        <v>0</v>
      </c>
      <c r="O277" s="15">
        <v>7.29</v>
      </c>
      <c r="P277" s="15">
        <v>0</v>
      </c>
      <c r="Q277" s="15">
        <v>354.2</v>
      </c>
      <c r="R277" s="15">
        <v>3245.36</v>
      </c>
      <c r="S277" s="15">
        <v>0.44</v>
      </c>
      <c r="T277" s="15">
        <v>0</v>
      </c>
      <c r="U277" s="15">
        <v>12.41</v>
      </c>
      <c r="V277" s="15">
        <v>719.08</v>
      </c>
      <c r="W277" s="16">
        <v>80.010000000000005</v>
      </c>
      <c r="X277" s="31">
        <f>MOD(general_price[[#This Row],[date]], 1)</f>
        <v>0.25</v>
      </c>
      <c r="Y277" s="25" t="str">
        <f t="shared" si="4"/>
        <v/>
      </c>
      <c r="Z277" s="22">
        <v>0</v>
      </c>
      <c r="AA277" s="48">
        <f>general_price[[#This Row],[Battery (Charging) -  MW]]+general_price[[#This Row],[Battery (Discharging) -  MW]]</f>
        <v>-30.03</v>
      </c>
      <c r="AB277" s="48">
        <f>general_price[[#This Row],[Pumps -  MW]]+general_price[[#This Row],[Hydro -  MW]]</f>
        <v>246.57</v>
      </c>
    </row>
    <row r="278" spans="1:28">
      <c r="A278" s="13">
        <v>45855.270833333336</v>
      </c>
      <c r="B278" s="14">
        <v>-21.25</v>
      </c>
      <c r="C278" s="15">
        <v>0</v>
      </c>
      <c r="D278" s="15">
        <v>0</v>
      </c>
      <c r="E278" s="15">
        <v>1204.83</v>
      </c>
      <c r="F278" s="15">
        <v>7720.06</v>
      </c>
      <c r="G278" s="15">
        <v>0.36</v>
      </c>
      <c r="H278" s="15">
        <v>0</v>
      </c>
      <c r="I278" s="15">
        <v>136.79</v>
      </c>
      <c r="J278" s="15">
        <v>40.200000000000003</v>
      </c>
      <c r="K278" s="15">
        <v>397.02</v>
      </c>
      <c r="L278" s="15">
        <v>374.29</v>
      </c>
      <c r="M278" s="15">
        <v>0.05</v>
      </c>
      <c r="N278" s="15">
        <v>0.09</v>
      </c>
      <c r="O278" s="15">
        <v>7.02</v>
      </c>
      <c r="P278" s="15">
        <v>0</v>
      </c>
      <c r="Q278" s="15">
        <v>359.82</v>
      </c>
      <c r="R278" s="15">
        <v>3480.38</v>
      </c>
      <c r="S278" s="15">
        <v>0.44</v>
      </c>
      <c r="T278" s="15">
        <v>0</v>
      </c>
      <c r="U278" s="15">
        <v>39.67</v>
      </c>
      <c r="V278" s="15">
        <v>714.64</v>
      </c>
      <c r="W278" s="16">
        <v>96.96</v>
      </c>
      <c r="X278" s="31">
        <f>MOD(general_price[[#This Row],[date]], 1)</f>
        <v>0.27083333333575865</v>
      </c>
      <c r="Y278" s="25" t="str">
        <f t="shared" si="4"/>
        <v/>
      </c>
      <c r="Z278" s="22">
        <v>0</v>
      </c>
      <c r="AA278" s="48">
        <f>general_price[[#This Row],[Battery (Charging) -  MW]]+general_price[[#This Row],[Battery (Discharging) -  MW]]</f>
        <v>18.950000000000003</v>
      </c>
      <c r="AB278" s="48">
        <f>general_price[[#This Row],[Pumps -  MW]]+general_price[[#This Row],[Hydro -  MW]]</f>
        <v>397.02</v>
      </c>
    </row>
    <row r="279" spans="1:28">
      <c r="A279" s="13">
        <v>45855.291666666664</v>
      </c>
      <c r="B279" s="14">
        <v>-6.31</v>
      </c>
      <c r="C279" s="15">
        <v>0</v>
      </c>
      <c r="D279" s="15">
        <v>0</v>
      </c>
      <c r="E279" s="15">
        <v>1077.33</v>
      </c>
      <c r="F279" s="15">
        <v>7916.34</v>
      </c>
      <c r="G279" s="15">
        <v>3.42</v>
      </c>
      <c r="H279" s="15">
        <v>0</v>
      </c>
      <c r="I279" s="15">
        <v>388.59</v>
      </c>
      <c r="J279" s="15">
        <v>114.13</v>
      </c>
      <c r="K279" s="15">
        <v>557.1</v>
      </c>
      <c r="L279" s="15">
        <v>393.91</v>
      </c>
      <c r="M279" s="15">
        <v>7.53</v>
      </c>
      <c r="N279" s="15">
        <v>9.4600000000000009</v>
      </c>
      <c r="O279" s="15">
        <v>6.75</v>
      </c>
      <c r="P279" s="15">
        <v>0</v>
      </c>
      <c r="Q279" s="15">
        <v>345.23</v>
      </c>
      <c r="R279" s="15">
        <v>3564.22</v>
      </c>
      <c r="S279" s="15">
        <v>0.44</v>
      </c>
      <c r="T279" s="15">
        <v>0</v>
      </c>
      <c r="U279" s="15">
        <v>121.46</v>
      </c>
      <c r="V279" s="15">
        <v>704.7</v>
      </c>
      <c r="W279" s="16">
        <v>158.97999999999999</v>
      </c>
      <c r="X279" s="31">
        <f>MOD(general_price[[#This Row],[date]], 1)</f>
        <v>0.29166666666424135</v>
      </c>
      <c r="Y279" s="25" t="str">
        <f t="shared" si="4"/>
        <v/>
      </c>
      <c r="Z279" s="22">
        <v>0</v>
      </c>
      <c r="AA279" s="48">
        <f>general_price[[#This Row],[Battery (Charging) -  MW]]+general_price[[#This Row],[Battery (Discharging) -  MW]]</f>
        <v>107.82</v>
      </c>
      <c r="AB279" s="48">
        <f>general_price[[#This Row],[Pumps -  MW]]+general_price[[#This Row],[Hydro -  MW]]</f>
        <v>557.1</v>
      </c>
    </row>
    <row r="280" spans="1:28">
      <c r="A280" s="13">
        <v>45855.3125</v>
      </c>
      <c r="B280" s="14">
        <v>-8.93</v>
      </c>
      <c r="C280" s="15">
        <v>0</v>
      </c>
      <c r="D280" s="15">
        <v>0</v>
      </c>
      <c r="E280" s="15">
        <v>1339.87</v>
      </c>
      <c r="F280" s="15">
        <v>7991.77</v>
      </c>
      <c r="G280" s="15">
        <v>1.62</v>
      </c>
      <c r="H280" s="15">
        <v>0</v>
      </c>
      <c r="I280" s="15">
        <v>374.39</v>
      </c>
      <c r="J280" s="15">
        <v>41.37</v>
      </c>
      <c r="K280" s="15">
        <v>679.26</v>
      </c>
      <c r="L280" s="15">
        <v>442.05</v>
      </c>
      <c r="M280" s="15">
        <v>167.44</v>
      </c>
      <c r="N280" s="15">
        <v>114.83</v>
      </c>
      <c r="O280" s="15">
        <v>6.73</v>
      </c>
      <c r="P280" s="15">
        <v>0</v>
      </c>
      <c r="Q280" s="15">
        <v>419.91</v>
      </c>
      <c r="R280" s="15">
        <v>3599.62</v>
      </c>
      <c r="S280" s="15">
        <v>0.45</v>
      </c>
      <c r="T280" s="15">
        <v>0</v>
      </c>
      <c r="U280" s="15">
        <v>123.86</v>
      </c>
      <c r="V280" s="15">
        <v>668.35</v>
      </c>
      <c r="W280" s="16">
        <v>107.41</v>
      </c>
      <c r="X280" s="31">
        <f>MOD(general_price[[#This Row],[date]], 1)</f>
        <v>0.3125</v>
      </c>
      <c r="Y280" s="25" t="str">
        <f t="shared" si="4"/>
        <v/>
      </c>
      <c r="Z280" s="22">
        <v>0</v>
      </c>
      <c r="AA280" s="48">
        <f>general_price[[#This Row],[Battery (Charging) -  MW]]+general_price[[#This Row],[Battery (Discharging) -  MW]]</f>
        <v>32.44</v>
      </c>
      <c r="AB280" s="48">
        <f>general_price[[#This Row],[Pumps -  MW]]+general_price[[#This Row],[Hydro -  MW]]</f>
        <v>679.26</v>
      </c>
    </row>
    <row r="281" spans="1:28">
      <c r="A281" s="13">
        <v>45855.333333333336</v>
      </c>
      <c r="B281" s="14">
        <v>-4.79</v>
      </c>
      <c r="C281" s="15">
        <v>0</v>
      </c>
      <c r="D281" s="15">
        <v>0</v>
      </c>
      <c r="E281" s="15">
        <v>1200.06</v>
      </c>
      <c r="F281" s="15">
        <v>7934.04</v>
      </c>
      <c r="G281" s="15">
        <v>-0.55000000000000004</v>
      </c>
      <c r="H281" s="15">
        <v>0</v>
      </c>
      <c r="I281" s="15">
        <v>374.46</v>
      </c>
      <c r="J281" s="15">
        <v>130</v>
      </c>
      <c r="K281" s="15">
        <v>395.6</v>
      </c>
      <c r="L281" s="15">
        <v>491.51</v>
      </c>
      <c r="M281" s="15">
        <v>626.09</v>
      </c>
      <c r="N281" s="15">
        <v>422.41</v>
      </c>
      <c r="O281" s="15">
        <v>7.15</v>
      </c>
      <c r="P281" s="15">
        <v>0</v>
      </c>
      <c r="Q281" s="15">
        <v>362.07</v>
      </c>
      <c r="R281" s="15">
        <v>3574.48</v>
      </c>
      <c r="S281" s="15">
        <v>0.45</v>
      </c>
      <c r="T281" s="15">
        <v>0</v>
      </c>
      <c r="U281" s="15">
        <v>123.88</v>
      </c>
      <c r="V281" s="15">
        <v>639.45000000000005</v>
      </c>
      <c r="W281" s="16">
        <v>105.89</v>
      </c>
      <c r="X281" s="31">
        <f>MOD(general_price[[#This Row],[date]], 1)</f>
        <v>0.33333333333575865</v>
      </c>
      <c r="Y281" s="25" t="str">
        <f t="shared" si="4"/>
        <v/>
      </c>
      <c r="Z281" s="22">
        <v>0</v>
      </c>
      <c r="AA281" s="48">
        <f>general_price[[#This Row],[Battery (Charging) -  MW]]+general_price[[#This Row],[Battery (Discharging) -  MW]]</f>
        <v>125.21</v>
      </c>
      <c r="AB281" s="48">
        <f>general_price[[#This Row],[Pumps -  MW]]+general_price[[#This Row],[Hydro -  MW]]</f>
        <v>395.6</v>
      </c>
    </row>
    <row r="282" spans="1:28">
      <c r="A282" s="13">
        <v>45855.354166666664</v>
      </c>
      <c r="B282" s="14">
        <v>-1.91</v>
      </c>
      <c r="C282" s="15">
        <v>0</v>
      </c>
      <c r="D282" s="15">
        <v>0</v>
      </c>
      <c r="E282" s="15">
        <v>1182.24</v>
      </c>
      <c r="F282" s="15">
        <v>7701.28</v>
      </c>
      <c r="G282" s="15">
        <v>1.71</v>
      </c>
      <c r="H282" s="15">
        <v>0</v>
      </c>
      <c r="I282" s="15">
        <v>256.95</v>
      </c>
      <c r="J282" s="15">
        <v>68.739999999999995</v>
      </c>
      <c r="K282" s="15">
        <v>218.88</v>
      </c>
      <c r="L282" s="15">
        <v>487.72</v>
      </c>
      <c r="M282" s="15">
        <v>1178.45</v>
      </c>
      <c r="N282" s="15">
        <v>822.95</v>
      </c>
      <c r="O282" s="15">
        <v>8.31</v>
      </c>
      <c r="P282" s="15">
        <v>0</v>
      </c>
      <c r="Q282" s="15">
        <v>342.1</v>
      </c>
      <c r="R282" s="15">
        <v>3467.58</v>
      </c>
      <c r="S282" s="15">
        <v>0.45</v>
      </c>
      <c r="T282" s="15">
        <v>0</v>
      </c>
      <c r="U282" s="15">
        <v>88.92</v>
      </c>
      <c r="V282" s="15">
        <v>596.95000000000005</v>
      </c>
      <c r="W282" s="16">
        <v>52.14</v>
      </c>
      <c r="X282" s="31">
        <f>MOD(general_price[[#This Row],[date]], 1)</f>
        <v>0.35416666666424135</v>
      </c>
      <c r="Y282" s="25" t="str">
        <f t="shared" si="4"/>
        <v/>
      </c>
      <c r="Z282" s="22">
        <v>0</v>
      </c>
      <c r="AA282" s="48">
        <f>general_price[[#This Row],[Battery (Charging) -  MW]]+general_price[[#This Row],[Battery (Discharging) -  MW]]</f>
        <v>66.83</v>
      </c>
      <c r="AB282" s="48">
        <f>general_price[[#This Row],[Pumps -  MW]]+general_price[[#This Row],[Hydro -  MW]]</f>
        <v>218.88</v>
      </c>
    </row>
    <row r="283" spans="1:28">
      <c r="A283" s="13">
        <v>45855.375</v>
      </c>
      <c r="B283" s="14">
        <v>-5.2</v>
      </c>
      <c r="C283" s="15">
        <v>0</v>
      </c>
      <c r="D283" s="15">
        <v>-135.08000000000001</v>
      </c>
      <c r="E283" s="15">
        <v>1013.79</v>
      </c>
      <c r="F283" s="15">
        <v>7238.66</v>
      </c>
      <c r="G283" s="15">
        <v>12.53</v>
      </c>
      <c r="H283" s="15">
        <v>0</v>
      </c>
      <c r="I283" s="15">
        <v>41.48</v>
      </c>
      <c r="J283" s="15">
        <v>240</v>
      </c>
      <c r="K283" s="15">
        <v>101.15</v>
      </c>
      <c r="L283" s="15">
        <v>463.52</v>
      </c>
      <c r="M283" s="15">
        <v>1704.69</v>
      </c>
      <c r="N283" s="15">
        <v>1286.24</v>
      </c>
      <c r="O283" s="15">
        <v>9.01</v>
      </c>
      <c r="P283" s="15">
        <v>44.35</v>
      </c>
      <c r="Q283" s="15">
        <v>263.74</v>
      </c>
      <c r="R283" s="15">
        <v>3262.47</v>
      </c>
      <c r="S283" s="15">
        <v>0.45</v>
      </c>
      <c r="T283" s="15">
        <v>0</v>
      </c>
      <c r="U283" s="15">
        <v>12.49</v>
      </c>
      <c r="V283" s="15">
        <v>547.64</v>
      </c>
      <c r="W283" s="16">
        <v>76.8</v>
      </c>
      <c r="X283" s="31">
        <f>MOD(general_price[[#This Row],[date]], 1)</f>
        <v>0.375</v>
      </c>
      <c r="Y283" s="25" t="str">
        <f t="shared" si="4"/>
        <v/>
      </c>
      <c r="Z283" s="22">
        <v>0</v>
      </c>
      <c r="AA283" s="48">
        <f>general_price[[#This Row],[Battery (Charging) -  MW]]+general_price[[#This Row],[Battery (Discharging) -  MW]]</f>
        <v>234.8</v>
      </c>
      <c r="AB283" s="48">
        <f>general_price[[#This Row],[Pumps -  MW]]+general_price[[#This Row],[Hydro -  MW]]</f>
        <v>101.15</v>
      </c>
    </row>
    <row r="284" spans="1:28">
      <c r="A284" s="13">
        <v>45855.395833333336</v>
      </c>
      <c r="B284" s="14">
        <v>-7.06</v>
      </c>
      <c r="C284" s="15">
        <v>0</v>
      </c>
      <c r="D284" s="15">
        <v>-267.99</v>
      </c>
      <c r="E284" s="15">
        <v>1046.6300000000001</v>
      </c>
      <c r="F284" s="15">
        <v>6365.08</v>
      </c>
      <c r="G284" s="15">
        <v>10.27</v>
      </c>
      <c r="H284" s="15">
        <v>0</v>
      </c>
      <c r="I284" s="15">
        <v>41.56</v>
      </c>
      <c r="J284" s="15">
        <v>278.85000000000002</v>
      </c>
      <c r="K284" s="15">
        <v>11.25</v>
      </c>
      <c r="L284" s="15">
        <v>423.89</v>
      </c>
      <c r="M284" s="15">
        <v>2013.7</v>
      </c>
      <c r="N284" s="15">
        <v>1870.36</v>
      </c>
      <c r="O284" s="15">
        <v>10</v>
      </c>
      <c r="P284" s="15">
        <v>84.45</v>
      </c>
      <c r="Q284" s="15">
        <v>267.43</v>
      </c>
      <c r="R284" s="15">
        <v>2871.86</v>
      </c>
      <c r="S284" s="15">
        <v>0.4</v>
      </c>
      <c r="T284" s="15">
        <v>0</v>
      </c>
      <c r="U284" s="15">
        <v>12.51</v>
      </c>
      <c r="V284" s="15">
        <v>489.5</v>
      </c>
      <c r="W284" s="16">
        <v>76.8</v>
      </c>
      <c r="X284" s="31">
        <f>MOD(general_price[[#This Row],[date]], 1)</f>
        <v>0.39583333333575865</v>
      </c>
      <c r="Y284" s="25" t="str">
        <f t="shared" si="4"/>
        <v/>
      </c>
      <c r="Z284" s="22">
        <v>0</v>
      </c>
      <c r="AA284" s="48">
        <f>general_price[[#This Row],[Battery (Charging) -  MW]]+general_price[[#This Row],[Battery (Discharging) -  MW]]</f>
        <v>271.79000000000002</v>
      </c>
      <c r="AB284" s="48">
        <f>general_price[[#This Row],[Pumps -  MW]]+general_price[[#This Row],[Hydro -  MW]]</f>
        <v>11.25</v>
      </c>
    </row>
    <row r="285" spans="1:28">
      <c r="A285" s="13">
        <v>45855.416666666664</v>
      </c>
      <c r="B285" s="14">
        <v>-2.8</v>
      </c>
      <c r="C285" s="15">
        <v>0</v>
      </c>
      <c r="D285" s="15">
        <v>-177.23</v>
      </c>
      <c r="E285" s="15">
        <v>964.61</v>
      </c>
      <c r="F285" s="15">
        <v>5709.09</v>
      </c>
      <c r="G285" s="15">
        <v>5.35</v>
      </c>
      <c r="H285" s="15">
        <v>0</v>
      </c>
      <c r="I285" s="15">
        <v>41.74</v>
      </c>
      <c r="J285" s="15">
        <v>37.770000000000003</v>
      </c>
      <c r="K285" s="15">
        <v>29.64</v>
      </c>
      <c r="L285" s="15">
        <v>343.03</v>
      </c>
      <c r="M285" s="15">
        <v>2277.38</v>
      </c>
      <c r="N285" s="15">
        <v>2385.1</v>
      </c>
      <c r="O285" s="15">
        <v>10.98</v>
      </c>
      <c r="P285" s="15">
        <v>54.32</v>
      </c>
      <c r="Q285" s="15">
        <v>240.39</v>
      </c>
      <c r="R285" s="15">
        <v>2575.9</v>
      </c>
      <c r="S285" s="15">
        <v>0.37</v>
      </c>
      <c r="T285" s="15">
        <v>0</v>
      </c>
      <c r="U285" s="15">
        <v>12.57</v>
      </c>
      <c r="V285" s="15">
        <v>445.83</v>
      </c>
      <c r="W285" s="16">
        <v>44.76</v>
      </c>
      <c r="X285" s="31">
        <f>MOD(general_price[[#This Row],[date]], 1)</f>
        <v>0.41666666666424135</v>
      </c>
      <c r="Y285" s="25" t="str">
        <f t="shared" si="4"/>
        <v/>
      </c>
      <c r="Z285" s="22">
        <v>0</v>
      </c>
      <c r="AA285" s="48">
        <f>general_price[[#This Row],[Battery (Charging) -  MW]]+general_price[[#This Row],[Battery (Discharging) -  MW]]</f>
        <v>34.970000000000006</v>
      </c>
      <c r="AB285" s="48">
        <f>general_price[[#This Row],[Pumps -  MW]]+general_price[[#This Row],[Hydro -  MW]]</f>
        <v>29.64</v>
      </c>
    </row>
    <row r="286" spans="1:28">
      <c r="A286" s="13">
        <v>45855.4375</v>
      </c>
      <c r="B286" s="14">
        <v>-10.07</v>
      </c>
      <c r="C286" s="15">
        <v>0</v>
      </c>
      <c r="D286" s="15">
        <v>-162.01</v>
      </c>
      <c r="E286" s="15">
        <v>899.33</v>
      </c>
      <c r="F286" s="15">
        <v>5334.09</v>
      </c>
      <c r="G286" s="15">
        <v>6.48</v>
      </c>
      <c r="H286" s="15">
        <v>0</v>
      </c>
      <c r="I286" s="15">
        <v>40.880000000000003</v>
      </c>
      <c r="J286" s="15">
        <v>2.42</v>
      </c>
      <c r="K286" s="15">
        <v>0</v>
      </c>
      <c r="L286" s="15">
        <v>299.51</v>
      </c>
      <c r="M286" s="15">
        <v>2201.2199999999998</v>
      </c>
      <c r="N286" s="15">
        <v>2805.63</v>
      </c>
      <c r="O286" s="15">
        <v>11.72</v>
      </c>
      <c r="P286" s="15">
        <v>49.45</v>
      </c>
      <c r="Q286" s="15">
        <v>223.88</v>
      </c>
      <c r="R286" s="15">
        <v>2405.81</v>
      </c>
      <c r="S286" s="15">
        <v>0.38</v>
      </c>
      <c r="T286" s="15">
        <v>0</v>
      </c>
      <c r="U286" s="15">
        <v>12.31</v>
      </c>
      <c r="V286" s="15">
        <v>423.65</v>
      </c>
      <c r="W286" s="16">
        <v>84.85</v>
      </c>
      <c r="X286" s="31">
        <f>MOD(general_price[[#This Row],[date]], 1)</f>
        <v>0.4375</v>
      </c>
      <c r="Y286" s="25" t="str">
        <f t="shared" si="4"/>
        <v/>
      </c>
      <c r="Z286" s="22">
        <v>0</v>
      </c>
      <c r="AA286" s="48">
        <f>general_price[[#This Row],[Battery (Charging) -  MW]]+general_price[[#This Row],[Battery (Discharging) -  MW]]</f>
        <v>-7.65</v>
      </c>
      <c r="AB286" s="48">
        <f>general_price[[#This Row],[Pumps -  MW]]+general_price[[#This Row],[Hydro -  MW]]</f>
        <v>0</v>
      </c>
    </row>
    <row r="287" spans="1:28">
      <c r="A287" s="13">
        <v>45855.458333333336</v>
      </c>
      <c r="B287" s="14">
        <v>-38.36</v>
      </c>
      <c r="C287" s="15">
        <v>0</v>
      </c>
      <c r="D287" s="15">
        <v>-226.79</v>
      </c>
      <c r="E287" s="15">
        <v>960.5</v>
      </c>
      <c r="F287" s="15">
        <v>4956.08</v>
      </c>
      <c r="G287" s="15">
        <v>9.8800000000000008</v>
      </c>
      <c r="H287" s="15">
        <v>0</v>
      </c>
      <c r="I287" s="15">
        <v>40.71</v>
      </c>
      <c r="J287" s="15">
        <v>0.64</v>
      </c>
      <c r="K287" s="15">
        <v>0</v>
      </c>
      <c r="L287" s="15">
        <v>330.91</v>
      </c>
      <c r="M287" s="15">
        <v>2164.7600000000002</v>
      </c>
      <c r="N287" s="15">
        <v>3092</v>
      </c>
      <c r="O287" s="15">
        <v>12.9</v>
      </c>
      <c r="P287" s="15">
        <v>67.62</v>
      </c>
      <c r="Q287" s="15">
        <v>237.2</v>
      </c>
      <c r="R287" s="15">
        <v>2236.8200000000002</v>
      </c>
      <c r="S287" s="15">
        <v>0.38</v>
      </c>
      <c r="T287" s="15">
        <v>0</v>
      </c>
      <c r="U287" s="15">
        <v>12.26</v>
      </c>
      <c r="V287" s="15">
        <v>398.47</v>
      </c>
      <c r="W287" s="16">
        <v>57.01</v>
      </c>
      <c r="X287" s="31">
        <f>MOD(general_price[[#This Row],[date]], 1)</f>
        <v>0.45833333333575865</v>
      </c>
      <c r="Y287" s="25" t="str">
        <f t="shared" si="4"/>
        <v/>
      </c>
      <c r="Z287" s="22">
        <v>0</v>
      </c>
      <c r="AA287" s="48">
        <f>general_price[[#This Row],[Battery (Charging) -  MW]]+general_price[[#This Row],[Battery (Discharging) -  MW]]</f>
        <v>-37.72</v>
      </c>
      <c r="AB287" s="48">
        <f>general_price[[#This Row],[Pumps -  MW]]+general_price[[#This Row],[Hydro -  MW]]</f>
        <v>0</v>
      </c>
    </row>
    <row r="288" spans="1:28">
      <c r="A288" s="13">
        <v>45855.479166666664</v>
      </c>
      <c r="B288" s="14">
        <v>-123.22</v>
      </c>
      <c r="C288" s="15">
        <v>0</v>
      </c>
      <c r="D288" s="15">
        <v>-287.95999999999998</v>
      </c>
      <c r="E288" s="15">
        <v>861.21</v>
      </c>
      <c r="F288" s="15">
        <v>4581.97</v>
      </c>
      <c r="G288" s="15">
        <v>9.6</v>
      </c>
      <c r="H288" s="15">
        <v>0</v>
      </c>
      <c r="I288" s="15">
        <v>39.68</v>
      </c>
      <c r="J288" s="15">
        <v>36.93</v>
      </c>
      <c r="K288" s="15">
        <v>0</v>
      </c>
      <c r="L288" s="15">
        <v>436.13</v>
      </c>
      <c r="M288" s="15">
        <v>2313.7600000000002</v>
      </c>
      <c r="N288" s="15">
        <v>3264.92</v>
      </c>
      <c r="O288" s="15">
        <v>13.53</v>
      </c>
      <c r="P288" s="15">
        <v>80.28</v>
      </c>
      <c r="Q288" s="15">
        <v>216.7</v>
      </c>
      <c r="R288" s="15">
        <v>2066.67</v>
      </c>
      <c r="S288" s="15">
        <v>0.37</v>
      </c>
      <c r="T288" s="15">
        <v>0</v>
      </c>
      <c r="U288" s="15">
        <v>11.95</v>
      </c>
      <c r="V288" s="15">
        <v>373.48</v>
      </c>
      <c r="W288" s="16">
        <v>0</v>
      </c>
      <c r="X288" s="31">
        <f>MOD(general_price[[#This Row],[date]], 1)</f>
        <v>0.47916666666424135</v>
      </c>
      <c r="Y288" s="25" t="str">
        <f t="shared" si="4"/>
        <v/>
      </c>
      <c r="Z288" s="22">
        <v>0</v>
      </c>
      <c r="AA288" s="48">
        <f>general_price[[#This Row],[Battery (Charging) -  MW]]+general_price[[#This Row],[Battery (Discharging) -  MW]]</f>
        <v>-86.289999999999992</v>
      </c>
      <c r="AB288" s="48">
        <f>general_price[[#This Row],[Pumps -  MW]]+general_price[[#This Row],[Hydro -  MW]]</f>
        <v>0</v>
      </c>
    </row>
    <row r="289" spans="1:28">
      <c r="A289" s="13">
        <v>45855.5</v>
      </c>
      <c r="B289" s="14">
        <v>-224.54</v>
      </c>
      <c r="C289" s="15">
        <v>-15.55</v>
      </c>
      <c r="D289" s="15">
        <v>-247.01</v>
      </c>
      <c r="E289" s="15">
        <v>715.38</v>
      </c>
      <c r="F289" s="15">
        <v>4220.4799999999996</v>
      </c>
      <c r="G289" s="15">
        <v>9.5399999999999991</v>
      </c>
      <c r="H289" s="15">
        <v>0</v>
      </c>
      <c r="I289" s="15">
        <v>37.090000000000003</v>
      </c>
      <c r="J289" s="15">
        <v>9.25</v>
      </c>
      <c r="K289" s="15">
        <v>0</v>
      </c>
      <c r="L289" s="15">
        <v>535.34</v>
      </c>
      <c r="M289" s="15">
        <v>2350.3200000000002</v>
      </c>
      <c r="N289" s="15">
        <v>3402.32</v>
      </c>
      <c r="O289" s="15">
        <v>14.48</v>
      </c>
      <c r="P289" s="15">
        <v>65.84</v>
      </c>
      <c r="Q289" s="15">
        <v>178.12</v>
      </c>
      <c r="R289" s="15">
        <v>1901.58</v>
      </c>
      <c r="S289" s="15">
        <v>0.37</v>
      </c>
      <c r="T289" s="15">
        <v>0</v>
      </c>
      <c r="U289" s="15">
        <v>11.17</v>
      </c>
      <c r="V289" s="15">
        <v>354.52</v>
      </c>
      <c r="W289" s="16">
        <v>48.23</v>
      </c>
      <c r="X289" s="31">
        <f>MOD(general_price[[#This Row],[date]], 1)</f>
        <v>0.5</v>
      </c>
      <c r="Y289" s="25" t="str">
        <f t="shared" si="4"/>
        <v/>
      </c>
      <c r="Z289" s="22">
        <v>0</v>
      </c>
      <c r="AA289" s="48">
        <f>general_price[[#This Row],[Battery (Charging) -  MW]]+general_price[[#This Row],[Battery (Discharging) -  MW]]</f>
        <v>-215.29</v>
      </c>
      <c r="AB289" s="48">
        <f>general_price[[#This Row],[Pumps -  MW]]+general_price[[#This Row],[Hydro -  MW]]</f>
        <v>-15.55</v>
      </c>
    </row>
    <row r="290" spans="1:28">
      <c r="A290" s="13">
        <v>45855.520833333336</v>
      </c>
      <c r="B290" s="14">
        <v>-156.88</v>
      </c>
      <c r="C290" s="15">
        <v>-205.37</v>
      </c>
      <c r="D290" s="15">
        <v>-170.09</v>
      </c>
      <c r="E290" s="15">
        <v>752.23</v>
      </c>
      <c r="F290" s="15">
        <v>3998.16</v>
      </c>
      <c r="G290" s="15">
        <v>9.18</v>
      </c>
      <c r="H290" s="15">
        <v>0</v>
      </c>
      <c r="I290" s="15">
        <v>34.85</v>
      </c>
      <c r="J290" s="15">
        <v>0.38</v>
      </c>
      <c r="K290" s="15">
        <v>20.54</v>
      </c>
      <c r="L290" s="15">
        <v>600.41</v>
      </c>
      <c r="M290" s="15">
        <v>2352.5700000000002</v>
      </c>
      <c r="N290" s="15">
        <v>3411.24</v>
      </c>
      <c r="O290" s="15">
        <v>15.33</v>
      </c>
      <c r="P290" s="15">
        <v>42.7</v>
      </c>
      <c r="Q290" s="15">
        <v>188.41</v>
      </c>
      <c r="R290" s="15">
        <v>1802.5</v>
      </c>
      <c r="S290" s="15">
        <v>0.36</v>
      </c>
      <c r="T290" s="15">
        <v>0</v>
      </c>
      <c r="U290" s="15">
        <v>10.49</v>
      </c>
      <c r="V290" s="15">
        <v>340.62</v>
      </c>
      <c r="W290" s="16">
        <v>40.119999999999997</v>
      </c>
      <c r="X290" s="31">
        <f>MOD(general_price[[#This Row],[date]], 1)</f>
        <v>0.52083333333575865</v>
      </c>
      <c r="Y290" s="25" t="str">
        <f t="shared" si="4"/>
        <v/>
      </c>
      <c r="Z290" s="22">
        <v>0</v>
      </c>
      <c r="AA290" s="48">
        <f>general_price[[#This Row],[Battery (Charging) -  MW]]+general_price[[#This Row],[Battery (Discharging) -  MW]]</f>
        <v>-156.5</v>
      </c>
      <c r="AB290" s="48">
        <f>general_price[[#This Row],[Pumps -  MW]]+general_price[[#This Row],[Hydro -  MW]]</f>
        <v>-184.83</v>
      </c>
    </row>
    <row r="291" spans="1:28">
      <c r="A291" s="13">
        <v>45855.541666666664</v>
      </c>
      <c r="B291" s="14">
        <v>-214.46</v>
      </c>
      <c r="C291" s="15">
        <v>-454.87</v>
      </c>
      <c r="D291" s="15">
        <v>-129.07</v>
      </c>
      <c r="E291" s="15">
        <v>795.81</v>
      </c>
      <c r="F291" s="15">
        <v>4020.32</v>
      </c>
      <c r="G291" s="15">
        <v>8.73</v>
      </c>
      <c r="H291" s="15">
        <v>0</v>
      </c>
      <c r="I291" s="15">
        <v>34.19</v>
      </c>
      <c r="J291" s="15">
        <v>0.51</v>
      </c>
      <c r="K291" s="15">
        <v>0</v>
      </c>
      <c r="L291" s="15">
        <v>595.41999999999996</v>
      </c>
      <c r="M291" s="15">
        <v>2336.7399999999998</v>
      </c>
      <c r="N291" s="15">
        <v>3346.16</v>
      </c>
      <c r="O291" s="15">
        <v>16.12</v>
      </c>
      <c r="P291" s="15">
        <v>31.56</v>
      </c>
      <c r="Q291" s="15">
        <v>199.68</v>
      </c>
      <c r="R291" s="15">
        <v>1811.94</v>
      </c>
      <c r="S291" s="15">
        <v>0.35</v>
      </c>
      <c r="T291" s="15">
        <v>0</v>
      </c>
      <c r="U291" s="15">
        <v>10.29</v>
      </c>
      <c r="V291" s="15">
        <v>352.55</v>
      </c>
      <c r="W291" s="16">
        <v>20.43</v>
      </c>
      <c r="X291" s="31">
        <f>MOD(general_price[[#This Row],[date]], 1)</f>
        <v>0.54166666666424135</v>
      </c>
      <c r="Y291" s="25" t="str">
        <f t="shared" si="4"/>
        <v/>
      </c>
      <c r="Z291" s="22">
        <v>0</v>
      </c>
      <c r="AA291" s="48">
        <f>general_price[[#This Row],[Battery (Charging) -  MW]]+general_price[[#This Row],[Battery (Discharging) -  MW]]</f>
        <v>-213.95000000000002</v>
      </c>
      <c r="AB291" s="48">
        <f>general_price[[#This Row],[Pumps -  MW]]+general_price[[#This Row],[Hydro -  MW]]</f>
        <v>-454.87</v>
      </c>
    </row>
    <row r="292" spans="1:28">
      <c r="A292" s="13">
        <v>45855.5625</v>
      </c>
      <c r="B292" s="14">
        <v>-199.66</v>
      </c>
      <c r="C292" s="15">
        <v>-470.54</v>
      </c>
      <c r="D292" s="15">
        <v>-130.47</v>
      </c>
      <c r="E292" s="15">
        <v>825.72</v>
      </c>
      <c r="F292" s="15">
        <v>4073.91</v>
      </c>
      <c r="G292" s="15">
        <v>8.4</v>
      </c>
      <c r="H292" s="15">
        <v>0</v>
      </c>
      <c r="I292" s="15">
        <v>32.159999999999997</v>
      </c>
      <c r="J292" s="15">
        <v>4.05</v>
      </c>
      <c r="K292" s="15">
        <v>0</v>
      </c>
      <c r="L292" s="15">
        <v>541.29999999999995</v>
      </c>
      <c r="M292" s="15">
        <v>2308.9299999999998</v>
      </c>
      <c r="N292" s="15">
        <v>3132.37</v>
      </c>
      <c r="O292" s="15">
        <v>16.73</v>
      </c>
      <c r="P292" s="15">
        <v>32.31</v>
      </c>
      <c r="Q292" s="15">
        <v>209.14</v>
      </c>
      <c r="R292" s="15">
        <v>1835.81</v>
      </c>
      <c r="S292" s="15">
        <v>0.35</v>
      </c>
      <c r="T292" s="15">
        <v>0</v>
      </c>
      <c r="U292" s="15">
        <v>9.68</v>
      </c>
      <c r="V292" s="15">
        <v>364.57</v>
      </c>
      <c r="W292" s="16">
        <v>57.01</v>
      </c>
      <c r="X292" s="31">
        <f>MOD(general_price[[#This Row],[date]], 1)</f>
        <v>0.5625</v>
      </c>
      <c r="Y292" s="25" t="str">
        <f t="shared" si="4"/>
        <v/>
      </c>
      <c r="Z292" s="22">
        <v>0</v>
      </c>
      <c r="AA292" s="48">
        <f>general_price[[#This Row],[Battery (Charging) -  MW]]+general_price[[#This Row],[Battery (Discharging) -  MW]]</f>
        <v>-195.60999999999999</v>
      </c>
      <c r="AB292" s="48">
        <f>general_price[[#This Row],[Pumps -  MW]]+general_price[[#This Row],[Hydro -  MW]]</f>
        <v>-470.54</v>
      </c>
    </row>
    <row r="293" spans="1:28">
      <c r="A293" s="13">
        <v>45855.583333333336</v>
      </c>
      <c r="B293" s="14">
        <v>-111.6</v>
      </c>
      <c r="C293" s="15">
        <v>-470.43</v>
      </c>
      <c r="D293" s="15">
        <v>-187.52</v>
      </c>
      <c r="E293" s="15">
        <v>801.68</v>
      </c>
      <c r="F293" s="15">
        <v>4130.7700000000004</v>
      </c>
      <c r="G293" s="15">
        <v>8.9700000000000006</v>
      </c>
      <c r="H293" s="15">
        <v>0</v>
      </c>
      <c r="I293" s="15">
        <v>30.94</v>
      </c>
      <c r="J293" s="15">
        <v>2.91</v>
      </c>
      <c r="K293" s="15">
        <v>0</v>
      </c>
      <c r="L293" s="15">
        <v>519.39</v>
      </c>
      <c r="M293" s="15">
        <v>2385.1</v>
      </c>
      <c r="N293" s="15">
        <v>2826.82</v>
      </c>
      <c r="O293" s="15">
        <v>17.13</v>
      </c>
      <c r="P293" s="15">
        <v>46.43</v>
      </c>
      <c r="Q293" s="15">
        <v>207.39</v>
      </c>
      <c r="R293" s="15">
        <v>1861.93</v>
      </c>
      <c r="S293" s="15">
        <v>0.37</v>
      </c>
      <c r="T293" s="15">
        <v>0</v>
      </c>
      <c r="U293" s="15">
        <v>9.32</v>
      </c>
      <c r="V293" s="15">
        <v>376.69</v>
      </c>
      <c r="W293" s="16">
        <v>1.65</v>
      </c>
      <c r="X293" s="31">
        <f>MOD(general_price[[#This Row],[date]], 1)</f>
        <v>0.58333333333575865</v>
      </c>
      <c r="Y293" s="25" t="str">
        <f t="shared" si="4"/>
        <v/>
      </c>
      <c r="Z293" s="22">
        <v>0</v>
      </c>
      <c r="AA293" s="48">
        <f>general_price[[#This Row],[Battery (Charging) -  MW]]+general_price[[#This Row],[Battery (Discharging) -  MW]]</f>
        <v>-108.69</v>
      </c>
      <c r="AB293" s="48">
        <f>general_price[[#This Row],[Pumps -  MW]]+general_price[[#This Row],[Hydro -  MW]]</f>
        <v>-470.43</v>
      </c>
    </row>
    <row r="294" spans="1:28">
      <c r="A294" s="13">
        <v>45855.604166666664</v>
      </c>
      <c r="B294" s="14">
        <v>-25.92</v>
      </c>
      <c r="C294" s="15">
        <v>-470.54</v>
      </c>
      <c r="D294" s="15">
        <v>-170.98</v>
      </c>
      <c r="E294" s="15">
        <v>796.69</v>
      </c>
      <c r="F294" s="15">
        <v>4290.54</v>
      </c>
      <c r="G294" s="15">
        <v>9.51</v>
      </c>
      <c r="H294" s="15">
        <v>0</v>
      </c>
      <c r="I294" s="15">
        <v>32.28</v>
      </c>
      <c r="J294" s="15">
        <v>19.100000000000001</v>
      </c>
      <c r="K294" s="15">
        <v>0</v>
      </c>
      <c r="L294" s="15">
        <v>540.59</v>
      </c>
      <c r="M294" s="15">
        <v>2378.4299999999998</v>
      </c>
      <c r="N294" s="15">
        <v>2414.62</v>
      </c>
      <c r="O294" s="15">
        <v>17.2</v>
      </c>
      <c r="P294" s="15">
        <v>42.86</v>
      </c>
      <c r="Q294" s="15">
        <v>212.64</v>
      </c>
      <c r="R294" s="15">
        <v>1934.78</v>
      </c>
      <c r="S294" s="15">
        <v>0.38</v>
      </c>
      <c r="T294" s="15">
        <v>0</v>
      </c>
      <c r="U294" s="15">
        <v>9.7200000000000006</v>
      </c>
      <c r="V294" s="15">
        <v>396.33</v>
      </c>
      <c r="W294" s="16">
        <v>57.01</v>
      </c>
      <c r="X294" s="31">
        <f>MOD(general_price[[#This Row],[date]], 1)</f>
        <v>0.60416666666424135</v>
      </c>
      <c r="Y294" s="25" t="str">
        <f t="shared" si="4"/>
        <v/>
      </c>
      <c r="Z294" s="22">
        <v>0</v>
      </c>
      <c r="AA294" s="48">
        <f>general_price[[#This Row],[Battery (Charging) -  MW]]+general_price[[#This Row],[Battery (Discharging) -  MW]]</f>
        <v>-6.82</v>
      </c>
      <c r="AB294" s="48">
        <f>general_price[[#This Row],[Pumps -  MW]]+general_price[[#This Row],[Hydro -  MW]]</f>
        <v>-470.54</v>
      </c>
    </row>
    <row r="295" spans="1:28">
      <c r="A295" s="13">
        <v>45855.625</v>
      </c>
      <c r="B295" s="14">
        <v>-27.79</v>
      </c>
      <c r="C295" s="15">
        <v>-241.81</v>
      </c>
      <c r="D295" s="15">
        <v>-190.58</v>
      </c>
      <c r="E295" s="15">
        <v>819.58</v>
      </c>
      <c r="F295" s="15">
        <v>4915.79</v>
      </c>
      <c r="G295" s="15">
        <v>9.5399999999999991</v>
      </c>
      <c r="H295" s="15">
        <v>0</v>
      </c>
      <c r="I295" s="15">
        <v>33.39</v>
      </c>
      <c r="J295" s="15">
        <v>5.82</v>
      </c>
      <c r="K295" s="15">
        <v>0</v>
      </c>
      <c r="L295" s="15">
        <v>524.08000000000004</v>
      </c>
      <c r="M295" s="15">
        <v>1984.17</v>
      </c>
      <c r="N295" s="15">
        <v>1945.37</v>
      </c>
      <c r="O295" s="15">
        <v>17.190000000000001</v>
      </c>
      <c r="P295" s="15">
        <v>55.2</v>
      </c>
      <c r="Q295" s="15">
        <v>220.1</v>
      </c>
      <c r="R295" s="15">
        <v>2214.08</v>
      </c>
      <c r="S295" s="15">
        <v>0.37</v>
      </c>
      <c r="T295" s="15">
        <v>0</v>
      </c>
      <c r="U295" s="15">
        <v>10.050000000000001</v>
      </c>
      <c r="V295" s="15">
        <v>455.02</v>
      </c>
      <c r="W295" s="16">
        <v>140.36000000000001</v>
      </c>
      <c r="X295" s="31">
        <f>MOD(general_price[[#This Row],[date]], 1)</f>
        <v>0.625</v>
      </c>
      <c r="Y295" s="25" t="str">
        <f t="shared" si="4"/>
        <v/>
      </c>
      <c r="Z295" s="22">
        <v>0</v>
      </c>
      <c r="AA295" s="48">
        <f>general_price[[#This Row],[Battery (Charging) -  MW]]+general_price[[#This Row],[Battery (Discharging) -  MW]]</f>
        <v>-21.97</v>
      </c>
      <c r="AB295" s="48">
        <f>general_price[[#This Row],[Pumps -  MW]]+general_price[[#This Row],[Hydro -  MW]]</f>
        <v>-241.81</v>
      </c>
    </row>
    <row r="296" spans="1:28">
      <c r="A296" s="13">
        <v>45855.645833333336</v>
      </c>
      <c r="B296" s="14">
        <v>-79.58</v>
      </c>
      <c r="C296" s="15">
        <v>-80.64</v>
      </c>
      <c r="D296" s="15">
        <v>-271.32</v>
      </c>
      <c r="E296" s="15">
        <v>780.88</v>
      </c>
      <c r="F296" s="15">
        <v>5674.82</v>
      </c>
      <c r="G296" s="15">
        <v>10.43</v>
      </c>
      <c r="H296" s="15">
        <v>1</v>
      </c>
      <c r="I296" s="15">
        <v>34.92</v>
      </c>
      <c r="J296" s="15">
        <v>6.11</v>
      </c>
      <c r="K296" s="15">
        <v>0</v>
      </c>
      <c r="L296" s="15">
        <v>492.07</v>
      </c>
      <c r="M296" s="15">
        <v>1801.47</v>
      </c>
      <c r="N296" s="15">
        <v>1469.53</v>
      </c>
      <c r="O296" s="15">
        <v>17.02</v>
      </c>
      <c r="P296" s="15">
        <v>85.57</v>
      </c>
      <c r="Q296" s="15">
        <v>217.01</v>
      </c>
      <c r="R296" s="15">
        <v>2554.38</v>
      </c>
      <c r="S296" s="15">
        <v>0.39</v>
      </c>
      <c r="T296" s="15">
        <v>0.19</v>
      </c>
      <c r="U296" s="15">
        <v>10.51</v>
      </c>
      <c r="V296" s="15">
        <v>521.45000000000005</v>
      </c>
      <c r="W296" s="16">
        <v>0</v>
      </c>
      <c r="X296" s="31">
        <f>MOD(general_price[[#This Row],[date]], 1)</f>
        <v>0.64583333333575865</v>
      </c>
      <c r="Y296" s="25" t="str">
        <f t="shared" si="4"/>
        <v/>
      </c>
      <c r="Z296" s="22">
        <v>0</v>
      </c>
      <c r="AA296" s="48">
        <f>general_price[[#This Row],[Battery (Charging) -  MW]]+general_price[[#This Row],[Battery (Discharging) -  MW]]</f>
        <v>-73.47</v>
      </c>
      <c r="AB296" s="48">
        <f>general_price[[#This Row],[Pumps -  MW]]+general_price[[#This Row],[Hydro -  MW]]</f>
        <v>-80.64</v>
      </c>
    </row>
    <row r="297" spans="1:28">
      <c r="A297" s="13">
        <v>45855.666666666664</v>
      </c>
      <c r="B297" s="14">
        <v>-105.3</v>
      </c>
      <c r="C297" s="15">
        <v>-67.239999999999995</v>
      </c>
      <c r="D297" s="15">
        <v>-227.11</v>
      </c>
      <c r="E297" s="15">
        <v>805.28</v>
      </c>
      <c r="F297" s="15">
        <v>6816.53</v>
      </c>
      <c r="G297" s="15">
        <v>9.0299999999999994</v>
      </c>
      <c r="H297" s="15">
        <v>52.17</v>
      </c>
      <c r="I297" s="15">
        <v>36.58</v>
      </c>
      <c r="J297" s="15">
        <v>6.49</v>
      </c>
      <c r="K297" s="15">
        <v>0</v>
      </c>
      <c r="L297" s="15">
        <v>425.11</v>
      </c>
      <c r="M297" s="15">
        <v>1142.27</v>
      </c>
      <c r="N297" s="15">
        <v>1000.25</v>
      </c>
      <c r="O297" s="15">
        <v>16.02</v>
      </c>
      <c r="P297" s="15">
        <v>82.2</v>
      </c>
      <c r="Q297" s="15">
        <v>247.78</v>
      </c>
      <c r="R297" s="15">
        <v>3068.9</v>
      </c>
      <c r="S297" s="15">
        <v>0.45</v>
      </c>
      <c r="T297" s="15">
        <v>9.6999999999999993</v>
      </c>
      <c r="U297" s="15">
        <v>11.01</v>
      </c>
      <c r="V297" s="15">
        <v>624.63</v>
      </c>
      <c r="W297" s="16">
        <v>106.28</v>
      </c>
      <c r="X297" s="31">
        <f>MOD(general_price[[#This Row],[date]], 1)</f>
        <v>0.66666666666424135</v>
      </c>
      <c r="Y297" s="25" t="str">
        <f t="shared" si="4"/>
        <v/>
      </c>
      <c r="Z297" s="22">
        <v>0</v>
      </c>
      <c r="AA297" s="48">
        <f>general_price[[#This Row],[Battery (Charging) -  MW]]+general_price[[#This Row],[Battery (Discharging) -  MW]]</f>
        <v>-98.81</v>
      </c>
      <c r="AB297" s="48">
        <f>general_price[[#This Row],[Pumps -  MW]]+general_price[[#This Row],[Hydro -  MW]]</f>
        <v>-67.239999999999995</v>
      </c>
    </row>
    <row r="298" spans="1:28">
      <c r="A298" s="13">
        <v>45855.6875</v>
      </c>
      <c r="B298" s="14">
        <v>-26.84</v>
      </c>
      <c r="C298" s="15">
        <v>0</v>
      </c>
      <c r="D298" s="15">
        <v>-224.95</v>
      </c>
      <c r="E298" s="15">
        <v>893.14</v>
      </c>
      <c r="F298" s="15">
        <v>7710.41</v>
      </c>
      <c r="G298" s="15">
        <v>-0.04</v>
      </c>
      <c r="H298" s="15">
        <v>189.67</v>
      </c>
      <c r="I298" s="15">
        <v>36.67</v>
      </c>
      <c r="J298" s="15">
        <v>0.78</v>
      </c>
      <c r="K298" s="15">
        <v>62.31</v>
      </c>
      <c r="L298" s="15">
        <v>383.55</v>
      </c>
      <c r="M298" s="15">
        <v>459.69</v>
      </c>
      <c r="N298" s="15">
        <v>542.21</v>
      </c>
      <c r="O298" s="15">
        <v>14.99</v>
      </c>
      <c r="P298" s="15">
        <v>89.1</v>
      </c>
      <c r="Q298" s="15">
        <v>301.45999999999998</v>
      </c>
      <c r="R298" s="15">
        <v>3470.41</v>
      </c>
      <c r="S298" s="15">
        <v>0.45</v>
      </c>
      <c r="T298" s="15">
        <v>35.26</v>
      </c>
      <c r="U298" s="15">
        <v>11.22</v>
      </c>
      <c r="V298" s="15">
        <v>701.6</v>
      </c>
      <c r="W298" s="16">
        <v>84.7</v>
      </c>
      <c r="X298" s="31">
        <f>MOD(general_price[[#This Row],[date]], 1)</f>
        <v>0.6875</v>
      </c>
      <c r="Y298" s="25" t="str">
        <f t="shared" si="4"/>
        <v/>
      </c>
      <c r="Z298" s="22">
        <v>0</v>
      </c>
      <c r="AA298" s="48">
        <f>general_price[[#This Row],[Battery (Charging) -  MW]]+general_price[[#This Row],[Battery (Discharging) -  MW]]</f>
        <v>-26.06</v>
      </c>
      <c r="AB298" s="48">
        <f>general_price[[#This Row],[Pumps -  MW]]+general_price[[#This Row],[Hydro -  MW]]</f>
        <v>62.31</v>
      </c>
    </row>
    <row r="299" spans="1:28">
      <c r="A299" s="13">
        <v>45855.708333333336</v>
      </c>
      <c r="B299" s="14">
        <v>-6.92</v>
      </c>
      <c r="C299" s="15">
        <v>0</v>
      </c>
      <c r="D299" s="15">
        <v>-238.14</v>
      </c>
      <c r="E299" s="15">
        <v>931.81</v>
      </c>
      <c r="F299" s="15">
        <v>7965.6</v>
      </c>
      <c r="G299" s="15">
        <v>-0.95</v>
      </c>
      <c r="H299" s="15">
        <v>308.83</v>
      </c>
      <c r="I299" s="15">
        <v>163.5</v>
      </c>
      <c r="J299" s="15">
        <v>48.3</v>
      </c>
      <c r="K299" s="15">
        <v>528.14</v>
      </c>
      <c r="L299" s="15">
        <v>489.01</v>
      </c>
      <c r="M299" s="15">
        <v>115.34</v>
      </c>
      <c r="N299" s="15">
        <v>173.77</v>
      </c>
      <c r="O299" s="15">
        <v>14.12</v>
      </c>
      <c r="P299" s="15">
        <v>91</v>
      </c>
      <c r="Q299" s="15">
        <v>324.83999999999997</v>
      </c>
      <c r="R299" s="15">
        <v>3586.54</v>
      </c>
      <c r="S299" s="15">
        <v>0.45</v>
      </c>
      <c r="T299" s="15">
        <v>57.41</v>
      </c>
      <c r="U299" s="15">
        <v>47.21</v>
      </c>
      <c r="V299" s="15">
        <v>704.62</v>
      </c>
      <c r="W299" s="16">
        <v>165.24</v>
      </c>
      <c r="X299" s="31">
        <f>MOD(general_price[[#This Row],[date]], 1)</f>
        <v>0.70833333333575865</v>
      </c>
      <c r="Y299" s="25" t="str">
        <f t="shared" si="4"/>
        <v/>
      </c>
      <c r="Z299" s="22">
        <v>0</v>
      </c>
      <c r="AA299" s="48">
        <f>general_price[[#This Row],[Battery (Charging) -  MW]]+general_price[[#This Row],[Battery (Discharging) -  MW]]</f>
        <v>41.379999999999995</v>
      </c>
      <c r="AB299" s="48">
        <f>general_price[[#This Row],[Pumps -  MW]]+general_price[[#This Row],[Hydro -  MW]]</f>
        <v>528.14</v>
      </c>
    </row>
    <row r="300" spans="1:28">
      <c r="A300" s="13">
        <v>45855.729166666664</v>
      </c>
      <c r="B300" s="14">
        <v>-2.33</v>
      </c>
      <c r="C300" s="15">
        <v>0</v>
      </c>
      <c r="D300" s="15">
        <v>-247.09</v>
      </c>
      <c r="E300" s="15">
        <v>952.48</v>
      </c>
      <c r="F300" s="15">
        <v>7969.07</v>
      </c>
      <c r="G300" s="15">
        <v>-0.15</v>
      </c>
      <c r="H300" s="15">
        <v>443.33</v>
      </c>
      <c r="I300" s="15">
        <v>500.54</v>
      </c>
      <c r="J300" s="15">
        <v>148.81</v>
      </c>
      <c r="K300" s="15">
        <v>781.62</v>
      </c>
      <c r="L300" s="15">
        <v>446.51</v>
      </c>
      <c r="M300" s="15">
        <v>10.119999999999999</v>
      </c>
      <c r="N300" s="15">
        <v>21.45</v>
      </c>
      <c r="O300" s="15">
        <v>13.62</v>
      </c>
      <c r="P300" s="15">
        <v>91.32</v>
      </c>
      <c r="Q300" s="15">
        <v>326.08</v>
      </c>
      <c r="R300" s="15">
        <v>3588.3</v>
      </c>
      <c r="S300" s="15">
        <v>0.46</v>
      </c>
      <c r="T300" s="15">
        <v>82.42</v>
      </c>
      <c r="U300" s="15">
        <v>142.02000000000001</v>
      </c>
      <c r="V300" s="15">
        <v>691.78</v>
      </c>
      <c r="W300" s="16">
        <v>202.35</v>
      </c>
      <c r="X300" s="31">
        <f>MOD(general_price[[#This Row],[date]], 1)</f>
        <v>0.72916666666424135</v>
      </c>
      <c r="Y300" s="25" t="str">
        <f t="shared" si="4"/>
        <v/>
      </c>
      <c r="Z300" s="22">
        <v>0</v>
      </c>
      <c r="AA300" s="48">
        <f>general_price[[#This Row],[Battery (Charging) -  MW]]+general_price[[#This Row],[Battery (Discharging) -  MW]]</f>
        <v>146.47999999999999</v>
      </c>
      <c r="AB300" s="48">
        <f>general_price[[#This Row],[Pumps -  MW]]+general_price[[#This Row],[Hydro -  MW]]</f>
        <v>781.62</v>
      </c>
    </row>
    <row r="301" spans="1:28">
      <c r="A301" s="13">
        <v>45855.75</v>
      </c>
      <c r="B301" s="14">
        <v>-2.59</v>
      </c>
      <c r="C301" s="15">
        <v>0</v>
      </c>
      <c r="D301" s="15">
        <v>-211.31</v>
      </c>
      <c r="E301" s="15">
        <v>1048.56</v>
      </c>
      <c r="F301" s="15">
        <v>7997.94</v>
      </c>
      <c r="G301" s="15">
        <v>0.25</v>
      </c>
      <c r="H301" s="15">
        <v>441.67</v>
      </c>
      <c r="I301" s="15">
        <v>699.88</v>
      </c>
      <c r="J301" s="15">
        <v>225.61</v>
      </c>
      <c r="K301" s="15">
        <v>839.56</v>
      </c>
      <c r="L301" s="15">
        <v>463.5</v>
      </c>
      <c r="M301" s="15">
        <v>0.05</v>
      </c>
      <c r="N301" s="15">
        <v>0.27</v>
      </c>
      <c r="O301" s="15">
        <v>13.09</v>
      </c>
      <c r="P301" s="15">
        <v>76.75</v>
      </c>
      <c r="Q301" s="15">
        <v>347.02</v>
      </c>
      <c r="R301" s="15">
        <v>3603.26</v>
      </c>
      <c r="S301" s="15">
        <v>0.47</v>
      </c>
      <c r="T301" s="15">
        <v>82.11</v>
      </c>
      <c r="U301" s="15">
        <v>198.16</v>
      </c>
      <c r="V301" s="15">
        <v>675.28</v>
      </c>
      <c r="W301" s="16">
        <v>254.96</v>
      </c>
      <c r="X301" s="31">
        <f>MOD(general_price[[#This Row],[date]], 1)</f>
        <v>0.75</v>
      </c>
      <c r="Y301" s="25" t="str">
        <f t="shared" si="4"/>
        <v/>
      </c>
      <c r="Z301" s="22">
        <v>0</v>
      </c>
      <c r="AA301" s="48">
        <f>general_price[[#This Row],[Battery (Charging) -  MW]]+general_price[[#This Row],[Battery (Discharging) -  MW]]</f>
        <v>223.02</v>
      </c>
      <c r="AB301" s="48">
        <f>general_price[[#This Row],[Pumps -  MW]]+general_price[[#This Row],[Hydro -  MW]]</f>
        <v>839.56</v>
      </c>
    </row>
    <row r="302" spans="1:28">
      <c r="A302" s="13">
        <v>45855.770833333336</v>
      </c>
      <c r="B302" s="14">
        <v>-3.52</v>
      </c>
      <c r="C302" s="15">
        <v>0</v>
      </c>
      <c r="D302" s="15">
        <v>-103.97</v>
      </c>
      <c r="E302" s="15">
        <v>1203.54</v>
      </c>
      <c r="F302" s="15">
        <v>8078.78</v>
      </c>
      <c r="G302" s="15">
        <v>-0.3</v>
      </c>
      <c r="H302" s="15">
        <v>443.5</v>
      </c>
      <c r="I302" s="15">
        <v>701.87</v>
      </c>
      <c r="J302" s="15">
        <v>194.77</v>
      </c>
      <c r="K302" s="15">
        <v>863.3</v>
      </c>
      <c r="L302" s="15">
        <v>379.57</v>
      </c>
      <c r="M302" s="15">
        <v>0.05</v>
      </c>
      <c r="N302" s="15">
        <v>0</v>
      </c>
      <c r="O302" s="15">
        <v>12.89</v>
      </c>
      <c r="P302" s="15">
        <v>38.090000000000003</v>
      </c>
      <c r="Q302" s="15">
        <v>397.77</v>
      </c>
      <c r="R302" s="15">
        <v>3642.82</v>
      </c>
      <c r="S302" s="15">
        <v>0.47</v>
      </c>
      <c r="T302" s="15">
        <v>82.45</v>
      </c>
      <c r="U302" s="15">
        <v>198.73</v>
      </c>
      <c r="V302" s="15">
        <v>667.56</v>
      </c>
      <c r="W302" s="16">
        <v>186.83</v>
      </c>
      <c r="X302" s="31">
        <f>MOD(general_price[[#This Row],[date]], 1)</f>
        <v>0.77083333333575865</v>
      </c>
      <c r="Y302" s="25" t="str">
        <f t="shared" si="4"/>
        <v/>
      </c>
      <c r="Z302" s="22">
        <v>0</v>
      </c>
      <c r="AA302" s="48">
        <f>general_price[[#This Row],[Battery (Charging) -  MW]]+general_price[[#This Row],[Battery (Discharging) -  MW]]</f>
        <v>191.25</v>
      </c>
      <c r="AB302" s="48">
        <f>general_price[[#This Row],[Pumps -  MW]]+general_price[[#This Row],[Hydro -  MW]]</f>
        <v>863.3</v>
      </c>
    </row>
    <row r="303" spans="1:28">
      <c r="A303" s="13">
        <v>45855.791666666664</v>
      </c>
      <c r="B303" s="14">
        <v>-4.9400000000000004</v>
      </c>
      <c r="C303" s="15">
        <v>0</v>
      </c>
      <c r="D303" s="15">
        <v>-47.36</v>
      </c>
      <c r="E303" s="15">
        <v>1320.33</v>
      </c>
      <c r="F303" s="15">
        <v>8130.66</v>
      </c>
      <c r="G303" s="15">
        <v>-0.02</v>
      </c>
      <c r="H303" s="15">
        <v>450.33</v>
      </c>
      <c r="I303" s="15">
        <v>704.97</v>
      </c>
      <c r="J303" s="15">
        <v>175.64</v>
      </c>
      <c r="K303" s="15">
        <v>876.02</v>
      </c>
      <c r="L303" s="15">
        <v>361.17</v>
      </c>
      <c r="M303" s="15">
        <v>0.05</v>
      </c>
      <c r="N303" s="15">
        <v>0</v>
      </c>
      <c r="O303" s="15">
        <v>12.58</v>
      </c>
      <c r="P303" s="15">
        <v>17.48</v>
      </c>
      <c r="Q303" s="15">
        <v>436.41</v>
      </c>
      <c r="R303" s="15">
        <v>3668.4</v>
      </c>
      <c r="S303" s="15">
        <v>0.47</v>
      </c>
      <c r="T303" s="15">
        <v>83.72</v>
      </c>
      <c r="U303" s="15">
        <v>199.61</v>
      </c>
      <c r="V303" s="15">
        <v>660.52</v>
      </c>
      <c r="W303" s="16">
        <v>185.72</v>
      </c>
      <c r="X303" s="31">
        <f>MOD(general_price[[#This Row],[date]], 1)</f>
        <v>0.79166666666424135</v>
      </c>
      <c r="Y303" s="25" t="str">
        <f t="shared" si="4"/>
        <v/>
      </c>
      <c r="Z303" s="22">
        <v>0</v>
      </c>
      <c r="AA303" s="48">
        <f>general_price[[#This Row],[Battery (Charging) -  MW]]+general_price[[#This Row],[Battery (Discharging) -  MW]]</f>
        <v>170.7</v>
      </c>
      <c r="AB303" s="48">
        <f>general_price[[#This Row],[Pumps -  MW]]+general_price[[#This Row],[Hydro -  MW]]</f>
        <v>876.02</v>
      </c>
    </row>
    <row r="304" spans="1:28">
      <c r="A304" s="13">
        <v>45855.8125</v>
      </c>
      <c r="B304" s="14">
        <v>-5.38</v>
      </c>
      <c r="C304" s="15">
        <v>0</v>
      </c>
      <c r="D304" s="15">
        <v>-87.06</v>
      </c>
      <c r="E304" s="15">
        <v>1351.63</v>
      </c>
      <c r="F304" s="15">
        <v>8129.35</v>
      </c>
      <c r="G304" s="15">
        <v>-0.18</v>
      </c>
      <c r="H304" s="15">
        <v>450.83</v>
      </c>
      <c r="I304" s="15">
        <v>703.35</v>
      </c>
      <c r="J304" s="15">
        <v>50.57</v>
      </c>
      <c r="K304" s="15">
        <v>876.66</v>
      </c>
      <c r="L304" s="15">
        <v>395.45</v>
      </c>
      <c r="M304" s="15">
        <v>0.05</v>
      </c>
      <c r="N304" s="15">
        <v>0</v>
      </c>
      <c r="O304" s="15">
        <v>11.9</v>
      </c>
      <c r="P304" s="15">
        <v>32.35</v>
      </c>
      <c r="Q304" s="15">
        <v>447.23</v>
      </c>
      <c r="R304" s="15">
        <v>3667.86</v>
      </c>
      <c r="S304" s="15">
        <v>0.47</v>
      </c>
      <c r="T304" s="15">
        <v>83.81</v>
      </c>
      <c r="U304" s="15">
        <v>199.15</v>
      </c>
      <c r="V304" s="15">
        <v>666.03</v>
      </c>
      <c r="W304" s="16">
        <v>239.65</v>
      </c>
      <c r="X304" s="31">
        <f>MOD(general_price[[#This Row],[date]], 1)</f>
        <v>0.8125</v>
      </c>
      <c r="Y304" s="25" t="str">
        <f t="shared" si="4"/>
        <v/>
      </c>
      <c r="Z304" s="22">
        <v>0</v>
      </c>
      <c r="AA304" s="48">
        <f>general_price[[#This Row],[Battery (Charging) -  MW]]+general_price[[#This Row],[Battery (Discharging) -  MW]]</f>
        <v>45.19</v>
      </c>
      <c r="AB304" s="48">
        <f>general_price[[#This Row],[Pumps -  MW]]+general_price[[#This Row],[Hydro -  MW]]</f>
        <v>876.66</v>
      </c>
    </row>
    <row r="305" spans="1:28">
      <c r="A305" s="13">
        <v>45855.833333333336</v>
      </c>
      <c r="B305" s="14">
        <v>-13.84</v>
      </c>
      <c r="C305" s="15">
        <v>0</v>
      </c>
      <c r="D305" s="15">
        <v>-155.18</v>
      </c>
      <c r="E305" s="15">
        <v>1331.13</v>
      </c>
      <c r="F305" s="15">
        <v>8134.41</v>
      </c>
      <c r="G305" s="15">
        <v>0.51</v>
      </c>
      <c r="H305" s="15">
        <v>451.5</v>
      </c>
      <c r="I305" s="15">
        <v>703.88</v>
      </c>
      <c r="J305" s="15">
        <v>59.39</v>
      </c>
      <c r="K305" s="15">
        <v>866.48</v>
      </c>
      <c r="L305" s="15">
        <v>441.89</v>
      </c>
      <c r="M305" s="15">
        <v>0.05</v>
      </c>
      <c r="N305" s="15">
        <v>0</v>
      </c>
      <c r="O305" s="15">
        <v>11.47</v>
      </c>
      <c r="P305" s="15">
        <v>57.42</v>
      </c>
      <c r="Q305" s="15">
        <v>443.66</v>
      </c>
      <c r="R305" s="15">
        <v>3670.05</v>
      </c>
      <c r="S305" s="15">
        <v>0.47</v>
      </c>
      <c r="T305" s="15">
        <v>83.93</v>
      </c>
      <c r="U305" s="15">
        <v>199.31</v>
      </c>
      <c r="V305" s="15">
        <v>668.98</v>
      </c>
      <c r="W305" s="16">
        <v>154.57</v>
      </c>
      <c r="X305" s="31">
        <f>MOD(general_price[[#This Row],[date]], 1)</f>
        <v>0.83333333333575865</v>
      </c>
      <c r="Y305" s="25" t="str">
        <f t="shared" si="4"/>
        <v/>
      </c>
      <c r="Z305" s="22">
        <v>0</v>
      </c>
      <c r="AA305" s="48">
        <f>general_price[[#This Row],[Battery (Charging) -  MW]]+general_price[[#This Row],[Battery (Discharging) -  MW]]</f>
        <v>45.55</v>
      </c>
      <c r="AB305" s="48">
        <f>general_price[[#This Row],[Pumps -  MW]]+general_price[[#This Row],[Hydro -  MW]]</f>
        <v>866.48</v>
      </c>
    </row>
    <row r="306" spans="1:28">
      <c r="A306" s="13">
        <v>45855.854166666664</v>
      </c>
      <c r="B306" s="14">
        <v>-3.69</v>
      </c>
      <c r="C306" s="15">
        <v>0</v>
      </c>
      <c r="D306" s="15">
        <v>-230.05</v>
      </c>
      <c r="E306" s="15">
        <v>1338.94</v>
      </c>
      <c r="F306" s="15">
        <v>8147.78</v>
      </c>
      <c r="G306" s="15">
        <v>0.03</v>
      </c>
      <c r="H306" s="15">
        <v>451.5</v>
      </c>
      <c r="I306" s="15">
        <v>704.96</v>
      </c>
      <c r="J306" s="15">
        <v>21.79</v>
      </c>
      <c r="K306" s="15">
        <v>837.13</v>
      </c>
      <c r="L306" s="15">
        <v>426.13</v>
      </c>
      <c r="M306" s="15">
        <v>0.05</v>
      </c>
      <c r="N306" s="15">
        <v>0</v>
      </c>
      <c r="O306" s="15">
        <v>11.44</v>
      </c>
      <c r="P306" s="15">
        <v>85.82</v>
      </c>
      <c r="Q306" s="15">
        <v>450.77</v>
      </c>
      <c r="R306" s="15">
        <v>3676.3</v>
      </c>
      <c r="S306" s="15">
        <v>0.47</v>
      </c>
      <c r="T306" s="15">
        <v>83.93</v>
      </c>
      <c r="U306" s="15">
        <v>199.62</v>
      </c>
      <c r="V306" s="15">
        <v>677.29</v>
      </c>
      <c r="W306" s="16">
        <v>163.07</v>
      </c>
      <c r="X306" s="31">
        <f>MOD(general_price[[#This Row],[date]], 1)</f>
        <v>0.85416666666424135</v>
      </c>
      <c r="Y306" s="25" t="str">
        <f t="shared" si="4"/>
        <v/>
      </c>
      <c r="Z306" s="22">
        <v>0</v>
      </c>
      <c r="AA306" s="48">
        <f>general_price[[#This Row],[Battery (Charging) -  MW]]+general_price[[#This Row],[Battery (Discharging) -  MW]]</f>
        <v>18.099999999999998</v>
      </c>
      <c r="AB306" s="48">
        <f>general_price[[#This Row],[Pumps -  MW]]+general_price[[#This Row],[Hydro -  MW]]</f>
        <v>837.13</v>
      </c>
    </row>
    <row r="307" spans="1:28">
      <c r="A307" s="13">
        <v>45855.875</v>
      </c>
      <c r="B307" s="14">
        <v>-10.78</v>
      </c>
      <c r="C307" s="15">
        <v>0</v>
      </c>
      <c r="D307" s="15">
        <v>-180.76</v>
      </c>
      <c r="E307" s="15">
        <v>1324.47</v>
      </c>
      <c r="F307" s="15">
        <v>8145.84</v>
      </c>
      <c r="G307" s="15">
        <v>-0.2</v>
      </c>
      <c r="H307" s="15">
        <v>450.17</v>
      </c>
      <c r="I307" s="15">
        <v>621.1</v>
      </c>
      <c r="J307" s="15">
        <v>44.87</v>
      </c>
      <c r="K307" s="15">
        <v>621.15</v>
      </c>
      <c r="L307" s="15">
        <v>441.88</v>
      </c>
      <c r="M307" s="15">
        <v>0.05</v>
      </c>
      <c r="N307" s="15">
        <v>0</v>
      </c>
      <c r="O307" s="15">
        <v>11.79</v>
      </c>
      <c r="P307" s="15">
        <v>68.62</v>
      </c>
      <c r="Q307" s="15">
        <v>450.24</v>
      </c>
      <c r="R307" s="15">
        <v>3675.39</v>
      </c>
      <c r="S307" s="15">
        <v>0.47</v>
      </c>
      <c r="T307" s="15">
        <v>83.69</v>
      </c>
      <c r="U307" s="15">
        <v>175.98</v>
      </c>
      <c r="V307" s="15">
        <v>686.96</v>
      </c>
      <c r="W307" s="16">
        <v>234.56</v>
      </c>
      <c r="X307" s="31">
        <f>MOD(general_price[[#This Row],[date]], 1)</f>
        <v>0.875</v>
      </c>
      <c r="Y307" s="25" t="str">
        <f t="shared" si="4"/>
        <v/>
      </c>
      <c r="Z307" s="22">
        <v>0</v>
      </c>
      <c r="AA307" s="48">
        <f>general_price[[#This Row],[Battery (Charging) -  MW]]+general_price[[#This Row],[Battery (Discharging) -  MW]]</f>
        <v>34.089999999999996</v>
      </c>
      <c r="AB307" s="48">
        <f>general_price[[#This Row],[Pumps -  MW]]+general_price[[#This Row],[Hydro -  MW]]</f>
        <v>621.15</v>
      </c>
    </row>
    <row r="308" spans="1:28">
      <c r="A308" s="13">
        <v>45855.895833333336</v>
      </c>
      <c r="B308" s="14">
        <v>-14.03</v>
      </c>
      <c r="C308" s="15">
        <v>0</v>
      </c>
      <c r="D308" s="15">
        <v>-202.07</v>
      </c>
      <c r="E308" s="15">
        <v>1249.76</v>
      </c>
      <c r="F308" s="15">
        <v>8129.83</v>
      </c>
      <c r="G308" s="15">
        <v>0.27</v>
      </c>
      <c r="H308" s="15">
        <v>450.67</v>
      </c>
      <c r="I308" s="15">
        <v>350.09</v>
      </c>
      <c r="J308" s="15">
        <v>18.8</v>
      </c>
      <c r="K308" s="15">
        <v>560</v>
      </c>
      <c r="L308" s="15">
        <v>434.36</v>
      </c>
      <c r="M308" s="15">
        <v>0.05</v>
      </c>
      <c r="N308" s="15">
        <v>0</v>
      </c>
      <c r="O308" s="15">
        <v>11.62</v>
      </c>
      <c r="P308" s="15">
        <v>78.209999999999994</v>
      </c>
      <c r="Q308" s="15">
        <v>430.44</v>
      </c>
      <c r="R308" s="15">
        <v>3667.04</v>
      </c>
      <c r="S308" s="15">
        <v>0.47</v>
      </c>
      <c r="T308" s="15">
        <v>83.78</v>
      </c>
      <c r="U308" s="15">
        <v>99.55</v>
      </c>
      <c r="V308" s="15">
        <v>701.57</v>
      </c>
      <c r="W308" s="16">
        <v>134.12</v>
      </c>
      <c r="X308" s="31">
        <f>MOD(general_price[[#This Row],[date]], 1)</f>
        <v>0.89583333333575865</v>
      </c>
      <c r="Y308" s="25" t="str">
        <f t="shared" si="4"/>
        <v/>
      </c>
      <c r="Z308" s="22">
        <v>0</v>
      </c>
      <c r="AA308" s="48">
        <f>general_price[[#This Row],[Battery (Charging) -  MW]]+general_price[[#This Row],[Battery (Discharging) -  MW]]</f>
        <v>4.7700000000000014</v>
      </c>
      <c r="AB308" s="48">
        <f>general_price[[#This Row],[Pumps -  MW]]+general_price[[#This Row],[Hydro -  MW]]</f>
        <v>560</v>
      </c>
    </row>
    <row r="309" spans="1:28">
      <c r="A309" s="13">
        <v>45855.916666666664</v>
      </c>
      <c r="B309" s="14">
        <v>-13.46</v>
      </c>
      <c r="C309" s="15">
        <v>0</v>
      </c>
      <c r="D309" s="15">
        <v>-191.8</v>
      </c>
      <c r="E309" s="15">
        <v>1112.75</v>
      </c>
      <c r="F309" s="15">
        <v>8061.09</v>
      </c>
      <c r="G309" s="15">
        <v>-2.5499999999999998</v>
      </c>
      <c r="H309" s="15">
        <v>449.83</v>
      </c>
      <c r="I309" s="15">
        <v>195.03</v>
      </c>
      <c r="J309" s="15">
        <v>5.35</v>
      </c>
      <c r="K309" s="15">
        <v>238.7</v>
      </c>
      <c r="L309" s="15">
        <v>457.35</v>
      </c>
      <c r="M309" s="15">
        <v>0.05</v>
      </c>
      <c r="N309" s="15">
        <v>0</v>
      </c>
      <c r="O309" s="15">
        <v>11.19</v>
      </c>
      <c r="P309" s="15">
        <v>76.540000000000006</v>
      </c>
      <c r="Q309" s="15">
        <v>387.71</v>
      </c>
      <c r="R309" s="15">
        <v>3633.08</v>
      </c>
      <c r="S309" s="15">
        <v>0.45</v>
      </c>
      <c r="T309" s="15">
        <v>83.62</v>
      </c>
      <c r="U309" s="15">
        <v>55.83</v>
      </c>
      <c r="V309" s="15">
        <v>731.74</v>
      </c>
      <c r="W309" s="16">
        <v>134.53</v>
      </c>
      <c r="X309" s="31">
        <f>MOD(general_price[[#This Row],[date]], 1)</f>
        <v>0.91666666666424135</v>
      </c>
      <c r="Y309" s="25" t="str">
        <f t="shared" si="4"/>
        <v/>
      </c>
      <c r="Z309" s="22">
        <v>0</v>
      </c>
      <c r="AA309" s="48">
        <f>general_price[[#This Row],[Battery (Charging) -  MW]]+general_price[[#This Row],[Battery (Discharging) -  MW]]</f>
        <v>-8.1100000000000012</v>
      </c>
      <c r="AB309" s="48">
        <f>general_price[[#This Row],[Pumps -  MW]]+general_price[[#This Row],[Hydro -  MW]]</f>
        <v>238.7</v>
      </c>
    </row>
    <row r="310" spans="1:28">
      <c r="A310" s="13">
        <v>45855.9375</v>
      </c>
      <c r="B310" s="14">
        <v>-12.4</v>
      </c>
      <c r="C310" s="15">
        <v>0</v>
      </c>
      <c r="D310" s="15">
        <v>-108.46</v>
      </c>
      <c r="E310" s="15">
        <v>1004.62</v>
      </c>
      <c r="F310" s="15">
        <v>8073.74</v>
      </c>
      <c r="G310" s="15">
        <v>-2.5099999999999998</v>
      </c>
      <c r="H310" s="15">
        <v>453.17</v>
      </c>
      <c r="I310" s="15">
        <v>52.8</v>
      </c>
      <c r="J310" s="15">
        <v>3.78</v>
      </c>
      <c r="K310" s="15">
        <v>25.97</v>
      </c>
      <c r="L310" s="15">
        <v>522.1</v>
      </c>
      <c r="M310" s="15">
        <v>0.05</v>
      </c>
      <c r="N310" s="15">
        <v>0</v>
      </c>
      <c r="O310" s="15">
        <v>10.42</v>
      </c>
      <c r="P310" s="15">
        <v>44.3</v>
      </c>
      <c r="Q310" s="15">
        <v>355.6</v>
      </c>
      <c r="R310" s="15">
        <v>3638.95</v>
      </c>
      <c r="S310" s="15">
        <v>0.45</v>
      </c>
      <c r="T310" s="15">
        <v>84.24</v>
      </c>
      <c r="U310" s="15">
        <v>15.71</v>
      </c>
      <c r="V310" s="15">
        <v>746.91</v>
      </c>
      <c r="W310" s="16">
        <v>171.65</v>
      </c>
      <c r="X310" s="31">
        <f>MOD(general_price[[#This Row],[date]], 1)</f>
        <v>0.9375</v>
      </c>
      <c r="Y310" s="25" t="str">
        <f t="shared" si="4"/>
        <v/>
      </c>
      <c r="Z310" s="22">
        <v>0</v>
      </c>
      <c r="AA310" s="48">
        <f>general_price[[#This Row],[Battery (Charging) -  MW]]+general_price[[#This Row],[Battery (Discharging) -  MW]]</f>
        <v>-8.620000000000001</v>
      </c>
      <c r="AB310" s="48">
        <f>general_price[[#This Row],[Pumps -  MW]]+general_price[[#This Row],[Hydro -  MW]]</f>
        <v>25.97</v>
      </c>
    </row>
    <row r="311" spans="1:28">
      <c r="A311" s="13">
        <v>45855.958333333336</v>
      </c>
      <c r="B311" s="14">
        <v>-11.46</v>
      </c>
      <c r="C311" s="15">
        <v>0</v>
      </c>
      <c r="D311" s="15">
        <v>-184.95</v>
      </c>
      <c r="E311" s="15">
        <v>934.67</v>
      </c>
      <c r="F311" s="15">
        <v>8119.62</v>
      </c>
      <c r="G311" s="15">
        <v>-0.33</v>
      </c>
      <c r="H311" s="15">
        <v>444.17</v>
      </c>
      <c r="I311" s="15">
        <v>42.55</v>
      </c>
      <c r="J311" s="15">
        <v>0.21</v>
      </c>
      <c r="K311" s="15">
        <v>0</v>
      </c>
      <c r="L311" s="15">
        <v>506.45</v>
      </c>
      <c r="M311" s="15">
        <v>0.05</v>
      </c>
      <c r="N311" s="15">
        <v>0</v>
      </c>
      <c r="O311" s="15">
        <v>9.98</v>
      </c>
      <c r="P311" s="15">
        <v>76.069999999999993</v>
      </c>
      <c r="Q311" s="15">
        <v>339.03</v>
      </c>
      <c r="R311" s="15">
        <v>3661.95</v>
      </c>
      <c r="S311" s="15">
        <v>0.44</v>
      </c>
      <c r="T311" s="15">
        <v>82.57</v>
      </c>
      <c r="U311" s="15">
        <v>12.81</v>
      </c>
      <c r="V311" s="15">
        <v>762.92</v>
      </c>
      <c r="W311" s="16">
        <v>140.94</v>
      </c>
      <c r="X311" s="31">
        <f>MOD(general_price[[#This Row],[date]], 1)</f>
        <v>0.95833333333575865</v>
      </c>
      <c r="Y311" s="25" t="str">
        <f t="shared" si="4"/>
        <v/>
      </c>
      <c r="Z311" s="22">
        <v>0</v>
      </c>
      <c r="AA311" s="48">
        <f>general_price[[#This Row],[Battery (Charging) -  MW]]+general_price[[#This Row],[Battery (Discharging) -  MW]]</f>
        <v>-11.25</v>
      </c>
      <c r="AB311" s="48">
        <f>general_price[[#This Row],[Pumps -  MW]]+general_price[[#This Row],[Hydro -  MW]]</f>
        <v>0</v>
      </c>
    </row>
    <row r="312" spans="1:28">
      <c r="A312" s="13">
        <v>45855.979166666664</v>
      </c>
      <c r="B312" s="14">
        <v>-10.81</v>
      </c>
      <c r="C312" s="15">
        <v>0</v>
      </c>
      <c r="D312" s="15">
        <v>-188.5</v>
      </c>
      <c r="E312" s="15">
        <v>903.45</v>
      </c>
      <c r="F312" s="15">
        <v>8122.02</v>
      </c>
      <c r="G312" s="15">
        <v>-0.5</v>
      </c>
      <c r="H312" s="15">
        <v>305.17</v>
      </c>
      <c r="I312" s="15">
        <v>42.53</v>
      </c>
      <c r="J312" s="15">
        <v>0.72</v>
      </c>
      <c r="K312" s="15">
        <v>0</v>
      </c>
      <c r="L312" s="15">
        <v>421.67</v>
      </c>
      <c r="M312" s="15">
        <v>0.05</v>
      </c>
      <c r="N312" s="15">
        <v>0</v>
      </c>
      <c r="O312" s="15">
        <v>10.050000000000001</v>
      </c>
      <c r="P312" s="15">
        <v>78.91</v>
      </c>
      <c r="Q312" s="15">
        <v>328.94</v>
      </c>
      <c r="R312" s="15">
        <v>3663.22</v>
      </c>
      <c r="S312" s="15">
        <v>0.45</v>
      </c>
      <c r="T312" s="15">
        <v>56.73</v>
      </c>
      <c r="U312" s="15">
        <v>12.8</v>
      </c>
      <c r="V312" s="15">
        <v>778.09</v>
      </c>
      <c r="W312" s="16">
        <v>109.92</v>
      </c>
      <c r="X312" s="31">
        <f>MOD(general_price[[#This Row],[date]], 1)</f>
        <v>0.97916666666424135</v>
      </c>
      <c r="Y312" s="25" t="str">
        <f t="shared" si="4"/>
        <v/>
      </c>
      <c r="Z312" s="22">
        <v>0</v>
      </c>
      <c r="AA312" s="48">
        <f>general_price[[#This Row],[Battery (Charging) -  MW]]+general_price[[#This Row],[Battery (Discharging) -  MW]]</f>
        <v>-10.09</v>
      </c>
      <c r="AB312" s="48">
        <f>general_price[[#This Row],[Pumps -  MW]]+general_price[[#This Row],[Hydro -  MW]]</f>
        <v>0</v>
      </c>
    </row>
    <row r="313" spans="1:28">
      <c r="A313" s="13">
        <v>45856</v>
      </c>
      <c r="B313" s="14">
        <v>-12.24</v>
      </c>
      <c r="C313" s="15">
        <v>0</v>
      </c>
      <c r="D313" s="15">
        <v>-218.38</v>
      </c>
      <c r="E313" s="15">
        <v>956.18</v>
      </c>
      <c r="F313" s="15">
        <v>8067.67</v>
      </c>
      <c r="G313" s="15">
        <v>-0.74</v>
      </c>
      <c r="H313" s="15">
        <v>194.33</v>
      </c>
      <c r="I313" s="15">
        <v>42.68</v>
      </c>
      <c r="J313" s="15">
        <v>0.13</v>
      </c>
      <c r="K313" s="15">
        <v>0</v>
      </c>
      <c r="L313" s="15">
        <v>261.79000000000002</v>
      </c>
      <c r="M313" s="15">
        <v>0.05</v>
      </c>
      <c r="N313" s="15">
        <v>0</v>
      </c>
      <c r="O313" s="15">
        <v>9.8800000000000008</v>
      </c>
      <c r="P313" s="15">
        <v>93.78</v>
      </c>
      <c r="Q313" s="15">
        <v>345.93</v>
      </c>
      <c r="R313" s="15">
        <v>3639.42</v>
      </c>
      <c r="S313" s="15">
        <v>0.44</v>
      </c>
      <c r="T313" s="15">
        <v>36.130000000000003</v>
      </c>
      <c r="U313" s="15">
        <v>12.85</v>
      </c>
      <c r="V313" s="15">
        <v>794.03</v>
      </c>
      <c r="W313" s="16">
        <v>127.6</v>
      </c>
      <c r="X313" s="31">
        <f>MOD(general_price[[#This Row],[date]], 1)</f>
        <v>0</v>
      </c>
      <c r="Y313" s="25" t="str">
        <f t="shared" si="4"/>
        <v>18 Jul</v>
      </c>
      <c r="Z313" s="22">
        <v>0</v>
      </c>
      <c r="AA313" s="48">
        <f>general_price[[#This Row],[Battery (Charging) -  MW]]+general_price[[#This Row],[Battery (Discharging) -  MW]]</f>
        <v>-12.11</v>
      </c>
      <c r="AB313" s="48">
        <f>general_price[[#This Row],[Pumps -  MW]]+general_price[[#This Row],[Hydro -  MW]]</f>
        <v>0</v>
      </c>
    </row>
    <row r="314" spans="1:28">
      <c r="A314" s="13">
        <v>45856.020833333336</v>
      </c>
      <c r="B314" s="14">
        <v>-20.67</v>
      </c>
      <c r="C314" s="15">
        <v>0</v>
      </c>
      <c r="D314" s="15">
        <v>-189.4</v>
      </c>
      <c r="E314" s="15">
        <v>731.18</v>
      </c>
      <c r="F314" s="15">
        <v>7973.44</v>
      </c>
      <c r="G314" s="15">
        <v>-2.65</v>
      </c>
      <c r="H314" s="15">
        <v>190</v>
      </c>
      <c r="I314" s="15">
        <v>42.71</v>
      </c>
      <c r="J314" s="15">
        <v>0.28999999999999998</v>
      </c>
      <c r="K314" s="15">
        <v>0</v>
      </c>
      <c r="L314" s="15">
        <v>298.75</v>
      </c>
      <c r="M314" s="15">
        <v>0.05</v>
      </c>
      <c r="N314" s="15">
        <v>0</v>
      </c>
      <c r="O314" s="15">
        <v>9.32</v>
      </c>
      <c r="P314" s="15">
        <v>81.010000000000005</v>
      </c>
      <c r="Q314" s="15">
        <v>262.89</v>
      </c>
      <c r="R314" s="15">
        <v>3598.52</v>
      </c>
      <c r="S314" s="15">
        <v>0.41</v>
      </c>
      <c r="T314" s="15">
        <v>35.32</v>
      </c>
      <c r="U314" s="15">
        <v>12.86</v>
      </c>
      <c r="V314" s="15">
        <v>808.34</v>
      </c>
      <c r="W314" s="16">
        <v>98.1</v>
      </c>
      <c r="X314" s="31">
        <f>MOD(general_price[[#This Row],[date]], 1)</f>
        <v>2.0833333335758653E-2</v>
      </c>
      <c r="Y314" s="25" t="str">
        <f t="shared" si="4"/>
        <v/>
      </c>
      <c r="Z314" s="22">
        <v>0</v>
      </c>
      <c r="AA314" s="48">
        <f>general_price[[#This Row],[Battery (Charging) -  MW]]+general_price[[#This Row],[Battery (Discharging) -  MW]]</f>
        <v>-20.380000000000003</v>
      </c>
      <c r="AB314" s="48">
        <f>general_price[[#This Row],[Pumps -  MW]]+general_price[[#This Row],[Hydro -  MW]]</f>
        <v>0</v>
      </c>
    </row>
    <row r="315" spans="1:28">
      <c r="A315" s="13">
        <v>45856.041666666664</v>
      </c>
      <c r="B315" s="14">
        <v>-59.56</v>
      </c>
      <c r="C315" s="15">
        <v>0</v>
      </c>
      <c r="D315" s="15">
        <v>-143.83000000000001</v>
      </c>
      <c r="E315" s="15">
        <v>570.51</v>
      </c>
      <c r="F315" s="15">
        <v>7814.07</v>
      </c>
      <c r="G315" s="15">
        <v>-1.69</v>
      </c>
      <c r="H315" s="15">
        <v>189.83</v>
      </c>
      <c r="I315" s="15">
        <v>42.84</v>
      </c>
      <c r="J315" s="15">
        <v>0.1</v>
      </c>
      <c r="K315" s="15">
        <v>0</v>
      </c>
      <c r="L315" s="15">
        <v>353.75</v>
      </c>
      <c r="M315" s="15">
        <v>0.05</v>
      </c>
      <c r="N315" s="15">
        <v>0</v>
      </c>
      <c r="O315" s="15">
        <v>9.18</v>
      </c>
      <c r="P315" s="15">
        <v>61.06</v>
      </c>
      <c r="Q315" s="15">
        <v>208.47</v>
      </c>
      <c r="R315" s="15">
        <v>3528.49</v>
      </c>
      <c r="S315" s="15">
        <v>0.43</v>
      </c>
      <c r="T315" s="15">
        <v>35.29</v>
      </c>
      <c r="U315" s="15">
        <v>12.9</v>
      </c>
      <c r="V315" s="15">
        <v>816.13</v>
      </c>
      <c r="W315" s="16">
        <v>96.55</v>
      </c>
      <c r="X315" s="31">
        <f>MOD(general_price[[#This Row],[date]], 1)</f>
        <v>4.1666666664241347E-2</v>
      </c>
      <c r="Y315" s="25" t="str">
        <f t="shared" si="4"/>
        <v/>
      </c>
      <c r="Z315" s="22">
        <v>0</v>
      </c>
      <c r="AA315" s="48">
        <f>general_price[[#This Row],[Battery (Charging) -  MW]]+general_price[[#This Row],[Battery (Discharging) -  MW]]</f>
        <v>-59.46</v>
      </c>
      <c r="AB315" s="48">
        <f>general_price[[#This Row],[Pumps -  MW]]+general_price[[#This Row],[Hydro -  MW]]</f>
        <v>0</v>
      </c>
    </row>
    <row r="316" spans="1:28">
      <c r="A316" s="13">
        <v>45856.0625</v>
      </c>
      <c r="B316" s="14">
        <v>-16.57</v>
      </c>
      <c r="C316" s="15">
        <v>-67.48</v>
      </c>
      <c r="D316" s="15">
        <v>-174.89</v>
      </c>
      <c r="E316" s="15">
        <v>567.84</v>
      </c>
      <c r="F316" s="15">
        <v>7627.58</v>
      </c>
      <c r="G316" s="15">
        <v>-1.04</v>
      </c>
      <c r="H316" s="15">
        <v>189.67</v>
      </c>
      <c r="I316" s="15">
        <v>42.78</v>
      </c>
      <c r="J316" s="15">
        <v>0.06</v>
      </c>
      <c r="K316" s="15">
        <v>0</v>
      </c>
      <c r="L316" s="15">
        <v>376.66</v>
      </c>
      <c r="M316" s="15">
        <v>0.05</v>
      </c>
      <c r="N316" s="15">
        <v>0</v>
      </c>
      <c r="O316" s="15">
        <v>9.0299999999999994</v>
      </c>
      <c r="P316" s="15">
        <v>73.39</v>
      </c>
      <c r="Q316" s="15">
        <v>211.86</v>
      </c>
      <c r="R316" s="15">
        <v>3446.4</v>
      </c>
      <c r="S316" s="15">
        <v>0.44</v>
      </c>
      <c r="T316" s="15">
        <v>35.26</v>
      </c>
      <c r="U316" s="15">
        <v>12.88</v>
      </c>
      <c r="V316" s="15">
        <v>818.05</v>
      </c>
      <c r="W316" s="16">
        <v>90.63</v>
      </c>
      <c r="X316" s="31">
        <f>MOD(general_price[[#This Row],[date]], 1)</f>
        <v>6.25E-2</v>
      </c>
      <c r="Y316" s="25" t="str">
        <f t="shared" si="4"/>
        <v/>
      </c>
      <c r="Z316" s="22">
        <v>0</v>
      </c>
      <c r="AA316" s="48">
        <f>general_price[[#This Row],[Battery (Charging) -  MW]]+general_price[[#This Row],[Battery (Discharging) -  MW]]</f>
        <v>-16.510000000000002</v>
      </c>
      <c r="AB316" s="48">
        <f>general_price[[#This Row],[Pumps -  MW]]+general_price[[#This Row],[Hydro -  MW]]</f>
        <v>-67.48</v>
      </c>
    </row>
    <row r="317" spans="1:28">
      <c r="A317" s="13">
        <v>45856.083333333336</v>
      </c>
      <c r="B317" s="14">
        <v>-16.52</v>
      </c>
      <c r="C317" s="15">
        <v>-80.81</v>
      </c>
      <c r="D317" s="15">
        <v>-165.42</v>
      </c>
      <c r="E317" s="15">
        <v>523.20000000000005</v>
      </c>
      <c r="F317" s="15">
        <v>7425.33</v>
      </c>
      <c r="G317" s="15">
        <v>-1.43</v>
      </c>
      <c r="H317" s="15">
        <v>190</v>
      </c>
      <c r="I317" s="15">
        <v>42.9</v>
      </c>
      <c r="J317" s="15">
        <v>0.16</v>
      </c>
      <c r="K317" s="15">
        <v>0</v>
      </c>
      <c r="L317" s="15">
        <v>465.77</v>
      </c>
      <c r="M317" s="15">
        <v>0.05</v>
      </c>
      <c r="N317" s="15">
        <v>0</v>
      </c>
      <c r="O317" s="15">
        <v>9</v>
      </c>
      <c r="P317" s="15">
        <v>68.44</v>
      </c>
      <c r="Q317" s="15">
        <v>200.39</v>
      </c>
      <c r="R317" s="15">
        <v>3355.9</v>
      </c>
      <c r="S317" s="15">
        <v>0.45</v>
      </c>
      <c r="T317" s="15">
        <v>35.32</v>
      </c>
      <c r="U317" s="15">
        <v>12.92</v>
      </c>
      <c r="V317" s="15">
        <v>812.24</v>
      </c>
      <c r="W317" s="16">
        <v>84.85</v>
      </c>
      <c r="X317" s="31">
        <f>MOD(general_price[[#This Row],[date]], 1)</f>
        <v>8.3333333335758653E-2</v>
      </c>
      <c r="Y317" s="25" t="str">
        <f t="shared" si="4"/>
        <v/>
      </c>
      <c r="Z317" s="22">
        <v>0</v>
      </c>
      <c r="AA317" s="48">
        <f>general_price[[#This Row],[Battery (Charging) -  MW]]+general_price[[#This Row],[Battery (Discharging) -  MW]]</f>
        <v>-16.36</v>
      </c>
      <c r="AB317" s="48">
        <f>general_price[[#This Row],[Pumps -  MW]]+general_price[[#This Row],[Hydro -  MW]]</f>
        <v>-80.81</v>
      </c>
    </row>
    <row r="318" spans="1:28">
      <c r="A318" s="13">
        <v>45856.104166666664</v>
      </c>
      <c r="B318" s="14">
        <v>-50.46</v>
      </c>
      <c r="C318" s="15">
        <v>-80.709999999999994</v>
      </c>
      <c r="D318" s="15">
        <v>-156.04</v>
      </c>
      <c r="E318" s="15">
        <v>459.56</v>
      </c>
      <c r="F318" s="15">
        <v>7290</v>
      </c>
      <c r="G318" s="15">
        <v>-2.1800000000000002</v>
      </c>
      <c r="H318" s="15">
        <v>190.17</v>
      </c>
      <c r="I318" s="15">
        <v>43.32</v>
      </c>
      <c r="J318" s="15">
        <v>0.13</v>
      </c>
      <c r="K318" s="15">
        <v>0</v>
      </c>
      <c r="L318" s="15">
        <v>453.06</v>
      </c>
      <c r="M318" s="15">
        <v>0.05</v>
      </c>
      <c r="N318" s="15">
        <v>0</v>
      </c>
      <c r="O318" s="15">
        <v>8.99</v>
      </c>
      <c r="P318" s="15">
        <v>64.489999999999995</v>
      </c>
      <c r="Q318" s="15">
        <v>178.55</v>
      </c>
      <c r="R318" s="15">
        <v>3291.3</v>
      </c>
      <c r="S318" s="15">
        <v>0.43</v>
      </c>
      <c r="T318" s="15">
        <v>35.35</v>
      </c>
      <c r="U318" s="15">
        <v>13.04</v>
      </c>
      <c r="V318" s="15">
        <v>819.98</v>
      </c>
      <c r="W318" s="16">
        <v>90.36</v>
      </c>
      <c r="X318" s="31">
        <f>MOD(general_price[[#This Row],[date]], 1)</f>
        <v>0.10416666666424135</v>
      </c>
      <c r="Y318" s="25" t="str">
        <f t="shared" si="4"/>
        <v/>
      </c>
      <c r="Z318" s="22">
        <v>0</v>
      </c>
      <c r="AA318" s="48">
        <f>general_price[[#This Row],[Battery (Charging) -  MW]]+general_price[[#This Row],[Battery (Discharging) -  MW]]</f>
        <v>-50.33</v>
      </c>
      <c r="AB318" s="48">
        <f>general_price[[#This Row],[Pumps -  MW]]+general_price[[#This Row],[Hydro -  MW]]</f>
        <v>-80.709999999999994</v>
      </c>
    </row>
    <row r="319" spans="1:28">
      <c r="A319" s="13">
        <v>45856.125</v>
      </c>
      <c r="B319" s="14">
        <v>-70.569999999999993</v>
      </c>
      <c r="C319" s="15">
        <v>-80.61</v>
      </c>
      <c r="D319" s="15">
        <v>-128.77000000000001</v>
      </c>
      <c r="E319" s="15">
        <v>457.41</v>
      </c>
      <c r="F319" s="15">
        <v>7203.53</v>
      </c>
      <c r="G319" s="15">
        <v>-2.29</v>
      </c>
      <c r="H319" s="15">
        <v>189.83</v>
      </c>
      <c r="I319" s="15">
        <v>43</v>
      </c>
      <c r="J319" s="15">
        <v>0.42</v>
      </c>
      <c r="K319" s="15">
        <v>0</v>
      </c>
      <c r="L319" s="15">
        <v>404.65</v>
      </c>
      <c r="M319" s="15">
        <v>0.05</v>
      </c>
      <c r="N319" s="15">
        <v>0</v>
      </c>
      <c r="O319" s="15">
        <v>8.91</v>
      </c>
      <c r="P319" s="15">
        <v>53.45</v>
      </c>
      <c r="Q319" s="15">
        <v>178.63</v>
      </c>
      <c r="R319" s="15">
        <v>3250.63</v>
      </c>
      <c r="S319" s="15">
        <v>0.43</v>
      </c>
      <c r="T319" s="15">
        <v>35.29</v>
      </c>
      <c r="U319" s="15">
        <v>12.95</v>
      </c>
      <c r="V319" s="15">
        <v>823.11</v>
      </c>
      <c r="W319" s="16">
        <v>81.17</v>
      </c>
      <c r="X319" s="31">
        <f>MOD(general_price[[#This Row],[date]], 1)</f>
        <v>0.125</v>
      </c>
      <c r="Y319" s="25" t="str">
        <f t="shared" si="4"/>
        <v/>
      </c>
      <c r="Z319" s="22">
        <v>0</v>
      </c>
      <c r="AA319" s="48">
        <f>general_price[[#This Row],[Battery (Charging) -  MW]]+general_price[[#This Row],[Battery (Discharging) -  MW]]</f>
        <v>-70.149999999999991</v>
      </c>
      <c r="AB319" s="48">
        <f>general_price[[#This Row],[Pumps -  MW]]+general_price[[#This Row],[Hydro -  MW]]</f>
        <v>-80.61</v>
      </c>
    </row>
    <row r="320" spans="1:28">
      <c r="A320" s="13">
        <v>45856.145833333336</v>
      </c>
      <c r="B320" s="14">
        <v>-67.290000000000006</v>
      </c>
      <c r="C320" s="15">
        <v>-80.709999999999994</v>
      </c>
      <c r="D320" s="15">
        <v>-150.55000000000001</v>
      </c>
      <c r="E320" s="15">
        <v>461.84</v>
      </c>
      <c r="F320" s="15">
        <v>7227.16</v>
      </c>
      <c r="G320" s="15">
        <v>-2.92</v>
      </c>
      <c r="H320" s="15">
        <v>189.67</v>
      </c>
      <c r="I320" s="15">
        <v>42.73</v>
      </c>
      <c r="J320" s="15">
        <v>0.75</v>
      </c>
      <c r="K320" s="15">
        <v>0</v>
      </c>
      <c r="L320" s="15">
        <v>332.93</v>
      </c>
      <c r="M320" s="15">
        <v>0.05</v>
      </c>
      <c r="N320" s="15">
        <v>0</v>
      </c>
      <c r="O320" s="15">
        <v>8.8000000000000007</v>
      </c>
      <c r="P320" s="15">
        <v>63.09</v>
      </c>
      <c r="Q320" s="15">
        <v>183.18</v>
      </c>
      <c r="R320" s="15">
        <v>3260.44</v>
      </c>
      <c r="S320" s="15">
        <v>0.41</v>
      </c>
      <c r="T320" s="15">
        <v>35.26</v>
      </c>
      <c r="U320" s="15">
        <v>12.87</v>
      </c>
      <c r="V320" s="15">
        <v>832.06</v>
      </c>
      <c r="W320" s="16">
        <v>102.32</v>
      </c>
      <c r="X320" s="31">
        <f>MOD(general_price[[#This Row],[date]], 1)</f>
        <v>0.14583333333575865</v>
      </c>
      <c r="Y320" s="25" t="str">
        <f t="shared" si="4"/>
        <v/>
      </c>
      <c r="Z320" s="22">
        <v>0</v>
      </c>
      <c r="AA320" s="48">
        <f>general_price[[#This Row],[Battery (Charging) -  MW]]+general_price[[#This Row],[Battery (Discharging) -  MW]]</f>
        <v>-66.540000000000006</v>
      </c>
      <c r="AB320" s="48">
        <f>general_price[[#This Row],[Pumps -  MW]]+general_price[[#This Row],[Hydro -  MW]]</f>
        <v>-80.709999999999994</v>
      </c>
    </row>
    <row r="321" spans="1:28">
      <c r="A321" s="13">
        <v>45856.166666666664</v>
      </c>
      <c r="B321" s="14">
        <v>-77.040000000000006</v>
      </c>
      <c r="C321" s="15">
        <v>-80.73</v>
      </c>
      <c r="D321" s="15">
        <v>-134.76</v>
      </c>
      <c r="E321" s="15">
        <v>336.68</v>
      </c>
      <c r="F321" s="15">
        <v>7270.43</v>
      </c>
      <c r="G321" s="15">
        <v>-2.83</v>
      </c>
      <c r="H321" s="15">
        <v>190</v>
      </c>
      <c r="I321" s="15">
        <v>43.12</v>
      </c>
      <c r="J321" s="15">
        <v>0.44</v>
      </c>
      <c r="K321" s="15">
        <v>0</v>
      </c>
      <c r="L321" s="15">
        <v>337.84</v>
      </c>
      <c r="M321" s="15">
        <v>0.05</v>
      </c>
      <c r="N321" s="15">
        <v>0</v>
      </c>
      <c r="O321" s="15">
        <v>8.6300000000000008</v>
      </c>
      <c r="P321" s="15">
        <v>56.57</v>
      </c>
      <c r="Q321" s="15">
        <v>133.55000000000001</v>
      </c>
      <c r="R321" s="15">
        <v>3297.93</v>
      </c>
      <c r="S321" s="15">
        <v>0.42</v>
      </c>
      <c r="T321" s="15">
        <v>35.31</v>
      </c>
      <c r="U321" s="15">
        <v>12.98</v>
      </c>
      <c r="V321" s="15">
        <v>849.05</v>
      </c>
      <c r="W321" s="16">
        <v>85.84</v>
      </c>
      <c r="X321" s="31">
        <f>MOD(general_price[[#This Row],[date]], 1)</f>
        <v>0.16666666666424135</v>
      </c>
      <c r="Y321" s="25" t="str">
        <f t="shared" si="4"/>
        <v/>
      </c>
      <c r="Z321" s="22">
        <v>0</v>
      </c>
      <c r="AA321" s="48">
        <f>general_price[[#This Row],[Battery (Charging) -  MW]]+general_price[[#This Row],[Battery (Discharging) -  MW]]</f>
        <v>-76.600000000000009</v>
      </c>
      <c r="AB321" s="48">
        <f>general_price[[#This Row],[Pumps -  MW]]+general_price[[#This Row],[Hydro -  MW]]</f>
        <v>-80.73</v>
      </c>
    </row>
    <row r="322" spans="1:28">
      <c r="A322" s="13">
        <v>45856.1875</v>
      </c>
      <c r="B322" s="14">
        <v>-76.790000000000006</v>
      </c>
      <c r="C322" s="15">
        <v>-80.75</v>
      </c>
      <c r="D322" s="15">
        <v>-91.01</v>
      </c>
      <c r="E322" s="15">
        <v>316.18</v>
      </c>
      <c r="F322" s="15">
        <v>7289.57</v>
      </c>
      <c r="G322" s="15">
        <v>-2.35</v>
      </c>
      <c r="H322" s="15">
        <v>189.83</v>
      </c>
      <c r="I322" s="15">
        <v>43.54</v>
      </c>
      <c r="J322" s="15">
        <v>0.42</v>
      </c>
      <c r="K322" s="15">
        <v>0</v>
      </c>
      <c r="L322" s="15">
        <v>327.20999999999998</v>
      </c>
      <c r="M322" s="15">
        <v>0.05</v>
      </c>
      <c r="N322" s="15">
        <v>0</v>
      </c>
      <c r="O322" s="15">
        <v>8.58</v>
      </c>
      <c r="P322" s="15">
        <v>38.18</v>
      </c>
      <c r="Q322" s="15">
        <v>126.7</v>
      </c>
      <c r="R322" s="15">
        <v>3270.58</v>
      </c>
      <c r="S322" s="15">
        <v>0.42</v>
      </c>
      <c r="T322" s="15">
        <v>35.31</v>
      </c>
      <c r="U322" s="15">
        <v>13.07</v>
      </c>
      <c r="V322" s="15">
        <v>838.66</v>
      </c>
      <c r="W322" s="16">
        <v>100.25</v>
      </c>
      <c r="X322" s="31">
        <f>MOD(general_price[[#This Row],[date]], 1)</f>
        <v>0.1875</v>
      </c>
      <c r="Y322" s="25" t="str">
        <f t="shared" ref="Y322:Y338" si="5">IF(AND(HOUR(A322)=0,MINUTE(A322)=0),TEXT(A322,"d mmm"),"")</f>
        <v/>
      </c>
      <c r="Z322" s="22">
        <v>0</v>
      </c>
      <c r="AA322" s="48">
        <f>general_price[[#This Row],[Battery (Charging) -  MW]]+general_price[[#This Row],[Battery (Discharging) -  MW]]</f>
        <v>-76.37</v>
      </c>
      <c r="AB322" s="48">
        <f>general_price[[#This Row],[Pumps -  MW]]+general_price[[#This Row],[Hydro -  MW]]</f>
        <v>-80.75</v>
      </c>
    </row>
    <row r="323" spans="1:28">
      <c r="A323" s="13">
        <v>45856.208333333336</v>
      </c>
      <c r="B323" s="14">
        <v>-45.92</v>
      </c>
      <c r="C323" s="15">
        <v>-67.25</v>
      </c>
      <c r="D323" s="15">
        <v>-92.89</v>
      </c>
      <c r="E323" s="15">
        <v>316.49</v>
      </c>
      <c r="F323" s="15">
        <v>7449.21</v>
      </c>
      <c r="G323" s="15">
        <v>-3.22</v>
      </c>
      <c r="H323" s="15">
        <v>190.17</v>
      </c>
      <c r="I323" s="15">
        <v>43.19</v>
      </c>
      <c r="J323" s="15">
        <v>3</v>
      </c>
      <c r="K323" s="15">
        <v>0</v>
      </c>
      <c r="L323" s="15">
        <v>307.83</v>
      </c>
      <c r="M323" s="15">
        <v>0.05</v>
      </c>
      <c r="N323" s="15">
        <v>0</v>
      </c>
      <c r="O323" s="15">
        <v>8.43</v>
      </c>
      <c r="P323" s="15">
        <v>39.07</v>
      </c>
      <c r="Q323" s="15">
        <v>127.7</v>
      </c>
      <c r="R323" s="15">
        <v>3306.44</v>
      </c>
      <c r="S323" s="15">
        <v>0.42</v>
      </c>
      <c r="T323" s="15">
        <v>35.340000000000003</v>
      </c>
      <c r="U323" s="15">
        <v>13.02</v>
      </c>
      <c r="V323" s="15">
        <v>828.38</v>
      </c>
      <c r="W323" s="16">
        <v>112.24</v>
      </c>
      <c r="X323" s="31">
        <f>MOD(general_price[[#This Row],[date]], 1)</f>
        <v>0.20833333333575865</v>
      </c>
      <c r="Y323" s="25" t="str">
        <f t="shared" si="5"/>
        <v/>
      </c>
      <c r="Z323" s="22">
        <v>0</v>
      </c>
      <c r="AA323" s="48">
        <f>general_price[[#This Row],[Battery (Charging) -  MW]]+general_price[[#This Row],[Battery (Discharging) -  MW]]</f>
        <v>-42.92</v>
      </c>
      <c r="AB323" s="48">
        <f>general_price[[#This Row],[Pumps -  MW]]+general_price[[#This Row],[Hydro -  MW]]</f>
        <v>-67.25</v>
      </c>
    </row>
    <row r="324" spans="1:28">
      <c r="A324" s="13">
        <v>45856.229166666664</v>
      </c>
      <c r="B324" s="14">
        <v>-78.44</v>
      </c>
      <c r="C324" s="15">
        <v>0</v>
      </c>
      <c r="D324" s="15">
        <v>-139.56</v>
      </c>
      <c r="E324" s="15">
        <v>279.83</v>
      </c>
      <c r="F324" s="15">
        <v>7844.03</v>
      </c>
      <c r="G324" s="15">
        <v>-0.92</v>
      </c>
      <c r="H324" s="15">
        <v>208.17</v>
      </c>
      <c r="I324" s="15">
        <v>43.6</v>
      </c>
      <c r="J324" s="15">
        <v>0.28999999999999998</v>
      </c>
      <c r="K324" s="15">
        <v>43.07</v>
      </c>
      <c r="L324" s="15">
        <v>289.05</v>
      </c>
      <c r="M324" s="15">
        <v>0.05</v>
      </c>
      <c r="N324" s="15">
        <v>0</v>
      </c>
      <c r="O324" s="15">
        <v>8.32</v>
      </c>
      <c r="P324" s="15">
        <v>59.34</v>
      </c>
      <c r="Q324" s="15">
        <v>113.94</v>
      </c>
      <c r="R324" s="15">
        <v>3470.37</v>
      </c>
      <c r="S324" s="15">
        <v>0.42</v>
      </c>
      <c r="T324" s="15">
        <v>37.01</v>
      </c>
      <c r="U324" s="15">
        <v>13.11</v>
      </c>
      <c r="V324" s="15">
        <v>829.51</v>
      </c>
      <c r="W324" s="16">
        <v>122.82</v>
      </c>
      <c r="X324" s="31">
        <f>MOD(general_price[[#This Row],[date]], 1)</f>
        <v>0.22916666666424135</v>
      </c>
      <c r="Y324" s="25" t="str">
        <f t="shared" si="5"/>
        <v/>
      </c>
      <c r="Z324" s="22">
        <v>0</v>
      </c>
      <c r="AA324" s="48">
        <f>general_price[[#This Row],[Battery (Charging) -  MW]]+general_price[[#This Row],[Battery (Discharging) -  MW]]</f>
        <v>-78.149999999999991</v>
      </c>
      <c r="AB324" s="48">
        <f>general_price[[#This Row],[Pumps -  MW]]+general_price[[#This Row],[Hydro -  MW]]</f>
        <v>43.07</v>
      </c>
    </row>
    <row r="325" spans="1:28">
      <c r="A325" s="13">
        <v>45856.25</v>
      </c>
      <c r="B325" s="14">
        <v>-95.53</v>
      </c>
      <c r="C325" s="15">
        <v>0</v>
      </c>
      <c r="D325" s="15">
        <v>-203.96</v>
      </c>
      <c r="E325" s="15">
        <v>217.05</v>
      </c>
      <c r="F325" s="15">
        <v>8092.69</v>
      </c>
      <c r="G325" s="15">
        <v>-1.32</v>
      </c>
      <c r="H325" s="15">
        <v>376.17</v>
      </c>
      <c r="I325" s="15">
        <v>43.57</v>
      </c>
      <c r="J325" s="15">
        <v>6.73</v>
      </c>
      <c r="K325" s="15">
        <v>250.05</v>
      </c>
      <c r="L325" s="15">
        <v>281.88</v>
      </c>
      <c r="M325" s="15">
        <v>0.05</v>
      </c>
      <c r="N325" s="15">
        <v>0</v>
      </c>
      <c r="O325" s="15">
        <v>8.36</v>
      </c>
      <c r="P325" s="15">
        <v>85.47</v>
      </c>
      <c r="Q325" s="15">
        <v>87.53</v>
      </c>
      <c r="R325" s="15">
        <v>3603.66</v>
      </c>
      <c r="S325" s="15">
        <v>0.42</v>
      </c>
      <c r="T325" s="15">
        <v>52.63</v>
      </c>
      <c r="U325" s="15">
        <v>13.14</v>
      </c>
      <c r="V325" s="15">
        <v>818.49</v>
      </c>
      <c r="W325" s="16">
        <v>120.89</v>
      </c>
      <c r="X325" s="31">
        <f>MOD(general_price[[#This Row],[date]], 1)</f>
        <v>0.25</v>
      </c>
      <c r="Y325" s="25" t="str">
        <f t="shared" si="5"/>
        <v/>
      </c>
      <c r="Z325" s="22">
        <v>0</v>
      </c>
      <c r="AA325" s="48">
        <f>general_price[[#This Row],[Battery (Charging) -  MW]]+general_price[[#This Row],[Battery (Discharging) -  MW]]</f>
        <v>-88.8</v>
      </c>
      <c r="AB325" s="48">
        <f>general_price[[#This Row],[Pumps -  MW]]+general_price[[#This Row],[Hydro -  MW]]</f>
        <v>250.05</v>
      </c>
    </row>
    <row r="326" spans="1:28">
      <c r="A326" s="13">
        <v>45856.270833333336</v>
      </c>
      <c r="B326" s="14">
        <v>-32.76</v>
      </c>
      <c r="C326" s="15">
        <v>0</v>
      </c>
      <c r="D326" s="15">
        <v>-142.37</v>
      </c>
      <c r="E326" s="15">
        <v>340.96</v>
      </c>
      <c r="F326" s="15">
        <v>8143.84</v>
      </c>
      <c r="G326" s="15">
        <v>0.45</v>
      </c>
      <c r="H326" s="15">
        <v>457.92</v>
      </c>
      <c r="I326" s="15">
        <v>43.84</v>
      </c>
      <c r="J326" s="15">
        <v>0.49</v>
      </c>
      <c r="K326" s="15">
        <v>288.27999999999997</v>
      </c>
      <c r="L326" s="15">
        <v>290.02999999999997</v>
      </c>
      <c r="M326" s="15">
        <v>0.05</v>
      </c>
      <c r="N326" s="15">
        <v>0.01</v>
      </c>
      <c r="O326" s="15">
        <v>8.16</v>
      </c>
      <c r="P326" s="15">
        <v>59.39</v>
      </c>
      <c r="Q326" s="15">
        <v>133.6</v>
      </c>
      <c r="R326" s="15">
        <v>3616.08</v>
      </c>
      <c r="S326" s="15">
        <v>0.43</v>
      </c>
      <c r="T326" s="15">
        <v>60.81</v>
      </c>
      <c r="U326" s="15">
        <v>13.18</v>
      </c>
      <c r="V326" s="15">
        <v>785.99</v>
      </c>
      <c r="W326" s="16">
        <v>162.19</v>
      </c>
      <c r="X326" s="31">
        <f>MOD(general_price[[#This Row],[date]], 1)</f>
        <v>0.27083333333575865</v>
      </c>
      <c r="Y326" s="25" t="str">
        <f t="shared" si="5"/>
        <v/>
      </c>
      <c r="Z326" s="22">
        <v>0</v>
      </c>
      <c r="AA326" s="48">
        <f>general_price[[#This Row],[Battery (Charging) -  MW]]+general_price[[#This Row],[Battery (Discharging) -  MW]]</f>
        <v>-32.269999999999996</v>
      </c>
      <c r="AB326" s="48">
        <f>general_price[[#This Row],[Pumps -  MW]]+general_price[[#This Row],[Hydro -  MW]]</f>
        <v>288.27999999999997</v>
      </c>
    </row>
    <row r="327" spans="1:28">
      <c r="A327" s="13">
        <v>45856.291666666664</v>
      </c>
      <c r="B327" s="14">
        <v>-6.85</v>
      </c>
      <c r="C327" s="15">
        <v>0</v>
      </c>
      <c r="D327" s="15">
        <v>-72.849999999999994</v>
      </c>
      <c r="E327" s="15">
        <v>431.06</v>
      </c>
      <c r="F327" s="15">
        <v>8100.52</v>
      </c>
      <c r="G327" s="15">
        <v>-0.76</v>
      </c>
      <c r="H327" s="15">
        <v>534.85</v>
      </c>
      <c r="I327" s="15">
        <v>43.74</v>
      </c>
      <c r="J327" s="15">
        <v>125</v>
      </c>
      <c r="K327" s="15">
        <v>328.44</v>
      </c>
      <c r="L327" s="15">
        <v>310.75</v>
      </c>
      <c r="M327" s="15">
        <v>1.51</v>
      </c>
      <c r="N327" s="15">
        <v>4.3099999999999996</v>
      </c>
      <c r="O327" s="15">
        <v>8.18</v>
      </c>
      <c r="P327" s="15">
        <v>30.05</v>
      </c>
      <c r="Q327" s="15">
        <v>166.08</v>
      </c>
      <c r="R327" s="15">
        <v>3605.06</v>
      </c>
      <c r="S327" s="15">
        <v>0.43</v>
      </c>
      <c r="T327" s="15">
        <v>74.45</v>
      </c>
      <c r="U327" s="15">
        <v>13.16</v>
      </c>
      <c r="V327" s="15">
        <v>753.72</v>
      </c>
      <c r="W327" s="16">
        <v>202.46</v>
      </c>
      <c r="X327" s="31">
        <f>MOD(general_price[[#This Row],[date]], 1)</f>
        <v>0.29166666666424135</v>
      </c>
      <c r="Y327" s="25" t="str">
        <f t="shared" si="5"/>
        <v/>
      </c>
      <c r="Z327" s="22">
        <v>0</v>
      </c>
      <c r="AA327" s="48">
        <f>general_price[[#This Row],[Battery (Charging) -  MW]]+general_price[[#This Row],[Battery (Discharging) -  MW]]</f>
        <v>118.15</v>
      </c>
      <c r="AB327" s="48">
        <f>general_price[[#This Row],[Pumps -  MW]]+general_price[[#This Row],[Hydro -  MW]]</f>
        <v>328.44</v>
      </c>
    </row>
    <row r="328" spans="1:28">
      <c r="A328" s="13">
        <v>45856.3125</v>
      </c>
      <c r="B328" s="14">
        <v>-6.86</v>
      </c>
      <c r="C328" s="15">
        <v>0</v>
      </c>
      <c r="D328" s="15">
        <v>0</v>
      </c>
      <c r="E328" s="15">
        <v>514.67999999999995</v>
      </c>
      <c r="F328" s="15">
        <v>8064.88</v>
      </c>
      <c r="G328" s="15">
        <v>-0.59</v>
      </c>
      <c r="H328" s="15">
        <v>576.74</v>
      </c>
      <c r="I328" s="15">
        <v>43.56</v>
      </c>
      <c r="J328" s="15">
        <v>159.91</v>
      </c>
      <c r="K328" s="15">
        <v>402.95</v>
      </c>
      <c r="L328" s="15">
        <v>309.8</v>
      </c>
      <c r="M328" s="15">
        <v>70.709999999999994</v>
      </c>
      <c r="N328" s="15">
        <v>62.82</v>
      </c>
      <c r="O328" s="15">
        <v>8.23</v>
      </c>
      <c r="P328" s="15">
        <v>0</v>
      </c>
      <c r="Q328" s="15">
        <v>197.8</v>
      </c>
      <c r="R328" s="15">
        <v>3596.15</v>
      </c>
      <c r="S328" s="15">
        <v>0.43</v>
      </c>
      <c r="T328" s="15">
        <v>81.89</v>
      </c>
      <c r="U328" s="15">
        <v>13.14</v>
      </c>
      <c r="V328" s="15">
        <v>723.94</v>
      </c>
      <c r="W328" s="16">
        <v>299.98</v>
      </c>
      <c r="X328" s="31">
        <f>MOD(general_price[[#This Row],[date]], 1)</f>
        <v>0.3125</v>
      </c>
      <c r="Y328" s="25" t="str">
        <f t="shared" si="5"/>
        <v/>
      </c>
      <c r="Z328" s="22">
        <v>0</v>
      </c>
      <c r="AA328" s="48">
        <f>general_price[[#This Row],[Battery (Charging) -  MW]]+general_price[[#This Row],[Battery (Discharging) -  MW]]</f>
        <v>153.04999999999998</v>
      </c>
      <c r="AB328" s="48">
        <f>general_price[[#This Row],[Pumps -  MW]]+general_price[[#This Row],[Hydro -  MW]]</f>
        <v>402.95</v>
      </c>
    </row>
    <row r="329" spans="1:28">
      <c r="A329" s="13">
        <v>45856.333333333336</v>
      </c>
      <c r="B329" s="14">
        <v>-7.68</v>
      </c>
      <c r="C329" s="15">
        <v>0</v>
      </c>
      <c r="D329" s="15">
        <v>-60.3</v>
      </c>
      <c r="E329" s="15">
        <v>380.35</v>
      </c>
      <c r="F329" s="15">
        <v>8133.81</v>
      </c>
      <c r="G329" s="15">
        <v>-0.13</v>
      </c>
      <c r="H329" s="15">
        <v>568.51</v>
      </c>
      <c r="I329" s="15">
        <v>43.51</v>
      </c>
      <c r="J329" s="15">
        <v>118.35</v>
      </c>
      <c r="K329" s="15">
        <v>590.59</v>
      </c>
      <c r="L329" s="15">
        <v>331.23</v>
      </c>
      <c r="M329" s="15">
        <v>451.78</v>
      </c>
      <c r="N329" s="15">
        <v>284.2</v>
      </c>
      <c r="O329" s="15">
        <v>8.52</v>
      </c>
      <c r="P329" s="15">
        <v>23.62</v>
      </c>
      <c r="Q329" s="15">
        <v>146.85</v>
      </c>
      <c r="R329" s="15">
        <v>3613.21</v>
      </c>
      <c r="S329" s="15">
        <v>0.43</v>
      </c>
      <c r="T329" s="15">
        <v>81.08</v>
      </c>
      <c r="U329" s="15">
        <v>13.13</v>
      </c>
      <c r="V329" s="15">
        <v>684.47</v>
      </c>
      <c r="W329" s="16">
        <v>291.7</v>
      </c>
      <c r="X329" s="31">
        <f>MOD(general_price[[#This Row],[date]], 1)</f>
        <v>0.33333333333575865</v>
      </c>
      <c r="Y329" s="25" t="str">
        <f t="shared" si="5"/>
        <v/>
      </c>
      <c r="Z329" s="22">
        <v>0</v>
      </c>
      <c r="AA329" s="48">
        <f>general_price[[#This Row],[Battery (Charging) -  MW]]+general_price[[#This Row],[Battery (Discharging) -  MW]]</f>
        <v>110.66999999999999</v>
      </c>
      <c r="AB329" s="48">
        <f>general_price[[#This Row],[Pumps -  MW]]+general_price[[#This Row],[Hydro -  MW]]</f>
        <v>590.59</v>
      </c>
    </row>
    <row r="330" spans="1:28">
      <c r="A330" s="13">
        <v>45856.354166666664</v>
      </c>
      <c r="B330" s="14">
        <v>-6.08</v>
      </c>
      <c r="C330" s="15">
        <v>0</v>
      </c>
      <c r="D330" s="15">
        <v>-180.12</v>
      </c>
      <c r="E330" s="15">
        <v>352.23</v>
      </c>
      <c r="F330" s="15">
        <v>8086.29</v>
      </c>
      <c r="G330" s="15">
        <v>2.06</v>
      </c>
      <c r="H330" s="15">
        <v>373.48</v>
      </c>
      <c r="I330" s="15">
        <v>43.92</v>
      </c>
      <c r="J330" s="15">
        <v>89.09</v>
      </c>
      <c r="K330" s="15">
        <v>483.07</v>
      </c>
      <c r="L330" s="15">
        <v>340.28</v>
      </c>
      <c r="M330" s="15">
        <v>1086.8599999999999</v>
      </c>
      <c r="N330" s="15">
        <v>607.22</v>
      </c>
      <c r="O330" s="15">
        <v>9.42</v>
      </c>
      <c r="P330" s="15">
        <v>66.92</v>
      </c>
      <c r="Q330" s="15">
        <v>132.28</v>
      </c>
      <c r="R330" s="15">
        <v>3615.6</v>
      </c>
      <c r="S330" s="15">
        <v>0.44</v>
      </c>
      <c r="T330" s="15">
        <v>69.010000000000005</v>
      </c>
      <c r="U330" s="15">
        <v>13.19</v>
      </c>
      <c r="V330" s="15">
        <v>655.82</v>
      </c>
      <c r="W330" s="16">
        <v>263.02</v>
      </c>
      <c r="X330" s="31">
        <f>MOD(general_price[[#This Row],[date]], 1)</f>
        <v>0.35416666666424135</v>
      </c>
      <c r="Y330" s="25" t="str">
        <f t="shared" si="5"/>
        <v/>
      </c>
      <c r="Z330" s="22">
        <v>0</v>
      </c>
      <c r="AA330" s="48">
        <f>general_price[[#This Row],[Battery (Charging) -  MW]]+general_price[[#This Row],[Battery (Discharging) -  MW]]</f>
        <v>83.01</v>
      </c>
      <c r="AB330" s="48">
        <f>general_price[[#This Row],[Pumps -  MW]]+general_price[[#This Row],[Hydro -  MW]]</f>
        <v>483.07</v>
      </c>
    </row>
    <row r="331" spans="1:28">
      <c r="A331" s="13">
        <v>45856.375</v>
      </c>
      <c r="B331" s="14">
        <v>-25.04</v>
      </c>
      <c r="C331" s="15">
        <v>0</v>
      </c>
      <c r="D331" s="15">
        <v>-274.92</v>
      </c>
      <c r="E331" s="15">
        <v>421.08</v>
      </c>
      <c r="F331" s="15">
        <v>7942.53</v>
      </c>
      <c r="G331" s="15">
        <v>12.36</v>
      </c>
      <c r="H331" s="15">
        <v>9.67</v>
      </c>
      <c r="I331" s="15">
        <v>43.94</v>
      </c>
      <c r="J331" s="15">
        <v>41.4</v>
      </c>
      <c r="K331" s="15">
        <v>335.99</v>
      </c>
      <c r="L331" s="15">
        <v>293.14</v>
      </c>
      <c r="M331" s="15">
        <v>1599.19</v>
      </c>
      <c r="N331" s="15">
        <v>1041.28</v>
      </c>
      <c r="O331" s="15">
        <v>11.24</v>
      </c>
      <c r="P331" s="15">
        <v>97.07</v>
      </c>
      <c r="Q331" s="15">
        <v>151.81</v>
      </c>
      <c r="R331" s="15">
        <v>3608.63</v>
      </c>
      <c r="S331" s="15">
        <v>0.45</v>
      </c>
      <c r="T331" s="15">
        <v>42.14</v>
      </c>
      <c r="U331" s="15">
        <v>13.18</v>
      </c>
      <c r="V331" s="15">
        <v>640.59</v>
      </c>
      <c r="W331" s="16">
        <v>168.06</v>
      </c>
      <c r="X331" s="31">
        <f>MOD(general_price[[#This Row],[date]], 1)</f>
        <v>0.375</v>
      </c>
      <c r="Y331" s="25" t="str">
        <f t="shared" si="5"/>
        <v/>
      </c>
      <c r="Z331" s="22">
        <v>0</v>
      </c>
      <c r="AA331" s="48">
        <f>general_price[[#This Row],[Battery (Charging) -  MW]]+general_price[[#This Row],[Battery (Discharging) -  MW]]</f>
        <v>16.36</v>
      </c>
      <c r="AB331" s="48">
        <f>general_price[[#This Row],[Pumps -  MW]]+general_price[[#This Row],[Hydro -  MW]]</f>
        <v>335.99</v>
      </c>
    </row>
    <row r="332" spans="1:28">
      <c r="A332" s="13">
        <v>45856.395833333336</v>
      </c>
      <c r="B332" s="14">
        <v>-15.09</v>
      </c>
      <c r="C332" s="15">
        <v>0</v>
      </c>
      <c r="D332" s="15">
        <v>-277.29000000000002</v>
      </c>
      <c r="E332" s="15">
        <v>503.39</v>
      </c>
      <c r="F332" s="15">
        <v>7744.28</v>
      </c>
      <c r="G332" s="15">
        <v>12.89</v>
      </c>
      <c r="H332" s="15">
        <v>0</v>
      </c>
      <c r="I332" s="15">
        <v>43.91</v>
      </c>
      <c r="J332" s="15">
        <v>0.19</v>
      </c>
      <c r="K332" s="15">
        <v>0.08</v>
      </c>
      <c r="L332" s="15">
        <v>251.66</v>
      </c>
      <c r="M332" s="15">
        <v>1745.82</v>
      </c>
      <c r="N332" s="15">
        <v>1387.69</v>
      </c>
      <c r="O332" s="15">
        <v>12.41</v>
      </c>
      <c r="P332" s="15">
        <v>101.25</v>
      </c>
      <c r="Q332" s="15">
        <v>178.59</v>
      </c>
      <c r="R332" s="15">
        <v>3561.32</v>
      </c>
      <c r="S332" s="15">
        <v>0.45</v>
      </c>
      <c r="T332" s="15">
        <v>41.24</v>
      </c>
      <c r="U332" s="15">
        <v>13.17</v>
      </c>
      <c r="V332" s="15">
        <v>634.54999999999995</v>
      </c>
      <c r="W332" s="16">
        <v>122.8</v>
      </c>
      <c r="X332" s="31">
        <f>MOD(general_price[[#This Row],[date]], 1)</f>
        <v>0.39583333333575865</v>
      </c>
      <c r="Y332" s="25" t="str">
        <f t="shared" si="5"/>
        <v/>
      </c>
      <c r="Z332" s="22">
        <v>0</v>
      </c>
      <c r="AA332" s="48">
        <f>general_price[[#This Row],[Battery (Charging) -  MW]]+general_price[[#This Row],[Battery (Discharging) -  MW]]</f>
        <v>-14.9</v>
      </c>
      <c r="AB332" s="48">
        <f>general_price[[#This Row],[Pumps -  MW]]+general_price[[#This Row],[Hydro -  MW]]</f>
        <v>0.08</v>
      </c>
    </row>
    <row r="333" spans="1:28">
      <c r="A333" s="13">
        <v>45856.416666666664</v>
      </c>
      <c r="B333" s="14">
        <v>-232.19</v>
      </c>
      <c r="C333" s="15">
        <v>0</v>
      </c>
      <c r="D333" s="15">
        <v>-264.02999999999997</v>
      </c>
      <c r="E333" s="15">
        <v>589.14</v>
      </c>
      <c r="F333" s="15">
        <v>7298.85</v>
      </c>
      <c r="G333" s="15">
        <v>10.83</v>
      </c>
      <c r="H333" s="15">
        <v>0</v>
      </c>
      <c r="I333" s="15">
        <v>43.76</v>
      </c>
      <c r="J333" s="15">
        <v>2.9</v>
      </c>
      <c r="K333" s="15">
        <v>0</v>
      </c>
      <c r="L333" s="15">
        <v>209.68</v>
      </c>
      <c r="M333" s="15">
        <v>1869.52</v>
      </c>
      <c r="N333" s="15">
        <v>1629.2</v>
      </c>
      <c r="O333" s="15">
        <v>12.49</v>
      </c>
      <c r="P333" s="15">
        <v>95.76</v>
      </c>
      <c r="Q333" s="15">
        <v>204.69</v>
      </c>
      <c r="R333" s="15">
        <v>3460.31</v>
      </c>
      <c r="S333" s="15">
        <v>0.43</v>
      </c>
      <c r="T333" s="15">
        <v>41.24</v>
      </c>
      <c r="U333" s="15">
        <v>13.15</v>
      </c>
      <c r="V333" s="15">
        <v>630.08000000000004</v>
      </c>
      <c r="W333" s="16">
        <v>128.81</v>
      </c>
      <c r="X333" s="31">
        <f>MOD(general_price[[#This Row],[date]], 1)</f>
        <v>0.41666666666424135</v>
      </c>
      <c r="Y333" s="25" t="str">
        <f t="shared" si="5"/>
        <v/>
      </c>
      <c r="Z333" s="22">
        <v>0</v>
      </c>
      <c r="AA333" s="48">
        <f>general_price[[#This Row],[Battery (Charging) -  MW]]+general_price[[#This Row],[Battery (Discharging) -  MW]]</f>
        <v>-229.29</v>
      </c>
      <c r="AB333" s="48">
        <f>general_price[[#This Row],[Pumps -  MW]]+general_price[[#This Row],[Hydro -  MW]]</f>
        <v>0</v>
      </c>
    </row>
    <row r="334" spans="1:28">
      <c r="A334" s="13">
        <v>45856.4375</v>
      </c>
      <c r="B334" s="14">
        <v>-140.24</v>
      </c>
      <c r="C334" s="15">
        <v>0</v>
      </c>
      <c r="D334" s="15">
        <v>-152.61000000000001</v>
      </c>
      <c r="E334" s="15">
        <v>527.89</v>
      </c>
      <c r="F334" s="15">
        <v>6846.27</v>
      </c>
      <c r="G334" s="15">
        <v>10.45</v>
      </c>
      <c r="H334" s="15">
        <v>0</v>
      </c>
      <c r="I334" s="15">
        <v>42.91</v>
      </c>
      <c r="J334" s="15">
        <v>1.58</v>
      </c>
      <c r="K334" s="15">
        <v>0</v>
      </c>
      <c r="L334" s="15">
        <v>172.27</v>
      </c>
      <c r="M334" s="15">
        <v>1960.16</v>
      </c>
      <c r="N334" s="15">
        <v>1810</v>
      </c>
      <c r="O334" s="15">
        <v>12.29</v>
      </c>
      <c r="P334" s="15">
        <v>54.89</v>
      </c>
      <c r="Q334" s="15">
        <v>185.74</v>
      </c>
      <c r="R334" s="15">
        <v>3359.77</v>
      </c>
      <c r="S334" s="15">
        <v>0.43</v>
      </c>
      <c r="T334" s="15">
        <v>41.24</v>
      </c>
      <c r="U334" s="15">
        <v>13.02</v>
      </c>
      <c r="V334" s="15">
        <v>616.4</v>
      </c>
      <c r="W334" s="16">
        <v>123.83</v>
      </c>
      <c r="X334" s="31">
        <f>MOD(general_price[[#This Row],[date]], 1)</f>
        <v>0.4375</v>
      </c>
      <c r="Y334" s="25" t="str">
        <f t="shared" si="5"/>
        <v/>
      </c>
      <c r="Z334" s="22">
        <v>0</v>
      </c>
      <c r="AA334" s="48">
        <f>general_price[[#This Row],[Battery (Charging) -  MW]]+general_price[[#This Row],[Battery (Discharging) -  MW]]</f>
        <v>-138.66</v>
      </c>
      <c r="AB334" s="48">
        <f>general_price[[#This Row],[Pumps -  MW]]+general_price[[#This Row],[Hydro -  MW]]</f>
        <v>0</v>
      </c>
    </row>
    <row r="335" spans="1:28">
      <c r="A335" s="13">
        <v>45856.458333333336</v>
      </c>
      <c r="B335" s="14">
        <v>-31.11</v>
      </c>
      <c r="C335" s="15">
        <v>-67.319999999999993</v>
      </c>
      <c r="D335" s="15">
        <v>-30.38</v>
      </c>
      <c r="E335" s="15">
        <v>445.49</v>
      </c>
      <c r="F335" s="15">
        <v>6486.45</v>
      </c>
      <c r="G335" s="15">
        <v>10.32</v>
      </c>
      <c r="H335" s="15">
        <v>0</v>
      </c>
      <c r="I335" s="15">
        <v>42.78</v>
      </c>
      <c r="J335" s="15">
        <v>30.87</v>
      </c>
      <c r="K335" s="15">
        <v>0</v>
      </c>
      <c r="L335" s="15">
        <v>131.25</v>
      </c>
      <c r="M335" s="15">
        <v>2070.46</v>
      </c>
      <c r="N335" s="15">
        <v>1888.35</v>
      </c>
      <c r="O335" s="15">
        <v>12.72</v>
      </c>
      <c r="P335" s="15">
        <v>10.87</v>
      </c>
      <c r="Q335" s="15">
        <v>158.21</v>
      </c>
      <c r="R335" s="15">
        <v>3281.08</v>
      </c>
      <c r="S335" s="15">
        <v>0.43</v>
      </c>
      <c r="T335" s="15">
        <v>41.24</v>
      </c>
      <c r="U335" s="15">
        <v>13</v>
      </c>
      <c r="V335" s="15">
        <v>607.76</v>
      </c>
      <c r="W335" s="16">
        <v>94.8</v>
      </c>
      <c r="X335" s="31">
        <f>MOD(general_price[[#This Row],[date]], 1)</f>
        <v>0.45833333333575865</v>
      </c>
      <c r="Y335" s="25" t="str">
        <f t="shared" si="5"/>
        <v/>
      </c>
      <c r="Z335" s="22">
        <v>0</v>
      </c>
      <c r="AA335" s="48">
        <f>general_price[[#This Row],[Battery (Charging) -  MW]]+general_price[[#This Row],[Battery (Discharging) -  MW]]</f>
        <v>-0.23999999999999844</v>
      </c>
      <c r="AB335" s="48">
        <f>general_price[[#This Row],[Pumps -  MW]]+general_price[[#This Row],[Hydro -  MW]]</f>
        <v>-67.319999999999993</v>
      </c>
    </row>
    <row r="336" spans="1:28">
      <c r="A336" s="13">
        <v>45856.479166666664</v>
      </c>
      <c r="B336" s="14">
        <v>-134.41</v>
      </c>
      <c r="C336" s="15">
        <v>-80.92</v>
      </c>
      <c r="D336" s="15">
        <v>0</v>
      </c>
      <c r="E336" s="15">
        <v>743.35</v>
      </c>
      <c r="F336" s="15">
        <v>5928.26</v>
      </c>
      <c r="G336" s="15">
        <v>10.49</v>
      </c>
      <c r="H336" s="15">
        <v>0</v>
      </c>
      <c r="I336" s="15">
        <v>43.28</v>
      </c>
      <c r="J336" s="15">
        <v>0.2</v>
      </c>
      <c r="K336" s="15">
        <v>0</v>
      </c>
      <c r="L336" s="15">
        <v>108.99</v>
      </c>
      <c r="M336" s="15">
        <v>2085.91</v>
      </c>
      <c r="N336" s="15">
        <v>2083.17</v>
      </c>
      <c r="O336" s="15">
        <v>13.8</v>
      </c>
      <c r="P336" s="15">
        <v>0</v>
      </c>
      <c r="Q336" s="15">
        <v>270.67</v>
      </c>
      <c r="R336" s="15">
        <v>3068.8</v>
      </c>
      <c r="S336" s="15">
        <v>0.42</v>
      </c>
      <c r="T336" s="15">
        <v>34.369999999999997</v>
      </c>
      <c r="U336" s="15">
        <v>13.08</v>
      </c>
      <c r="V336" s="15">
        <v>577.79</v>
      </c>
      <c r="W336" s="16">
        <v>91.02</v>
      </c>
      <c r="X336" s="31">
        <f>MOD(general_price[[#This Row],[date]], 1)</f>
        <v>0.47916666666424135</v>
      </c>
      <c r="Y336" s="25" t="str">
        <f t="shared" si="5"/>
        <v/>
      </c>
      <c r="Z336" s="22">
        <v>0</v>
      </c>
      <c r="AA336" s="48">
        <f>general_price[[#This Row],[Battery (Charging) -  MW]]+general_price[[#This Row],[Battery (Discharging) -  MW]]</f>
        <v>-134.21</v>
      </c>
      <c r="AB336" s="48">
        <f>general_price[[#This Row],[Pumps -  MW]]+general_price[[#This Row],[Hydro -  MW]]</f>
        <v>-80.92</v>
      </c>
    </row>
    <row r="337" spans="1:28">
      <c r="A337" s="13">
        <v>45856.5</v>
      </c>
      <c r="B337" s="14">
        <v>-217.25</v>
      </c>
      <c r="C337" s="15">
        <v>-80.709999999999994</v>
      </c>
      <c r="D337" s="15">
        <v>0</v>
      </c>
      <c r="E337" s="15">
        <v>1170.92</v>
      </c>
      <c r="F337" s="15">
        <v>5705.43</v>
      </c>
      <c r="G337" s="15">
        <v>10.53</v>
      </c>
      <c r="H337" s="15">
        <v>0</v>
      </c>
      <c r="I337" s="15">
        <v>43.43</v>
      </c>
      <c r="J337" s="15">
        <v>65.849999999999994</v>
      </c>
      <c r="K337" s="15">
        <v>0</v>
      </c>
      <c r="L337" s="15">
        <v>84.04</v>
      </c>
      <c r="M337" s="15">
        <v>2225.7800000000002</v>
      </c>
      <c r="N337" s="15">
        <v>2323.2600000000002</v>
      </c>
      <c r="O337" s="15">
        <v>14.95</v>
      </c>
      <c r="P337" s="15">
        <v>0</v>
      </c>
      <c r="Q337" s="15">
        <v>439.94</v>
      </c>
      <c r="R337" s="15">
        <v>2576.42</v>
      </c>
      <c r="S337" s="15">
        <v>0.4</v>
      </c>
      <c r="T337" s="15">
        <v>0</v>
      </c>
      <c r="U337" s="15">
        <v>13.14</v>
      </c>
      <c r="V337" s="15">
        <v>457.13</v>
      </c>
      <c r="W337" s="16">
        <v>88.28</v>
      </c>
      <c r="X337" s="31">
        <f>MOD(general_price[[#This Row],[date]], 1)</f>
        <v>0.5</v>
      </c>
      <c r="Y337" s="25" t="str">
        <f t="shared" si="5"/>
        <v/>
      </c>
      <c r="Z337" s="22">
        <v>0</v>
      </c>
      <c r="AA337" s="48">
        <f>general_price[[#This Row],[Battery (Charging) -  MW]]+general_price[[#This Row],[Battery (Discharging) -  MW]]</f>
        <v>-151.4</v>
      </c>
      <c r="AB337" s="48">
        <f>general_price[[#This Row],[Pumps -  MW]]+general_price[[#This Row],[Hydro -  MW]]</f>
        <v>-80.709999999999994</v>
      </c>
    </row>
    <row r="338" spans="1:28">
      <c r="A338" s="17">
        <v>45856.520833333336</v>
      </c>
      <c r="B338" s="18">
        <v>-224.94</v>
      </c>
      <c r="C338" s="19">
        <v>-80.709999999999994</v>
      </c>
      <c r="D338" s="19">
        <v>0</v>
      </c>
      <c r="E338" s="19">
        <v>1156.31</v>
      </c>
      <c r="F338" s="19">
        <v>5653.77</v>
      </c>
      <c r="G338" s="19">
        <v>9.66</v>
      </c>
      <c r="H338" s="19">
        <v>0</v>
      </c>
      <c r="I338" s="19">
        <v>43.58</v>
      </c>
      <c r="J338" s="19">
        <v>67.41</v>
      </c>
      <c r="K338" s="19">
        <v>0</v>
      </c>
      <c r="L338" s="19">
        <v>40.29</v>
      </c>
      <c r="M338" s="19">
        <v>2169.0700000000002</v>
      </c>
      <c r="N338" s="19">
        <v>2342.9499999999998</v>
      </c>
      <c r="O338" s="19">
        <v>15.55</v>
      </c>
      <c r="P338" s="19">
        <v>0</v>
      </c>
      <c r="Q338" s="19">
        <v>431.15</v>
      </c>
      <c r="R338" s="19">
        <v>2564.1</v>
      </c>
      <c r="S338" s="19">
        <v>0.4</v>
      </c>
      <c r="T338" s="19">
        <v>0</v>
      </c>
      <c r="U338" s="19">
        <v>13.16</v>
      </c>
      <c r="V338" s="19">
        <v>461.23</v>
      </c>
      <c r="W338" s="8">
        <v>59.52</v>
      </c>
      <c r="X338" s="32">
        <f>MOD(general_price[[#This Row],[date]], 1)</f>
        <v>0.52083333333575865</v>
      </c>
      <c r="Y338" s="25" t="str">
        <f t="shared" si="5"/>
        <v/>
      </c>
      <c r="Z338" s="22">
        <v>0</v>
      </c>
      <c r="AA338" s="48">
        <f>general_price[[#This Row],[Battery (Charging) -  MW]]+general_price[[#This Row],[Battery (Discharging) -  MW]]</f>
        <v>-157.53</v>
      </c>
      <c r="AB338" s="48">
        <f>general_price[[#This Row],[Pumps -  MW]]+general_price[[#This Row],[Hydro -  MW]]</f>
        <v>-80.709999999999994</v>
      </c>
    </row>
    <row r="342" spans="1:28">
      <c r="A342" t="s">
        <v>76</v>
      </c>
      <c r="B342" t="s">
        <v>26</v>
      </c>
    </row>
    <row r="343" spans="1:28">
      <c r="A343" s="23" t="s">
        <v>28</v>
      </c>
      <c r="B343">
        <v>86.982857142857142</v>
      </c>
    </row>
    <row r="344" spans="1:28">
      <c r="A344" s="23" t="s">
        <v>29</v>
      </c>
      <c r="B344">
        <v>81.675714285714292</v>
      </c>
    </row>
    <row r="345" spans="1:28">
      <c r="A345" s="23" t="s">
        <v>30</v>
      </c>
      <c r="B345">
        <v>81.991428571428557</v>
      </c>
    </row>
    <row r="346" spans="1:28">
      <c r="A346" s="23" t="s">
        <v>31</v>
      </c>
      <c r="B346">
        <v>80.155714285714268</v>
      </c>
    </row>
    <row r="347" spans="1:28">
      <c r="A347" s="23" t="s">
        <v>32</v>
      </c>
      <c r="B347">
        <v>74.835714285714289</v>
      </c>
    </row>
    <row r="348" spans="1:28">
      <c r="A348" s="23" t="s">
        <v>33</v>
      </c>
      <c r="B348">
        <v>76.22571428571429</v>
      </c>
    </row>
    <row r="349" spans="1:28">
      <c r="A349" s="23" t="s">
        <v>34</v>
      </c>
      <c r="B349">
        <v>75.285714285714292</v>
      </c>
    </row>
    <row r="350" spans="1:28">
      <c r="A350" s="23" t="s">
        <v>35</v>
      </c>
      <c r="B350">
        <v>77.419999999999987</v>
      </c>
    </row>
    <row r="351" spans="1:28">
      <c r="A351" s="23" t="s">
        <v>36</v>
      </c>
      <c r="B351">
        <v>76.872857142857143</v>
      </c>
    </row>
    <row r="352" spans="1:28">
      <c r="A352" s="23" t="s">
        <v>37</v>
      </c>
      <c r="B352">
        <v>80.895714285714277</v>
      </c>
    </row>
    <row r="353" spans="1:2">
      <c r="A353" s="23" t="s">
        <v>38</v>
      </c>
      <c r="B353">
        <v>81.535714285714292</v>
      </c>
    </row>
    <row r="354" spans="1:2">
      <c r="A354" s="23" t="s">
        <v>39</v>
      </c>
      <c r="B354">
        <v>87.502857142857138</v>
      </c>
    </row>
    <row r="355" spans="1:2">
      <c r="A355" s="23" t="s">
        <v>40</v>
      </c>
      <c r="B355">
        <v>96.751428571428576</v>
      </c>
    </row>
    <row r="356" spans="1:2">
      <c r="A356" s="23" t="s">
        <v>41</v>
      </c>
      <c r="B356">
        <v>119.34142857142858</v>
      </c>
    </row>
    <row r="357" spans="1:2">
      <c r="A357" s="23" t="s">
        <v>42</v>
      </c>
      <c r="B357">
        <v>147.88428571428571</v>
      </c>
    </row>
    <row r="358" spans="1:2">
      <c r="A358" s="23" t="s">
        <v>43</v>
      </c>
      <c r="B358">
        <v>156.35142857142858</v>
      </c>
    </row>
    <row r="359" spans="1:2">
      <c r="A359" s="23" t="s">
        <v>44</v>
      </c>
      <c r="B359">
        <v>141.87285714285713</v>
      </c>
    </row>
    <row r="360" spans="1:2">
      <c r="A360" s="23" t="s">
        <v>45</v>
      </c>
      <c r="B360">
        <v>97.867142857142852</v>
      </c>
    </row>
    <row r="361" spans="1:2">
      <c r="A361" s="23" t="s">
        <v>46</v>
      </c>
      <c r="B361">
        <v>81.771428571428586</v>
      </c>
    </row>
    <row r="362" spans="1:2">
      <c r="A362" s="23" t="s">
        <v>47</v>
      </c>
      <c r="B362">
        <v>85.148571428571429</v>
      </c>
    </row>
    <row r="363" spans="1:2">
      <c r="A363" s="23" t="s">
        <v>48</v>
      </c>
      <c r="B363">
        <v>70.944285714285712</v>
      </c>
    </row>
    <row r="364" spans="1:2">
      <c r="A364" s="23" t="s">
        <v>49</v>
      </c>
      <c r="B364">
        <v>60.154285714285713</v>
      </c>
    </row>
    <row r="365" spans="1:2">
      <c r="A365" s="23" t="s">
        <v>50</v>
      </c>
      <c r="B365">
        <v>31.034285714285716</v>
      </c>
    </row>
    <row r="366" spans="1:2">
      <c r="A366" s="23" t="s">
        <v>51</v>
      </c>
      <c r="B366">
        <v>32.019999999999996</v>
      </c>
    </row>
    <row r="367" spans="1:2">
      <c r="A367" s="23" t="s">
        <v>52</v>
      </c>
      <c r="B367">
        <v>25.745714285714286</v>
      </c>
    </row>
    <row r="368" spans="1:2">
      <c r="A368" s="23" t="s">
        <v>53</v>
      </c>
      <c r="B368">
        <v>22.828750000000003</v>
      </c>
    </row>
    <row r="369" spans="1:2">
      <c r="A369" s="23" t="s">
        <v>54</v>
      </c>
      <c r="B369">
        <v>5.3885714285714297</v>
      </c>
    </row>
    <row r="370" spans="1:2">
      <c r="A370" s="23" t="s">
        <v>55</v>
      </c>
      <c r="B370">
        <v>14.288571428571428</v>
      </c>
    </row>
    <row r="371" spans="1:2">
      <c r="A371" s="23" t="s">
        <v>56</v>
      </c>
      <c r="B371">
        <v>4.0828571428571436</v>
      </c>
    </row>
    <row r="372" spans="1:2">
      <c r="A372" s="23" t="s">
        <v>57</v>
      </c>
      <c r="B372">
        <v>20.804285714285715</v>
      </c>
    </row>
    <row r="373" spans="1:2">
      <c r="A373" s="23" t="s">
        <v>58</v>
      </c>
      <c r="B373">
        <v>45.08428571428572</v>
      </c>
    </row>
    <row r="374" spans="1:2">
      <c r="A374" s="23" t="s">
        <v>59</v>
      </c>
      <c r="B374">
        <v>13.794285714285715</v>
      </c>
    </row>
    <row r="375" spans="1:2">
      <c r="A375" s="23" t="s">
        <v>60</v>
      </c>
      <c r="B375">
        <v>68.755714285714276</v>
      </c>
    </row>
    <row r="376" spans="1:2">
      <c r="A376" s="23" t="s">
        <v>61</v>
      </c>
      <c r="B376">
        <v>91.742857142857147</v>
      </c>
    </row>
    <row r="377" spans="1:2">
      <c r="A377" s="23" t="s">
        <v>62</v>
      </c>
      <c r="B377">
        <v>158.11142857142858</v>
      </c>
    </row>
    <row r="378" spans="1:2">
      <c r="A378" s="23" t="s">
        <v>63</v>
      </c>
      <c r="B378">
        <v>171.86142857142858</v>
      </c>
    </row>
    <row r="379" spans="1:2">
      <c r="A379" s="23" t="s">
        <v>64</v>
      </c>
      <c r="B379">
        <v>230.89000000000001</v>
      </c>
    </row>
    <row r="380" spans="1:2">
      <c r="A380" s="23" t="s">
        <v>65</v>
      </c>
      <c r="B380">
        <v>191.43714285714285</v>
      </c>
    </row>
    <row r="381" spans="1:2">
      <c r="A381" s="23" t="s">
        <v>66</v>
      </c>
      <c r="B381">
        <v>188.42285714285714</v>
      </c>
    </row>
    <row r="382" spans="1:2">
      <c r="A382" s="23" t="s">
        <v>67</v>
      </c>
      <c r="B382">
        <v>175.25285714285715</v>
      </c>
    </row>
    <row r="383" spans="1:2">
      <c r="A383" s="23" t="s">
        <v>68</v>
      </c>
      <c r="B383">
        <v>141.87285714285716</v>
      </c>
    </row>
    <row r="384" spans="1:2">
      <c r="A384" s="23" t="s">
        <v>69</v>
      </c>
      <c r="B384">
        <v>134.85285714285715</v>
      </c>
    </row>
    <row r="385" spans="1:5">
      <c r="A385" s="23" t="s">
        <v>70</v>
      </c>
      <c r="B385">
        <v>140.27714285714288</v>
      </c>
    </row>
    <row r="386" spans="1:5">
      <c r="A386" s="23" t="s">
        <v>71</v>
      </c>
      <c r="B386">
        <v>121.51428571428572</v>
      </c>
    </row>
    <row r="387" spans="1:5">
      <c r="A387" s="23" t="s">
        <v>72</v>
      </c>
      <c r="B387">
        <v>104.76285714285713</v>
      </c>
    </row>
    <row r="388" spans="1:5">
      <c r="A388" s="23" t="s">
        <v>73</v>
      </c>
      <c r="B388">
        <v>123.64571428571428</v>
      </c>
    </row>
    <row r="389" spans="1:5">
      <c r="A389" s="23" t="s">
        <v>74</v>
      </c>
      <c r="B389">
        <v>108.54571428571428</v>
      </c>
    </row>
    <row r="390" spans="1:5">
      <c r="A390" s="23" t="s">
        <v>75</v>
      </c>
      <c r="B390">
        <v>93.054285714285712</v>
      </c>
    </row>
    <row r="391" spans="1:5">
      <c r="A391" s="23" t="s">
        <v>25</v>
      </c>
      <c r="B391">
        <v>93.114540059347149</v>
      </c>
    </row>
    <row r="394" spans="1:5">
      <c r="A394" s="7" t="s">
        <v>88</v>
      </c>
      <c r="B394" t="s">
        <v>107</v>
      </c>
      <c r="C394" t="s">
        <v>108</v>
      </c>
      <c r="D394" t="s">
        <v>26</v>
      </c>
      <c r="E394" t="s">
        <v>109</v>
      </c>
    </row>
    <row r="395" spans="1:5">
      <c r="A395" s="23" t="s">
        <v>99</v>
      </c>
      <c r="B395" s="28">
        <v>163.44999999999999</v>
      </c>
      <c r="C395" s="28">
        <v>-22.01</v>
      </c>
      <c r="D395" s="28">
        <v>75.254782608695649</v>
      </c>
      <c r="E395">
        <f>GETPIVOTDATA("Max. of Price - AUD/MWh",$A$394,"Days (date)",193)-GETPIVOTDATA("Min. of Price - AUD/MWh",$A$394,"Days (date)",193)</f>
        <v>185.45999999999998</v>
      </c>
    </row>
    <row r="396" spans="1:5">
      <c r="A396" s="23" t="s">
        <v>100</v>
      </c>
      <c r="B396" s="28">
        <v>299.99</v>
      </c>
      <c r="C396" s="28">
        <v>-22.01</v>
      </c>
      <c r="D396" s="28">
        <v>87.945624999999993</v>
      </c>
      <c r="E396">
        <f>GETPIVOTDATA("Max. of Price - AUD/MWh",$A$394,"Days (date)",194)-GETPIVOTDATA("Min. of Price - AUD/MWh",$A$394,"Days (date)",194)</f>
        <v>322</v>
      </c>
    </row>
    <row r="397" spans="1:5">
      <c r="A397" s="23" t="s">
        <v>101</v>
      </c>
      <c r="B397" s="28">
        <v>185.01</v>
      </c>
      <c r="C397" s="28">
        <v>-17.28</v>
      </c>
      <c r="D397" s="28">
        <v>60.848750000000024</v>
      </c>
      <c r="E397">
        <f>GETPIVOTDATA("Max. of Price - AUD/MWh",$A$394,"Days (date)",195)-GETPIVOTDATA("Min. of Price - AUD/MWh",$A$394,"Days (date)",195)</f>
        <v>202.29</v>
      </c>
    </row>
    <row r="398" spans="1:5">
      <c r="A398" s="23" t="s">
        <v>102</v>
      </c>
      <c r="B398" s="28">
        <v>226.15</v>
      </c>
      <c r="C398" s="28">
        <v>-19.690000000000001</v>
      </c>
      <c r="D398" s="28">
        <v>74.257916666666674</v>
      </c>
      <c r="E398">
        <f>GETPIVOTDATA("Max. of Price - AUD/MWh",$A$394,"Days (date)",196)-GETPIVOTDATA("Min. of Price - AUD/MWh",$A$394,"Days (date)",196)</f>
        <v>245.84</v>
      </c>
    </row>
    <row r="399" spans="1:5">
      <c r="A399" s="23" t="s">
        <v>103</v>
      </c>
      <c r="B399" s="28">
        <v>269.77999999999997</v>
      </c>
      <c r="C399" s="28">
        <v>73.25</v>
      </c>
      <c r="D399" s="28">
        <v>119.94166666666666</v>
      </c>
      <c r="E399">
        <f>GETPIVOTDATA("Max. of Price - AUD/MWh",$A$394,"Days (date)",197)-GETPIVOTDATA("Min. of Price - AUD/MWh",$A$394,"Days (date)",197)</f>
        <v>196.52999999999997</v>
      </c>
    </row>
    <row r="400" spans="1:5">
      <c r="A400" s="23" t="s">
        <v>104</v>
      </c>
      <c r="B400" s="28">
        <v>299.99</v>
      </c>
      <c r="C400" s="28">
        <v>-18</v>
      </c>
      <c r="D400" s="28">
        <v>100.78020833333331</v>
      </c>
      <c r="E400">
        <f>GETPIVOTDATA("Max. of Price - AUD/MWh",$A$394,"Days (date)",198)-GETPIVOTDATA("Min. of Price - AUD/MWh",$A$394,"Days (date)",198)</f>
        <v>317.99</v>
      </c>
    </row>
    <row r="401" spans="1:6">
      <c r="A401" s="23" t="s">
        <v>105</v>
      </c>
      <c r="B401" s="28">
        <v>254.96</v>
      </c>
      <c r="C401" s="28">
        <v>0</v>
      </c>
      <c r="D401" s="28">
        <v>102.864375</v>
      </c>
      <c r="E401">
        <f>GETPIVOTDATA("Max. of Price - AUD/MWh",$A$394,"Days (date)",199)-GETPIVOTDATA("Min. of Price - AUD/MWh",$A$394,"Days (date)",199)</f>
        <v>254.96</v>
      </c>
    </row>
    <row r="402" spans="1:6">
      <c r="A402" s="23" t="s">
        <v>106</v>
      </c>
      <c r="B402" s="28">
        <v>299.98</v>
      </c>
      <c r="C402" s="28">
        <v>59.52</v>
      </c>
      <c r="D402" s="28">
        <v>131.15730769230771</v>
      </c>
      <c r="E402">
        <f>GETPIVOTDATA("Max. of Price - AUD/MWh",$A$394,"Days (date)",200)-GETPIVOTDATA("Min. of Price - AUD/MWh",$A$394,"Days (date)",200)</f>
        <v>240.46</v>
      </c>
    </row>
    <row r="403" spans="1:6">
      <c r="A403" s="23" t="s">
        <v>25</v>
      </c>
      <c r="B403" s="28">
        <v>299.99</v>
      </c>
      <c r="C403" s="28">
        <v>-22.01</v>
      </c>
      <c r="D403" s="28">
        <v>93.114540059347107</v>
      </c>
      <c r="E403">
        <f>AVERAGE(E395:E402)</f>
        <v>245.69125</v>
      </c>
      <c r="F403" t="s">
        <v>110</v>
      </c>
    </row>
    <row r="404" spans="1:6">
      <c r="E404" s="37" t="s">
        <v>111</v>
      </c>
      <c r="F404" t="s">
        <v>112</v>
      </c>
    </row>
    <row r="405" spans="1:6">
      <c r="B405" s="28">
        <f>AVERAGE(B395:B402)</f>
        <v>249.91375000000002</v>
      </c>
      <c r="C405" s="28">
        <f>AVERAGE(C395:C402)</f>
        <v>4.2224999999999993</v>
      </c>
      <c r="E405" s="38">
        <v>93</v>
      </c>
      <c r="F405" t="s">
        <v>113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71BE-6209-6744-9D51-6A3A53996A30}">
  <dimension ref="A1:W338"/>
  <sheetViews>
    <sheetView topLeftCell="AT1" zoomScale="63" zoomScaleNormal="90" workbookViewId="0">
      <selection activeCell="O72" sqref="O72"/>
    </sheetView>
  </sheetViews>
  <sheetFormatPr baseColWidth="10" defaultRowHeight="13"/>
  <cols>
    <col min="1" max="1" width="17.19921875" bestFit="1" customWidth="1"/>
    <col min="2" max="2" width="29.796875" bestFit="1" customWidth="1"/>
    <col min="3" max="3" width="27.3984375" bestFit="1" customWidth="1"/>
    <col min="4" max="4" width="22.3984375" customWidth="1"/>
    <col min="5" max="5" width="29.796875" customWidth="1"/>
    <col min="6" max="7" width="22.59765625" customWidth="1"/>
    <col min="8" max="8" width="31.19921875" customWidth="1"/>
    <col min="9" max="9" width="16.796875" customWidth="1"/>
    <col min="10" max="10" width="15.796875" customWidth="1"/>
    <col min="11" max="11" width="23.796875" customWidth="1"/>
    <col min="12" max="12" width="25.59765625" customWidth="1"/>
    <col min="13" max="13" width="21.796875" customWidth="1"/>
    <col min="14" max="14" width="37.59765625" customWidth="1"/>
    <col min="15" max="15" width="15.3984375" style="26" customWidth="1"/>
  </cols>
  <sheetData>
    <row r="1" spans="1:15" ht="14">
      <c r="A1" s="20" t="s">
        <v>2</v>
      </c>
      <c r="B1" s="20" t="s">
        <v>3</v>
      </c>
      <c r="C1" s="20" t="s">
        <v>4</v>
      </c>
      <c r="D1" s="20" t="s">
        <v>7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13</v>
      </c>
      <c r="K1" s="20" t="s">
        <v>14</v>
      </c>
      <c r="L1" s="20" t="s">
        <v>15</v>
      </c>
      <c r="M1" s="21" t="s">
        <v>24</v>
      </c>
      <c r="N1" s="24" t="s">
        <v>77</v>
      </c>
      <c r="O1"/>
    </row>
    <row r="2" spans="1:15">
      <c r="A2" s="9">
        <v>45849.520833333336</v>
      </c>
      <c r="B2" s="10">
        <v>-190.82</v>
      </c>
      <c r="C2" s="11">
        <v>-469.14</v>
      </c>
      <c r="D2" s="11">
        <v>3381.98</v>
      </c>
      <c r="E2" s="11">
        <v>28.92</v>
      </c>
      <c r="F2" s="11">
        <v>0</v>
      </c>
      <c r="G2" s="11">
        <v>37.35</v>
      </c>
      <c r="H2" s="11">
        <v>353.88</v>
      </c>
      <c r="I2" s="11">
        <v>0</v>
      </c>
      <c r="J2" s="11">
        <v>1569.25</v>
      </c>
      <c r="K2" s="11">
        <v>1561.96</v>
      </c>
      <c r="L2" s="11">
        <v>0</v>
      </c>
      <c r="M2" s="12">
        <v>-22.01</v>
      </c>
      <c r="N2" s="25" t="str">
        <f t="shared" ref="N2:N65" si="0">IF(AND(HOUR(A2)=0,MINUTE(A2)=0),TEXT(A2,"d mmm"),"")</f>
        <v/>
      </c>
      <c r="O2"/>
    </row>
    <row r="3" spans="1:15">
      <c r="A3" s="13">
        <v>45849.541666666664</v>
      </c>
      <c r="B3" s="14">
        <v>-401.87</v>
      </c>
      <c r="C3" s="15">
        <v>-468.66</v>
      </c>
      <c r="D3" s="15">
        <v>3430.37</v>
      </c>
      <c r="E3" s="15">
        <v>29.64</v>
      </c>
      <c r="F3" s="15">
        <v>0</v>
      </c>
      <c r="G3" s="15">
        <v>37.369999999999997</v>
      </c>
      <c r="H3" s="15">
        <v>152.37</v>
      </c>
      <c r="I3" s="15">
        <v>0</v>
      </c>
      <c r="J3" s="15">
        <v>1626.93</v>
      </c>
      <c r="K3" s="15">
        <v>1760.86</v>
      </c>
      <c r="L3" s="15">
        <v>1653.29</v>
      </c>
      <c r="M3" s="16">
        <v>-14.01</v>
      </c>
      <c r="N3" s="25" t="str">
        <f t="shared" si="0"/>
        <v/>
      </c>
      <c r="O3"/>
    </row>
    <row r="4" spans="1:15">
      <c r="A4" s="13">
        <v>45849.5625</v>
      </c>
      <c r="B4" s="14">
        <v>-649.61</v>
      </c>
      <c r="C4" s="15">
        <v>-468.04</v>
      </c>
      <c r="D4" s="15">
        <v>3463.22</v>
      </c>
      <c r="E4" s="15">
        <v>20.71</v>
      </c>
      <c r="F4" s="15">
        <v>0</v>
      </c>
      <c r="G4" s="15">
        <v>37.19</v>
      </c>
      <c r="H4" s="15">
        <v>1.82</v>
      </c>
      <c r="I4" s="15">
        <v>0</v>
      </c>
      <c r="J4" s="15">
        <v>1717.61</v>
      </c>
      <c r="K4" s="15">
        <v>1879.89</v>
      </c>
      <c r="L4" s="15">
        <v>3109.92</v>
      </c>
      <c r="M4" s="16">
        <v>13.96</v>
      </c>
      <c r="N4" s="25" t="str">
        <f t="shared" si="0"/>
        <v/>
      </c>
      <c r="O4"/>
    </row>
    <row r="5" spans="1:15">
      <c r="A5" s="13">
        <v>45849.583333333336</v>
      </c>
      <c r="B5" s="14">
        <v>-162.4</v>
      </c>
      <c r="C5" s="15">
        <v>-467.76</v>
      </c>
      <c r="D5" s="15">
        <v>3444.6</v>
      </c>
      <c r="E5" s="15">
        <v>11.93</v>
      </c>
      <c r="F5" s="15">
        <v>1.17</v>
      </c>
      <c r="G5" s="15">
        <v>38.090000000000003</v>
      </c>
      <c r="H5" s="15">
        <v>97.38</v>
      </c>
      <c r="I5" s="15">
        <v>0</v>
      </c>
      <c r="J5" s="15">
        <v>1735.37</v>
      </c>
      <c r="K5" s="15">
        <v>1686.57</v>
      </c>
      <c r="L5" s="15">
        <v>2800.7</v>
      </c>
      <c r="M5" s="16">
        <v>0.04</v>
      </c>
      <c r="N5" s="25" t="str">
        <f t="shared" si="0"/>
        <v/>
      </c>
      <c r="O5"/>
    </row>
    <row r="6" spans="1:15">
      <c r="A6" s="13">
        <v>45849.604166666664</v>
      </c>
      <c r="B6" s="14">
        <v>-22.51</v>
      </c>
      <c r="C6" s="15">
        <v>-468.28</v>
      </c>
      <c r="D6" s="15">
        <v>3513.54</v>
      </c>
      <c r="E6" s="15">
        <v>11.22</v>
      </c>
      <c r="F6" s="15">
        <v>52.33</v>
      </c>
      <c r="G6" s="15">
        <v>38.33</v>
      </c>
      <c r="H6" s="15">
        <v>241.68</v>
      </c>
      <c r="I6" s="15">
        <v>0</v>
      </c>
      <c r="J6" s="15">
        <v>1759.84</v>
      </c>
      <c r="K6" s="15">
        <v>1445.08</v>
      </c>
      <c r="L6" s="15">
        <v>2425.0500000000002</v>
      </c>
      <c r="M6" s="16">
        <v>20.3</v>
      </c>
      <c r="N6" s="25" t="str">
        <f t="shared" si="0"/>
        <v/>
      </c>
      <c r="O6"/>
    </row>
    <row r="7" spans="1:15">
      <c r="A7" s="13">
        <v>45849.625</v>
      </c>
      <c r="B7" s="14">
        <v>-379.85</v>
      </c>
      <c r="C7" s="15">
        <v>-467.17</v>
      </c>
      <c r="D7" s="15">
        <v>3972.11</v>
      </c>
      <c r="E7" s="15">
        <v>12.25</v>
      </c>
      <c r="F7" s="15">
        <v>179.83</v>
      </c>
      <c r="G7" s="15">
        <v>37.979999999999997</v>
      </c>
      <c r="H7" s="15">
        <v>78.8</v>
      </c>
      <c r="I7" s="15">
        <v>0</v>
      </c>
      <c r="J7" s="15">
        <v>1832.99</v>
      </c>
      <c r="K7" s="15">
        <v>1392.68</v>
      </c>
      <c r="L7" s="15">
        <v>1963.82</v>
      </c>
      <c r="M7" s="16">
        <v>46.74</v>
      </c>
      <c r="N7" s="25" t="str">
        <f t="shared" si="0"/>
        <v/>
      </c>
      <c r="O7"/>
    </row>
    <row r="8" spans="1:15">
      <c r="A8" s="13">
        <v>45849.645833333336</v>
      </c>
      <c r="B8" s="14">
        <v>-100.81</v>
      </c>
      <c r="C8" s="15">
        <v>-436.42</v>
      </c>
      <c r="D8" s="15">
        <v>4521.03</v>
      </c>
      <c r="E8" s="15">
        <v>11.73</v>
      </c>
      <c r="F8" s="15">
        <v>190</v>
      </c>
      <c r="G8" s="15">
        <v>38.64</v>
      </c>
      <c r="H8" s="15">
        <v>235.41</v>
      </c>
      <c r="I8" s="15">
        <v>0</v>
      </c>
      <c r="J8" s="15">
        <v>1820.41</v>
      </c>
      <c r="K8" s="15">
        <v>1220.54</v>
      </c>
      <c r="L8" s="15">
        <v>1440.64</v>
      </c>
      <c r="M8" s="16">
        <v>-11.05</v>
      </c>
      <c r="N8" s="25" t="str">
        <f t="shared" si="0"/>
        <v/>
      </c>
      <c r="O8"/>
    </row>
    <row r="9" spans="1:15">
      <c r="A9" s="13">
        <v>45849.666666666664</v>
      </c>
      <c r="B9" s="14">
        <v>-84.16</v>
      </c>
      <c r="C9" s="15">
        <v>-230.55</v>
      </c>
      <c r="D9" s="15">
        <v>5370.25</v>
      </c>
      <c r="E9" s="15">
        <v>13.43</v>
      </c>
      <c r="F9" s="15">
        <v>199.67</v>
      </c>
      <c r="G9" s="15">
        <v>40.81</v>
      </c>
      <c r="H9" s="15">
        <v>60.13</v>
      </c>
      <c r="I9" s="15">
        <v>11.96</v>
      </c>
      <c r="J9" s="15">
        <v>1870.99</v>
      </c>
      <c r="K9" s="15">
        <v>1049.7</v>
      </c>
      <c r="L9" s="15">
        <v>914.26</v>
      </c>
      <c r="M9" s="16">
        <v>37.74</v>
      </c>
      <c r="N9" s="25" t="str">
        <f t="shared" si="0"/>
        <v/>
      </c>
      <c r="O9"/>
    </row>
    <row r="10" spans="1:15">
      <c r="A10" s="13">
        <v>45849.6875</v>
      </c>
      <c r="B10" s="14">
        <v>-307.23</v>
      </c>
      <c r="C10" s="15">
        <v>0</v>
      </c>
      <c r="D10" s="15">
        <v>6233.9</v>
      </c>
      <c r="E10" s="15">
        <v>1.38</v>
      </c>
      <c r="F10" s="15">
        <v>345.83</v>
      </c>
      <c r="G10" s="15">
        <v>41.5</v>
      </c>
      <c r="H10" s="15">
        <v>186.7</v>
      </c>
      <c r="I10" s="15">
        <v>76.8</v>
      </c>
      <c r="J10" s="15">
        <v>1904.08</v>
      </c>
      <c r="K10" s="15">
        <v>592.71</v>
      </c>
      <c r="L10" s="15">
        <v>440.91</v>
      </c>
      <c r="M10" s="16">
        <v>63.4</v>
      </c>
      <c r="N10" s="25" t="str">
        <f t="shared" si="0"/>
        <v/>
      </c>
      <c r="O10"/>
    </row>
    <row r="11" spans="1:15">
      <c r="A11" s="13">
        <v>45849.708333333336</v>
      </c>
      <c r="B11" s="14">
        <v>-300.85000000000002</v>
      </c>
      <c r="C11" s="15">
        <v>0</v>
      </c>
      <c r="D11" s="15">
        <v>6792.19</v>
      </c>
      <c r="E11" s="15">
        <v>-0.54</v>
      </c>
      <c r="F11" s="15">
        <v>447.33</v>
      </c>
      <c r="G11" s="15">
        <v>159.38</v>
      </c>
      <c r="H11" s="15">
        <v>279.3</v>
      </c>
      <c r="I11" s="15">
        <v>506.54</v>
      </c>
      <c r="J11" s="15">
        <v>1924.31</v>
      </c>
      <c r="K11" s="15">
        <v>166.79</v>
      </c>
      <c r="L11" s="15">
        <v>116.99</v>
      </c>
      <c r="M11" s="16">
        <v>100.59</v>
      </c>
      <c r="N11" s="25" t="str">
        <f t="shared" si="0"/>
        <v/>
      </c>
      <c r="O11"/>
    </row>
    <row r="12" spans="1:15">
      <c r="A12" s="13">
        <v>45849.729166666664</v>
      </c>
      <c r="B12" s="14">
        <v>-60.4</v>
      </c>
      <c r="C12" s="15">
        <v>0</v>
      </c>
      <c r="D12" s="15">
        <v>7173.65</v>
      </c>
      <c r="E12" s="15">
        <v>-1.78</v>
      </c>
      <c r="F12" s="15">
        <v>445.5</v>
      </c>
      <c r="G12" s="15">
        <v>207.84</v>
      </c>
      <c r="H12" s="15">
        <v>202.42</v>
      </c>
      <c r="I12" s="15">
        <v>692.02</v>
      </c>
      <c r="J12" s="15">
        <v>1944.45</v>
      </c>
      <c r="K12" s="15">
        <v>8.5399999999999991</v>
      </c>
      <c r="L12" s="15">
        <v>12.03</v>
      </c>
      <c r="M12" s="16">
        <v>135.19999999999999</v>
      </c>
      <c r="N12" s="25" t="str">
        <f t="shared" si="0"/>
        <v/>
      </c>
      <c r="O12"/>
    </row>
    <row r="13" spans="1:15">
      <c r="A13" s="13">
        <v>45849.75</v>
      </c>
      <c r="B13" s="14">
        <v>-2.2799999999999998</v>
      </c>
      <c r="C13" s="15">
        <v>0</v>
      </c>
      <c r="D13" s="15">
        <v>7371.04</v>
      </c>
      <c r="E13" s="15">
        <v>-1.23</v>
      </c>
      <c r="F13" s="15">
        <v>445.5</v>
      </c>
      <c r="G13" s="15">
        <v>208.9</v>
      </c>
      <c r="H13" s="15">
        <v>204.59</v>
      </c>
      <c r="I13" s="15">
        <v>993.21</v>
      </c>
      <c r="J13" s="15">
        <v>1999.15</v>
      </c>
      <c r="K13" s="15">
        <v>0.02</v>
      </c>
      <c r="L13" s="15">
        <v>0.09</v>
      </c>
      <c r="M13" s="16">
        <v>163.44999999999999</v>
      </c>
      <c r="N13" s="25" t="str">
        <f t="shared" si="0"/>
        <v/>
      </c>
      <c r="O13"/>
    </row>
    <row r="14" spans="1:15">
      <c r="A14" s="13">
        <v>45849.770833333336</v>
      </c>
      <c r="B14" s="14">
        <v>-2.2000000000000002</v>
      </c>
      <c r="C14" s="15">
        <v>0</v>
      </c>
      <c r="D14" s="15">
        <v>7404.26</v>
      </c>
      <c r="E14" s="15">
        <v>-0.77</v>
      </c>
      <c r="F14" s="15">
        <v>445.33</v>
      </c>
      <c r="G14" s="15">
        <v>208.73</v>
      </c>
      <c r="H14" s="15">
        <v>254.8</v>
      </c>
      <c r="I14" s="15">
        <v>941.37</v>
      </c>
      <c r="J14" s="15">
        <v>2028.92</v>
      </c>
      <c r="K14" s="15">
        <v>0.02</v>
      </c>
      <c r="L14" s="15">
        <v>0</v>
      </c>
      <c r="M14" s="16">
        <v>129.05000000000001</v>
      </c>
      <c r="N14" s="25" t="str">
        <f t="shared" si="0"/>
        <v/>
      </c>
      <c r="O14"/>
    </row>
    <row r="15" spans="1:15">
      <c r="A15" s="13">
        <v>45849.791666666664</v>
      </c>
      <c r="B15" s="14">
        <v>-3.18</v>
      </c>
      <c r="C15" s="15">
        <v>0</v>
      </c>
      <c r="D15" s="15">
        <v>7406.87</v>
      </c>
      <c r="E15" s="15">
        <v>-0.91</v>
      </c>
      <c r="F15" s="15">
        <v>446</v>
      </c>
      <c r="G15" s="15">
        <v>207.75</v>
      </c>
      <c r="H15" s="15">
        <v>132.97999999999999</v>
      </c>
      <c r="I15" s="15">
        <v>961.9</v>
      </c>
      <c r="J15" s="15">
        <v>1986.17</v>
      </c>
      <c r="K15" s="15">
        <v>0.02</v>
      </c>
      <c r="L15" s="15">
        <v>0</v>
      </c>
      <c r="M15" s="16">
        <v>133.6</v>
      </c>
      <c r="N15" s="25" t="str">
        <f t="shared" si="0"/>
        <v/>
      </c>
      <c r="O15"/>
    </row>
    <row r="16" spans="1:15">
      <c r="A16" s="13">
        <v>45849.8125</v>
      </c>
      <c r="B16" s="14">
        <v>-4.08</v>
      </c>
      <c r="C16" s="15">
        <v>0</v>
      </c>
      <c r="D16" s="15">
        <v>7405.12</v>
      </c>
      <c r="E16" s="15">
        <v>-0.89</v>
      </c>
      <c r="F16" s="15">
        <v>445.83</v>
      </c>
      <c r="G16" s="15">
        <v>208.19</v>
      </c>
      <c r="H16" s="15">
        <v>61.78</v>
      </c>
      <c r="I16" s="15">
        <v>967.99</v>
      </c>
      <c r="J16" s="15">
        <v>1944.55</v>
      </c>
      <c r="K16" s="15">
        <v>0.02</v>
      </c>
      <c r="L16" s="15">
        <v>0</v>
      </c>
      <c r="M16" s="16">
        <v>123.74</v>
      </c>
      <c r="N16" s="25" t="str">
        <f t="shared" si="0"/>
        <v/>
      </c>
      <c r="O16"/>
    </row>
    <row r="17" spans="1:15">
      <c r="A17" s="13">
        <v>45849.833333333336</v>
      </c>
      <c r="B17" s="14">
        <v>-1.94</v>
      </c>
      <c r="C17" s="15">
        <v>0</v>
      </c>
      <c r="D17" s="15">
        <v>7406.79</v>
      </c>
      <c r="E17" s="15">
        <v>-0.47</v>
      </c>
      <c r="F17" s="15">
        <v>446</v>
      </c>
      <c r="G17" s="15">
        <v>202.7</v>
      </c>
      <c r="H17" s="15">
        <v>51.27</v>
      </c>
      <c r="I17" s="15">
        <v>963.75</v>
      </c>
      <c r="J17" s="15">
        <v>1893.48</v>
      </c>
      <c r="K17" s="15">
        <v>0.02</v>
      </c>
      <c r="L17" s="15">
        <v>0</v>
      </c>
      <c r="M17" s="16">
        <v>111.94</v>
      </c>
      <c r="N17" s="25" t="str">
        <f t="shared" si="0"/>
        <v/>
      </c>
      <c r="O17"/>
    </row>
    <row r="18" spans="1:15">
      <c r="A18" s="13">
        <v>45849.854166666664</v>
      </c>
      <c r="B18" s="14">
        <v>-3.76</v>
      </c>
      <c r="C18" s="15">
        <v>0</v>
      </c>
      <c r="D18" s="15">
        <v>7394.76</v>
      </c>
      <c r="E18" s="15">
        <v>-0.82</v>
      </c>
      <c r="F18" s="15">
        <v>448.33</v>
      </c>
      <c r="G18" s="15">
        <v>134.81</v>
      </c>
      <c r="H18" s="15">
        <v>4.51</v>
      </c>
      <c r="I18" s="15">
        <v>940.19</v>
      </c>
      <c r="J18" s="15">
        <v>1840.63</v>
      </c>
      <c r="K18" s="15">
        <v>0.02</v>
      </c>
      <c r="L18" s="15">
        <v>0</v>
      </c>
      <c r="M18" s="16">
        <v>96.23</v>
      </c>
      <c r="N18" s="25" t="str">
        <f t="shared" si="0"/>
        <v/>
      </c>
      <c r="O18"/>
    </row>
    <row r="19" spans="1:15">
      <c r="A19" s="13">
        <v>45849.875</v>
      </c>
      <c r="B19" s="14">
        <v>-4.08</v>
      </c>
      <c r="C19" s="15">
        <v>0</v>
      </c>
      <c r="D19" s="15">
        <v>7400.16</v>
      </c>
      <c r="E19" s="15">
        <v>-1.1000000000000001</v>
      </c>
      <c r="F19" s="15">
        <v>446.83</v>
      </c>
      <c r="G19" s="15">
        <v>43.05</v>
      </c>
      <c r="H19" s="15">
        <v>6.95</v>
      </c>
      <c r="I19" s="15">
        <v>890.52</v>
      </c>
      <c r="J19" s="15">
        <v>1711.43</v>
      </c>
      <c r="K19" s="15">
        <v>0.02</v>
      </c>
      <c r="L19" s="15">
        <v>0</v>
      </c>
      <c r="M19" s="16">
        <v>96.52</v>
      </c>
      <c r="N19" s="25" t="str">
        <f t="shared" si="0"/>
        <v/>
      </c>
      <c r="O19"/>
    </row>
    <row r="20" spans="1:15">
      <c r="A20" s="13">
        <v>45849.895833333336</v>
      </c>
      <c r="B20" s="14">
        <v>-4.13</v>
      </c>
      <c r="C20" s="15">
        <v>0</v>
      </c>
      <c r="D20" s="15">
        <v>7394.61</v>
      </c>
      <c r="E20" s="15">
        <v>-0.79</v>
      </c>
      <c r="F20" s="15">
        <v>445.67</v>
      </c>
      <c r="G20" s="15">
        <v>42.96</v>
      </c>
      <c r="H20" s="15">
        <v>2.73</v>
      </c>
      <c r="I20" s="15">
        <v>579.07000000000005</v>
      </c>
      <c r="J20" s="15">
        <v>1597.28</v>
      </c>
      <c r="K20" s="15">
        <v>0.02</v>
      </c>
      <c r="L20" s="15">
        <v>0</v>
      </c>
      <c r="M20" s="16">
        <v>106.16</v>
      </c>
      <c r="N20" s="25" t="str">
        <f t="shared" si="0"/>
        <v/>
      </c>
      <c r="O20"/>
    </row>
    <row r="21" spans="1:15">
      <c r="A21" s="13">
        <v>45849.916666666664</v>
      </c>
      <c r="B21" s="14">
        <v>-3.78</v>
      </c>
      <c r="C21" s="15">
        <v>0</v>
      </c>
      <c r="D21" s="15">
        <v>7344.47</v>
      </c>
      <c r="E21" s="15">
        <v>-0.79</v>
      </c>
      <c r="F21" s="15">
        <v>437.5</v>
      </c>
      <c r="G21" s="15">
        <v>43.81</v>
      </c>
      <c r="H21" s="15">
        <v>0.04</v>
      </c>
      <c r="I21" s="15">
        <v>453.65</v>
      </c>
      <c r="J21" s="15">
        <v>1542.07</v>
      </c>
      <c r="K21" s="15">
        <v>0.02</v>
      </c>
      <c r="L21" s="15">
        <v>0</v>
      </c>
      <c r="M21" s="16">
        <v>100.01</v>
      </c>
      <c r="N21" s="25" t="str">
        <f t="shared" si="0"/>
        <v/>
      </c>
      <c r="O21"/>
    </row>
    <row r="22" spans="1:15">
      <c r="A22" s="13">
        <v>45849.9375</v>
      </c>
      <c r="B22" s="14">
        <v>-3.23</v>
      </c>
      <c r="C22" s="15">
        <v>0</v>
      </c>
      <c r="D22" s="15">
        <v>7331.12</v>
      </c>
      <c r="E22" s="15">
        <v>-0.99</v>
      </c>
      <c r="F22" s="15">
        <v>448.67</v>
      </c>
      <c r="G22" s="15">
        <v>44.19</v>
      </c>
      <c r="H22" s="15">
        <v>13.33</v>
      </c>
      <c r="I22" s="15">
        <v>419</v>
      </c>
      <c r="J22" s="15">
        <v>1524.18</v>
      </c>
      <c r="K22" s="15">
        <v>0.02</v>
      </c>
      <c r="L22" s="15">
        <v>0</v>
      </c>
      <c r="M22" s="16">
        <v>100.01</v>
      </c>
      <c r="N22" s="25" t="str">
        <f t="shared" si="0"/>
        <v/>
      </c>
      <c r="O22"/>
    </row>
    <row r="23" spans="1:15">
      <c r="A23" s="13">
        <v>45849.958333333336</v>
      </c>
      <c r="B23" s="14">
        <v>-3.47</v>
      </c>
      <c r="C23" s="15">
        <v>0</v>
      </c>
      <c r="D23" s="15">
        <v>7136.3</v>
      </c>
      <c r="E23" s="15">
        <v>-0.71</v>
      </c>
      <c r="F23" s="15">
        <v>440.5</v>
      </c>
      <c r="G23" s="15">
        <v>44.26</v>
      </c>
      <c r="H23" s="15">
        <v>8.36</v>
      </c>
      <c r="I23" s="15">
        <v>426.01</v>
      </c>
      <c r="J23" s="15">
        <v>1476.49</v>
      </c>
      <c r="K23" s="15">
        <v>0.02</v>
      </c>
      <c r="L23" s="15">
        <v>0</v>
      </c>
      <c r="M23" s="16">
        <v>100.01</v>
      </c>
      <c r="N23" s="25" t="str">
        <f t="shared" si="0"/>
        <v/>
      </c>
      <c r="O23"/>
    </row>
    <row r="24" spans="1:15">
      <c r="A24" s="13">
        <v>45849.979166666664</v>
      </c>
      <c r="B24" s="14">
        <v>-8.66</v>
      </c>
      <c r="C24" s="15">
        <v>0</v>
      </c>
      <c r="D24" s="15">
        <v>6924.32</v>
      </c>
      <c r="E24" s="15">
        <v>-1.29</v>
      </c>
      <c r="F24" s="15">
        <v>443</v>
      </c>
      <c r="G24" s="15">
        <v>43.43</v>
      </c>
      <c r="H24" s="15">
        <v>4.6500000000000004</v>
      </c>
      <c r="I24" s="15">
        <v>266.63</v>
      </c>
      <c r="J24" s="15">
        <v>1382.8</v>
      </c>
      <c r="K24" s="15">
        <v>0.02</v>
      </c>
      <c r="L24" s="15">
        <v>0</v>
      </c>
      <c r="M24" s="16">
        <v>99.24</v>
      </c>
      <c r="N24" s="25" t="str">
        <f t="shared" si="0"/>
        <v/>
      </c>
      <c r="O24"/>
    </row>
    <row r="25" spans="1:15">
      <c r="A25" s="13">
        <v>45850</v>
      </c>
      <c r="B25" s="14">
        <v>-5.73</v>
      </c>
      <c r="C25" s="15">
        <v>0</v>
      </c>
      <c r="D25" s="15">
        <v>6706.91</v>
      </c>
      <c r="E25" s="15">
        <v>-1.49</v>
      </c>
      <c r="F25" s="15">
        <v>357.83</v>
      </c>
      <c r="G25" s="15">
        <v>43.2</v>
      </c>
      <c r="H25" s="15">
        <v>5.28</v>
      </c>
      <c r="I25" s="15">
        <v>368.5</v>
      </c>
      <c r="J25" s="15">
        <v>1309.52</v>
      </c>
      <c r="K25" s="15">
        <v>0.02</v>
      </c>
      <c r="L25" s="15">
        <v>0</v>
      </c>
      <c r="M25" s="16">
        <v>88.25</v>
      </c>
      <c r="N25" s="25" t="str">
        <f t="shared" si="0"/>
        <v>12 Jul</v>
      </c>
      <c r="O25"/>
    </row>
    <row r="26" spans="1:15">
      <c r="A26" s="13">
        <v>45850.020833333336</v>
      </c>
      <c r="B26" s="14">
        <v>-2.97</v>
      </c>
      <c r="C26" s="15">
        <v>0</v>
      </c>
      <c r="D26" s="15">
        <v>6653.65</v>
      </c>
      <c r="E26" s="15">
        <v>-0.83</v>
      </c>
      <c r="F26" s="15">
        <v>300.5</v>
      </c>
      <c r="G26" s="15">
        <v>43.07</v>
      </c>
      <c r="H26" s="15">
        <v>5.2</v>
      </c>
      <c r="I26" s="15">
        <v>550.14</v>
      </c>
      <c r="J26" s="15">
        <v>1326.11</v>
      </c>
      <c r="K26" s="15">
        <v>0.02</v>
      </c>
      <c r="L26" s="15">
        <v>0</v>
      </c>
      <c r="M26" s="16">
        <v>78.92</v>
      </c>
      <c r="N26" s="25" t="str">
        <f t="shared" si="0"/>
        <v/>
      </c>
      <c r="O26"/>
    </row>
    <row r="27" spans="1:15">
      <c r="A27" s="13">
        <v>45850.041666666664</v>
      </c>
      <c r="B27" s="14">
        <v>-6.6</v>
      </c>
      <c r="C27" s="15">
        <v>0</v>
      </c>
      <c r="D27" s="15">
        <v>6514.32</v>
      </c>
      <c r="E27" s="15">
        <v>-0.99</v>
      </c>
      <c r="F27" s="15">
        <v>291.83</v>
      </c>
      <c r="G27" s="15">
        <v>43.06</v>
      </c>
      <c r="H27" s="15">
        <v>1.08</v>
      </c>
      <c r="I27" s="15">
        <v>554.45000000000005</v>
      </c>
      <c r="J27" s="15">
        <v>1360.1</v>
      </c>
      <c r="K27" s="15">
        <v>0.02</v>
      </c>
      <c r="L27" s="15">
        <v>0</v>
      </c>
      <c r="M27" s="16">
        <v>80.59</v>
      </c>
      <c r="N27" s="25" t="str">
        <f t="shared" si="0"/>
        <v/>
      </c>
      <c r="O27"/>
    </row>
    <row r="28" spans="1:15">
      <c r="A28" s="13">
        <v>45850.0625</v>
      </c>
      <c r="B28" s="14">
        <v>-6.97</v>
      </c>
      <c r="C28" s="15">
        <v>0</v>
      </c>
      <c r="D28" s="15">
        <v>6333.29</v>
      </c>
      <c r="E28" s="15">
        <v>-0.74</v>
      </c>
      <c r="F28" s="15">
        <v>194.17</v>
      </c>
      <c r="G28" s="15">
        <v>43.13</v>
      </c>
      <c r="H28" s="15">
        <v>2.64</v>
      </c>
      <c r="I28" s="15">
        <v>345.43</v>
      </c>
      <c r="J28" s="15">
        <v>1420.98</v>
      </c>
      <c r="K28" s="15">
        <v>0.02</v>
      </c>
      <c r="L28" s="15">
        <v>0</v>
      </c>
      <c r="M28" s="16">
        <v>82.29</v>
      </c>
      <c r="N28" s="25" t="str">
        <f t="shared" si="0"/>
        <v/>
      </c>
      <c r="O28"/>
    </row>
    <row r="29" spans="1:15">
      <c r="A29" s="13">
        <v>45850.083333333336</v>
      </c>
      <c r="B29" s="14">
        <v>-12.24</v>
      </c>
      <c r="C29" s="15">
        <v>0</v>
      </c>
      <c r="D29" s="15">
        <v>6183.43</v>
      </c>
      <c r="E29" s="15">
        <v>-0.75</v>
      </c>
      <c r="F29" s="15">
        <v>190</v>
      </c>
      <c r="G29" s="15">
        <v>43.12</v>
      </c>
      <c r="H29" s="15">
        <v>3.17</v>
      </c>
      <c r="I29" s="15">
        <v>245.01</v>
      </c>
      <c r="J29" s="15">
        <v>1340.77</v>
      </c>
      <c r="K29" s="15">
        <v>0.02</v>
      </c>
      <c r="L29" s="15">
        <v>0</v>
      </c>
      <c r="M29" s="16">
        <v>80.709999999999994</v>
      </c>
      <c r="N29" s="25" t="str">
        <f t="shared" si="0"/>
        <v/>
      </c>
      <c r="O29"/>
    </row>
    <row r="30" spans="1:15">
      <c r="A30" s="13">
        <v>45850.104166666664</v>
      </c>
      <c r="B30" s="14">
        <v>-38.869999999999997</v>
      </c>
      <c r="C30" s="15">
        <v>0</v>
      </c>
      <c r="D30" s="15">
        <v>6012.58</v>
      </c>
      <c r="E30" s="15">
        <v>-0.76</v>
      </c>
      <c r="F30" s="15">
        <v>190</v>
      </c>
      <c r="G30" s="15">
        <v>43.23</v>
      </c>
      <c r="H30" s="15">
        <v>2.41</v>
      </c>
      <c r="I30" s="15">
        <v>268.77</v>
      </c>
      <c r="J30" s="15">
        <v>1443.86</v>
      </c>
      <c r="K30" s="15">
        <v>0.02</v>
      </c>
      <c r="L30" s="15">
        <v>0</v>
      </c>
      <c r="M30" s="16">
        <v>84.85</v>
      </c>
      <c r="N30" s="25" t="str">
        <f t="shared" si="0"/>
        <v/>
      </c>
      <c r="O30"/>
    </row>
    <row r="31" spans="1:15">
      <c r="A31" s="13">
        <v>45850.125</v>
      </c>
      <c r="B31" s="14">
        <v>-43.54</v>
      </c>
      <c r="C31" s="15">
        <v>0</v>
      </c>
      <c r="D31" s="15">
        <v>5886.86</v>
      </c>
      <c r="E31" s="15">
        <v>-0.85</v>
      </c>
      <c r="F31" s="15">
        <v>190</v>
      </c>
      <c r="G31" s="15">
        <v>43.27</v>
      </c>
      <c r="H31" s="15">
        <v>2.5499999999999998</v>
      </c>
      <c r="I31" s="15">
        <v>154.43</v>
      </c>
      <c r="J31" s="15">
        <v>1499.18</v>
      </c>
      <c r="K31" s="15">
        <v>0.02</v>
      </c>
      <c r="L31" s="15">
        <v>0</v>
      </c>
      <c r="M31" s="16">
        <v>79.08</v>
      </c>
      <c r="N31" s="25" t="str">
        <f t="shared" si="0"/>
        <v/>
      </c>
      <c r="O31"/>
    </row>
    <row r="32" spans="1:15">
      <c r="A32" s="13">
        <v>45850.145833333336</v>
      </c>
      <c r="B32" s="14">
        <v>-51.93</v>
      </c>
      <c r="C32" s="15">
        <v>0</v>
      </c>
      <c r="D32" s="15">
        <v>5576.23</v>
      </c>
      <c r="E32" s="15">
        <v>-0.73</v>
      </c>
      <c r="F32" s="15">
        <v>190</v>
      </c>
      <c r="G32" s="15">
        <v>43.26</v>
      </c>
      <c r="H32" s="15">
        <v>0</v>
      </c>
      <c r="I32" s="15">
        <v>146.91999999999999</v>
      </c>
      <c r="J32" s="15">
        <v>1488.17</v>
      </c>
      <c r="K32" s="15">
        <v>0.02</v>
      </c>
      <c r="L32" s="15">
        <v>0</v>
      </c>
      <c r="M32" s="16">
        <v>84.85</v>
      </c>
      <c r="N32" s="25" t="str">
        <f t="shared" si="0"/>
        <v/>
      </c>
      <c r="O32"/>
    </row>
    <row r="33" spans="1:23">
      <c r="A33" s="13">
        <v>45850.166666666664</v>
      </c>
      <c r="B33" s="14">
        <v>-30.81</v>
      </c>
      <c r="C33" s="15">
        <v>0</v>
      </c>
      <c r="D33" s="15">
        <v>5208.9399999999996</v>
      </c>
      <c r="E33" s="15">
        <v>-1.29</v>
      </c>
      <c r="F33" s="15">
        <v>199</v>
      </c>
      <c r="G33" s="15">
        <v>43.36</v>
      </c>
      <c r="H33" s="15">
        <v>0.73</v>
      </c>
      <c r="I33" s="15">
        <v>151.85</v>
      </c>
      <c r="J33" s="15">
        <v>1509.53</v>
      </c>
      <c r="K33" s="15">
        <v>0.02</v>
      </c>
      <c r="L33" s="15">
        <v>0</v>
      </c>
      <c r="M33" s="16">
        <v>84.85</v>
      </c>
      <c r="N33" s="25" t="str">
        <f t="shared" si="0"/>
        <v/>
      </c>
      <c r="O33"/>
      <c r="W33" s="6"/>
    </row>
    <row r="34" spans="1:23">
      <c r="A34" s="13">
        <v>45850.1875</v>
      </c>
      <c r="B34" s="14">
        <v>-3.04</v>
      </c>
      <c r="C34" s="15">
        <v>0</v>
      </c>
      <c r="D34" s="15">
        <v>4885.05</v>
      </c>
      <c r="E34" s="15">
        <v>-0.95</v>
      </c>
      <c r="F34" s="15">
        <v>208.33</v>
      </c>
      <c r="G34" s="15">
        <v>43.29</v>
      </c>
      <c r="H34" s="15">
        <v>1.2</v>
      </c>
      <c r="I34" s="15">
        <v>161.01</v>
      </c>
      <c r="J34" s="15">
        <v>1425.83</v>
      </c>
      <c r="K34" s="15">
        <v>0.02</v>
      </c>
      <c r="L34" s="15">
        <v>0</v>
      </c>
      <c r="M34" s="16">
        <v>85.11</v>
      </c>
      <c r="N34" s="25" t="str">
        <f t="shared" si="0"/>
        <v/>
      </c>
      <c r="O34"/>
    </row>
    <row r="35" spans="1:23">
      <c r="A35" s="13">
        <v>45850.208333333336</v>
      </c>
      <c r="B35" s="14">
        <v>-3.4</v>
      </c>
      <c r="C35" s="15">
        <v>0</v>
      </c>
      <c r="D35" s="15">
        <v>4551.1000000000004</v>
      </c>
      <c r="E35" s="15">
        <v>-0.84</v>
      </c>
      <c r="F35" s="15">
        <v>258.33</v>
      </c>
      <c r="G35" s="15">
        <v>43.34</v>
      </c>
      <c r="H35" s="15">
        <v>5.23</v>
      </c>
      <c r="I35" s="15">
        <v>165.47</v>
      </c>
      <c r="J35" s="15">
        <v>1482.43</v>
      </c>
      <c r="K35" s="15">
        <v>0.02</v>
      </c>
      <c r="L35" s="15">
        <v>0</v>
      </c>
      <c r="M35" s="16">
        <v>84.85</v>
      </c>
      <c r="N35" s="25" t="str">
        <f t="shared" si="0"/>
        <v/>
      </c>
      <c r="O35"/>
    </row>
    <row r="36" spans="1:23">
      <c r="A36" s="13">
        <v>45850.229166666664</v>
      </c>
      <c r="B36" s="14">
        <v>-3.83</v>
      </c>
      <c r="C36" s="15">
        <v>0</v>
      </c>
      <c r="D36" s="15">
        <v>4439.37</v>
      </c>
      <c r="E36" s="15">
        <v>-1.22</v>
      </c>
      <c r="F36" s="15">
        <v>308</v>
      </c>
      <c r="G36" s="15">
        <v>188.84</v>
      </c>
      <c r="H36" s="15">
        <v>5.26</v>
      </c>
      <c r="I36" s="15">
        <v>246.49</v>
      </c>
      <c r="J36" s="15">
        <v>1371.53</v>
      </c>
      <c r="K36" s="15">
        <v>0.02</v>
      </c>
      <c r="L36" s="15">
        <v>0</v>
      </c>
      <c r="M36" s="16">
        <v>91.72</v>
      </c>
      <c r="N36" s="25" t="str">
        <f t="shared" si="0"/>
        <v/>
      </c>
      <c r="O36"/>
    </row>
    <row r="37" spans="1:23">
      <c r="A37" s="13">
        <v>45850.25</v>
      </c>
      <c r="B37" s="14">
        <v>-2.94</v>
      </c>
      <c r="C37" s="15">
        <v>0</v>
      </c>
      <c r="D37" s="15">
        <v>4467.91</v>
      </c>
      <c r="E37" s="15">
        <v>-1.65</v>
      </c>
      <c r="F37" s="15">
        <v>442.17</v>
      </c>
      <c r="G37" s="15">
        <v>276.87</v>
      </c>
      <c r="H37" s="15">
        <v>7.77</v>
      </c>
      <c r="I37" s="15">
        <v>455.65</v>
      </c>
      <c r="J37" s="15">
        <v>1262.98</v>
      </c>
      <c r="K37" s="15">
        <v>0.02</v>
      </c>
      <c r="L37" s="15">
        <v>0</v>
      </c>
      <c r="M37" s="16">
        <v>96.72</v>
      </c>
      <c r="N37" s="25" t="str">
        <f t="shared" si="0"/>
        <v/>
      </c>
      <c r="O37"/>
    </row>
    <row r="38" spans="1:23">
      <c r="A38" s="13">
        <v>45850.270833333336</v>
      </c>
      <c r="B38" s="14">
        <v>-4.3</v>
      </c>
      <c r="C38" s="15">
        <v>0</v>
      </c>
      <c r="D38" s="15">
        <v>4683.13</v>
      </c>
      <c r="E38" s="15">
        <v>-0.77</v>
      </c>
      <c r="F38" s="15">
        <v>444.67</v>
      </c>
      <c r="G38" s="15">
        <v>366.33</v>
      </c>
      <c r="H38" s="15">
        <v>113.87</v>
      </c>
      <c r="I38" s="15">
        <v>576.05999999999995</v>
      </c>
      <c r="J38" s="15">
        <v>1211.46</v>
      </c>
      <c r="K38" s="15">
        <v>0.02</v>
      </c>
      <c r="L38" s="15">
        <v>0.12</v>
      </c>
      <c r="M38" s="16">
        <v>108.08</v>
      </c>
      <c r="N38" s="25" t="str">
        <f t="shared" si="0"/>
        <v/>
      </c>
      <c r="O38"/>
    </row>
    <row r="39" spans="1:23">
      <c r="A39" s="13">
        <v>45850.291666666664</v>
      </c>
      <c r="B39" s="14">
        <v>-3.38</v>
      </c>
      <c r="C39" s="15">
        <v>0</v>
      </c>
      <c r="D39" s="15">
        <v>4935.49</v>
      </c>
      <c r="E39" s="15">
        <v>-0.84</v>
      </c>
      <c r="F39" s="15">
        <v>445.83</v>
      </c>
      <c r="G39" s="15">
        <v>398.12</v>
      </c>
      <c r="H39" s="15">
        <v>144.33000000000001</v>
      </c>
      <c r="I39" s="15">
        <v>649.33000000000004</v>
      </c>
      <c r="J39" s="15">
        <v>1196.57</v>
      </c>
      <c r="K39" s="15">
        <v>3.98</v>
      </c>
      <c r="L39" s="15">
        <v>7.55</v>
      </c>
      <c r="M39" s="16">
        <v>138.79</v>
      </c>
      <c r="N39" s="25" t="str">
        <f t="shared" si="0"/>
        <v/>
      </c>
      <c r="O39"/>
    </row>
    <row r="40" spans="1:23">
      <c r="A40" s="13">
        <v>45850.3125</v>
      </c>
      <c r="B40" s="14">
        <v>-3.76</v>
      </c>
      <c r="C40" s="15">
        <v>0</v>
      </c>
      <c r="D40" s="15">
        <v>5117.78</v>
      </c>
      <c r="E40" s="15">
        <v>-0.57999999999999996</v>
      </c>
      <c r="F40" s="15">
        <v>444.83</v>
      </c>
      <c r="G40" s="15">
        <v>470.75</v>
      </c>
      <c r="H40" s="15">
        <v>142.56</v>
      </c>
      <c r="I40" s="15">
        <v>674.62</v>
      </c>
      <c r="J40" s="15">
        <v>1088.75</v>
      </c>
      <c r="K40" s="15">
        <v>106.34</v>
      </c>
      <c r="L40" s="15">
        <v>90.41</v>
      </c>
      <c r="M40" s="16">
        <v>144.01</v>
      </c>
      <c r="N40" s="25" t="str">
        <f t="shared" si="0"/>
        <v/>
      </c>
      <c r="O40"/>
    </row>
    <row r="41" spans="1:23">
      <c r="A41" s="13">
        <v>45850.333333333336</v>
      </c>
      <c r="B41" s="14">
        <v>-4.1900000000000004</v>
      </c>
      <c r="C41" s="15">
        <v>0</v>
      </c>
      <c r="D41" s="15">
        <v>5303.66</v>
      </c>
      <c r="E41" s="15">
        <v>-0.16</v>
      </c>
      <c r="F41" s="15">
        <v>443.83</v>
      </c>
      <c r="G41" s="15">
        <v>526.64</v>
      </c>
      <c r="H41" s="15">
        <v>58.45</v>
      </c>
      <c r="I41" s="15">
        <v>649.25</v>
      </c>
      <c r="J41" s="15">
        <v>1027.05</v>
      </c>
      <c r="K41" s="15">
        <v>454.44</v>
      </c>
      <c r="L41" s="15">
        <v>375.8</v>
      </c>
      <c r="M41" s="16">
        <v>178</v>
      </c>
      <c r="N41" s="25" t="str">
        <f t="shared" si="0"/>
        <v/>
      </c>
      <c r="O41"/>
    </row>
    <row r="42" spans="1:23">
      <c r="A42" s="13">
        <v>45850.354166666664</v>
      </c>
      <c r="B42" s="14">
        <v>-9.08</v>
      </c>
      <c r="C42" s="15">
        <v>0</v>
      </c>
      <c r="D42" s="15">
        <v>5316.74</v>
      </c>
      <c r="E42" s="15">
        <v>-0.73</v>
      </c>
      <c r="F42" s="15">
        <v>429.67</v>
      </c>
      <c r="G42" s="15">
        <v>443.49</v>
      </c>
      <c r="H42" s="15">
        <v>21.3</v>
      </c>
      <c r="I42" s="15">
        <v>506.13</v>
      </c>
      <c r="J42" s="15">
        <v>922.26</v>
      </c>
      <c r="K42" s="15">
        <v>982.56</v>
      </c>
      <c r="L42" s="15">
        <v>830.33</v>
      </c>
      <c r="M42" s="16">
        <v>127.56</v>
      </c>
      <c r="N42" s="25" t="str">
        <f t="shared" si="0"/>
        <v/>
      </c>
      <c r="O42"/>
    </row>
    <row r="43" spans="1:23">
      <c r="A43" s="13">
        <v>45850.375</v>
      </c>
      <c r="B43" s="14">
        <v>-10</v>
      </c>
      <c r="C43" s="15">
        <v>0</v>
      </c>
      <c r="D43" s="15">
        <v>4978.33</v>
      </c>
      <c r="E43" s="15">
        <v>-0.99</v>
      </c>
      <c r="F43" s="15">
        <v>240</v>
      </c>
      <c r="G43" s="15">
        <v>272.06</v>
      </c>
      <c r="H43" s="15">
        <v>2.87</v>
      </c>
      <c r="I43" s="15">
        <v>251.97</v>
      </c>
      <c r="J43" s="15">
        <v>928.76</v>
      </c>
      <c r="K43" s="15">
        <v>1604.72</v>
      </c>
      <c r="L43" s="15">
        <v>1368.94</v>
      </c>
      <c r="M43" s="16">
        <v>100.01</v>
      </c>
      <c r="N43" s="25" t="str">
        <f t="shared" si="0"/>
        <v/>
      </c>
      <c r="O43"/>
    </row>
    <row r="44" spans="1:23">
      <c r="A44" s="13">
        <v>45850.395833333336</v>
      </c>
      <c r="B44" s="14">
        <v>-8.0299999999999994</v>
      </c>
      <c r="C44" s="15">
        <v>0</v>
      </c>
      <c r="D44" s="15">
        <v>4610.5200000000004</v>
      </c>
      <c r="E44" s="15">
        <v>-1.86</v>
      </c>
      <c r="F44" s="15">
        <v>6.33</v>
      </c>
      <c r="G44" s="15">
        <v>138.19999999999999</v>
      </c>
      <c r="H44" s="15">
        <v>14.61</v>
      </c>
      <c r="I44" s="15">
        <v>162.88</v>
      </c>
      <c r="J44" s="15">
        <v>954.13</v>
      </c>
      <c r="K44" s="15">
        <v>1895.65</v>
      </c>
      <c r="L44" s="15">
        <v>1912.81</v>
      </c>
      <c r="M44" s="16">
        <v>100.01</v>
      </c>
      <c r="N44" s="25" t="str">
        <f t="shared" si="0"/>
        <v/>
      </c>
      <c r="O44"/>
    </row>
    <row r="45" spans="1:23">
      <c r="A45" s="13">
        <v>45850.416666666664</v>
      </c>
      <c r="B45" s="14">
        <v>-106.11</v>
      </c>
      <c r="C45" s="15">
        <v>0</v>
      </c>
      <c r="D45" s="15">
        <v>4159.3</v>
      </c>
      <c r="E45" s="15">
        <v>-4.28</v>
      </c>
      <c r="F45" s="15">
        <v>0</v>
      </c>
      <c r="G45" s="15">
        <v>44.13</v>
      </c>
      <c r="H45" s="15">
        <v>4.43</v>
      </c>
      <c r="I45" s="15">
        <v>22.68</v>
      </c>
      <c r="J45" s="15">
        <v>950.09</v>
      </c>
      <c r="K45" s="15">
        <v>2152.4499999999998</v>
      </c>
      <c r="L45" s="15">
        <v>2415.17</v>
      </c>
      <c r="M45" s="16">
        <v>84.85</v>
      </c>
      <c r="N45" s="25" t="str">
        <f t="shared" si="0"/>
        <v/>
      </c>
      <c r="O45"/>
    </row>
    <row r="46" spans="1:23">
      <c r="A46" s="13">
        <v>45850.4375</v>
      </c>
      <c r="B46" s="14">
        <v>-201.76</v>
      </c>
      <c r="C46" s="15">
        <v>0</v>
      </c>
      <c r="D46" s="15">
        <v>3605.46</v>
      </c>
      <c r="E46" s="15">
        <v>-5.28</v>
      </c>
      <c r="F46" s="15">
        <v>0</v>
      </c>
      <c r="G46" s="15">
        <v>41.45</v>
      </c>
      <c r="H46" s="15">
        <v>0.02</v>
      </c>
      <c r="I46" s="15">
        <v>0</v>
      </c>
      <c r="J46" s="15">
        <v>940.09</v>
      </c>
      <c r="K46" s="15">
        <v>2357.34</v>
      </c>
      <c r="L46" s="15">
        <v>2838.32</v>
      </c>
      <c r="M46" s="16">
        <v>8.01</v>
      </c>
      <c r="N46" s="25" t="str">
        <f t="shared" si="0"/>
        <v/>
      </c>
      <c r="O46"/>
    </row>
    <row r="47" spans="1:23">
      <c r="A47" s="13">
        <v>45850.458333333336</v>
      </c>
      <c r="B47" s="14">
        <v>-318.83</v>
      </c>
      <c r="C47" s="15">
        <v>-83.29</v>
      </c>
      <c r="D47" s="15">
        <v>3174.08</v>
      </c>
      <c r="E47" s="15">
        <v>-2.37</v>
      </c>
      <c r="F47" s="15">
        <v>0</v>
      </c>
      <c r="G47" s="15">
        <v>45.3</v>
      </c>
      <c r="H47" s="15">
        <v>0</v>
      </c>
      <c r="I47" s="15">
        <v>0</v>
      </c>
      <c r="J47" s="15">
        <v>934</v>
      </c>
      <c r="K47" s="15">
        <v>2465.61</v>
      </c>
      <c r="L47" s="15">
        <v>3144.54</v>
      </c>
      <c r="M47" s="16">
        <v>5</v>
      </c>
      <c r="N47" s="25" t="str">
        <f t="shared" si="0"/>
        <v/>
      </c>
      <c r="O47"/>
    </row>
    <row r="48" spans="1:23">
      <c r="A48" s="13">
        <v>45850.479166666664</v>
      </c>
      <c r="B48" s="14">
        <v>-358.97</v>
      </c>
      <c r="C48" s="15">
        <v>-285.31</v>
      </c>
      <c r="D48" s="15">
        <v>3001.72</v>
      </c>
      <c r="E48" s="15">
        <v>1.53</v>
      </c>
      <c r="F48" s="15">
        <v>0</v>
      </c>
      <c r="G48" s="15">
        <v>44.94</v>
      </c>
      <c r="H48" s="15">
        <v>0.54</v>
      </c>
      <c r="I48" s="15">
        <v>0</v>
      </c>
      <c r="J48" s="15">
        <v>990.65</v>
      </c>
      <c r="K48" s="15">
        <v>2647.82</v>
      </c>
      <c r="L48" s="15">
        <v>3349.84</v>
      </c>
      <c r="M48" s="16">
        <v>-8.9499999999999993</v>
      </c>
      <c r="N48" s="25" t="str">
        <f t="shared" si="0"/>
        <v/>
      </c>
      <c r="O48"/>
    </row>
    <row r="49" spans="1:15">
      <c r="A49" s="13">
        <v>45850.5</v>
      </c>
      <c r="B49" s="14">
        <v>-405.98</v>
      </c>
      <c r="C49" s="15">
        <v>-481.08</v>
      </c>
      <c r="D49" s="15">
        <v>2956.86</v>
      </c>
      <c r="E49" s="15">
        <v>1.76</v>
      </c>
      <c r="F49" s="15">
        <v>0</v>
      </c>
      <c r="G49" s="15">
        <v>44.95</v>
      </c>
      <c r="H49" s="15">
        <v>0.08</v>
      </c>
      <c r="I49" s="15">
        <v>0</v>
      </c>
      <c r="J49" s="15">
        <v>997.2</v>
      </c>
      <c r="K49" s="15">
        <v>2598.02</v>
      </c>
      <c r="L49" s="15">
        <v>3470.55</v>
      </c>
      <c r="M49" s="16">
        <v>-14.01</v>
      </c>
      <c r="N49" s="25" t="str">
        <f t="shared" si="0"/>
        <v/>
      </c>
      <c r="O49"/>
    </row>
    <row r="50" spans="1:15">
      <c r="A50" s="13">
        <v>45850.520833333336</v>
      </c>
      <c r="B50" s="14">
        <v>-345.19</v>
      </c>
      <c r="C50" s="15">
        <v>-658.89</v>
      </c>
      <c r="D50" s="15">
        <v>2976.78</v>
      </c>
      <c r="E50" s="15">
        <v>2.52</v>
      </c>
      <c r="F50" s="15">
        <v>0</v>
      </c>
      <c r="G50" s="15">
        <v>44.78</v>
      </c>
      <c r="H50" s="15">
        <v>0.92</v>
      </c>
      <c r="I50" s="15">
        <v>0</v>
      </c>
      <c r="J50" s="15">
        <v>942.36</v>
      </c>
      <c r="K50" s="15">
        <v>2420.1799999999998</v>
      </c>
      <c r="L50" s="15">
        <v>3475.53</v>
      </c>
      <c r="M50" s="16">
        <v>-22.01</v>
      </c>
      <c r="N50" s="25" t="str">
        <f t="shared" si="0"/>
        <v/>
      </c>
      <c r="O50"/>
    </row>
    <row r="51" spans="1:15">
      <c r="A51" s="13">
        <v>45850.541666666664</v>
      </c>
      <c r="B51" s="14">
        <v>-267.83999999999997</v>
      </c>
      <c r="C51" s="15">
        <v>-660.31</v>
      </c>
      <c r="D51" s="15">
        <v>2954.66</v>
      </c>
      <c r="E51" s="15">
        <v>8.02</v>
      </c>
      <c r="F51" s="15">
        <v>0</v>
      </c>
      <c r="G51" s="15">
        <v>44.91</v>
      </c>
      <c r="H51" s="15">
        <v>1.02</v>
      </c>
      <c r="I51" s="15">
        <v>0</v>
      </c>
      <c r="J51" s="15">
        <v>897.81</v>
      </c>
      <c r="K51" s="15">
        <v>2357.1799999999998</v>
      </c>
      <c r="L51" s="15">
        <v>3343.25</v>
      </c>
      <c r="M51" s="16">
        <v>-18</v>
      </c>
      <c r="N51" s="25" t="str">
        <f t="shared" si="0"/>
        <v/>
      </c>
      <c r="O51"/>
    </row>
    <row r="52" spans="1:15">
      <c r="A52" s="13">
        <v>45850.5625</v>
      </c>
      <c r="B52" s="14">
        <v>-223.94</v>
      </c>
      <c r="C52" s="15">
        <v>-659.22</v>
      </c>
      <c r="D52" s="15">
        <v>2922.89</v>
      </c>
      <c r="E52" s="15">
        <v>8.64</v>
      </c>
      <c r="F52" s="15">
        <v>0</v>
      </c>
      <c r="G52" s="15">
        <v>38.96</v>
      </c>
      <c r="H52" s="15">
        <v>1.95</v>
      </c>
      <c r="I52" s="15">
        <v>0</v>
      </c>
      <c r="J52" s="15">
        <v>937.44</v>
      </c>
      <c r="K52" s="15">
        <v>2451.46</v>
      </c>
      <c r="L52" s="15">
        <v>3122.3</v>
      </c>
      <c r="M52" s="16">
        <v>-14.01</v>
      </c>
      <c r="N52" s="25" t="str">
        <f t="shared" si="0"/>
        <v/>
      </c>
      <c r="O52"/>
    </row>
    <row r="53" spans="1:15">
      <c r="A53" s="13">
        <v>45850.583333333336</v>
      </c>
      <c r="B53" s="14">
        <v>-91.91</v>
      </c>
      <c r="C53" s="15">
        <v>-659.99</v>
      </c>
      <c r="D53" s="15">
        <v>2930.97</v>
      </c>
      <c r="E53" s="15">
        <v>9.1</v>
      </c>
      <c r="F53" s="15">
        <v>0</v>
      </c>
      <c r="G53" s="15">
        <v>37.880000000000003</v>
      </c>
      <c r="H53" s="15">
        <v>2.19</v>
      </c>
      <c r="I53" s="15">
        <v>0</v>
      </c>
      <c r="J53" s="15">
        <v>886.17</v>
      </c>
      <c r="K53" s="15">
        <v>2589.39</v>
      </c>
      <c r="L53" s="15">
        <v>2872.62</v>
      </c>
      <c r="M53" s="16">
        <v>-14.01</v>
      </c>
      <c r="N53" s="25" t="str">
        <f t="shared" si="0"/>
        <v/>
      </c>
      <c r="O53"/>
    </row>
    <row r="54" spans="1:15">
      <c r="A54" s="13">
        <v>45850.604166666664</v>
      </c>
      <c r="B54" s="14">
        <v>-23.34</v>
      </c>
      <c r="C54" s="15">
        <v>-659.91</v>
      </c>
      <c r="D54" s="15">
        <v>2953.08</v>
      </c>
      <c r="E54" s="15">
        <v>8.36</v>
      </c>
      <c r="F54" s="15">
        <v>0</v>
      </c>
      <c r="G54" s="15">
        <v>37.840000000000003</v>
      </c>
      <c r="H54" s="15">
        <v>3.43</v>
      </c>
      <c r="I54" s="15">
        <v>0</v>
      </c>
      <c r="J54" s="15">
        <v>882.42</v>
      </c>
      <c r="K54" s="15">
        <v>2642.71</v>
      </c>
      <c r="L54" s="15">
        <v>2499.4299999999998</v>
      </c>
      <c r="M54" s="16">
        <v>-8.91</v>
      </c>
      <c r="N54" s="25" t="str">
        <f t="shared" si="0"/>
        <v/>
      </c>
      <c r="O54"/>
    </row>
    <row r="55" spans="1:15">
      <c r="A55" s="13">
        <v>45850.625</v>
      </c>
      <c r="B55" s="14">
        <v>-5.71</v>
      </c>
      <c r="C55" s="15">
        <v>-628.64</v>
      </c>
      <c r="D55" s="15">
        <v>3081.65</v>
      </c>
      <c r="E55" s="15">
        <v>8.32</v>
      </c>
      <c r="F55" s="15">
        <v>2</v>
      </c>
      <c r="G55" s="15">
        <v>37.83</v>
      </c>
      <c r="H55" s="15">
        <v>7.54</v>
      </c>
      <c r="I55" s="15">
        <v>0</v>
      </c>
      <c r="J55" s="15">
        <v>948.74</v>
      </c>
      <c r="K55" s="15">
        <v>2595.16</v>
      </c>
      <c r="L55" s="15">
        <v>2089.39</v>
      </c>
      <c r="M55" s="16">
        <v>9.06</v>
      </c>
      <c r="N55" s="25" t="str">
        <f t="shared" si="0"/>
        <v/>
      </c>
      <c r="O55"/>
    </row>
    <row r="56" spans="1:15">
      <c r="A56" s="13">
        <v>45850.645833333336</v>
      </c>
      <c r="B56" s="14">
        <v>-10.58</v>
      </c>
      <c r="C56" s="15">
        <v>-304.86</v>
      </c>
      <c r="D56" s="15">
        <v>3254.49</v>
      </c>
      <c r="E56" s="15">
        <v>9.65</v>
      </c>
      <c r="F56" s="15">
        <v>131</v>
      </c>
      <c r="G56" s="15">
        <v>37.880000000000003</v>
      </c>
      <c r="H56" s="15">
        <v>7.59</v>
      </c>
      <c r="I56" s="15">
        <v>0</v>
      </c>
      <c r="J56" s="15">
        <v>972.05</v>
      </c>
      <c r="K56" s="15">
        <v>2346.75</v>
      </c>
      <c r="L56" s="15">
        <v>1577.29</v>
      </c>
      <c r="M56" s="16">
        <v>35.880000000000003</v>
      </c>
      <c r="N56" s="25" t="str">
        <f t="shared" si="0"/>
        <v/>
      </c>
      <c r="O56"/>
    </row>
    <row r="57" spans="1:15">
      <c r="A57" s="13">
        <v>45850.666666666664</v>
      </c>
      <c r="B57" s="14">
        <v>-3.08</v>
      </c>
      <c r="C57" s="15">
        <v>-67.099999999999994</v>
      </c>
      <c r="D57" s="15">
        <v>3737.21</v>
      </c>
      <c r="E57" s="15">
        <v>5.32</v>
      </c>
      <c r="F57" s="15">
        <v>264.5</v>
      </c>
      <c r="G57" s="15">
        <v>42.68</v>
      </c>
      <c r="H57" s="15">
        <v>9.9700000000000006</v>
      </c>
      <c r="I57" s="15">
        <v>0</v>
      </c>
      <c r="J57" s="15">
        <v>928.08</v>
      </c>
      <c r="K57" s="15">
        <v>1809.05</v>
      </c>
      <c r="L57" s="15">
        <v>1015.1</v>
      </c>
      <c r="M57" s="16">
        <v>51.95</v>
      </c>
      <c r="N57" s="25" t="str">
        <f t="shared" si="0"/>
        <v/>
      </c>
      <c r="O57"/>
    </row>
    <row r="58" spans="1:15">
      <c r="A58" s="13">
        <v>45850.6875</v>
      </c>
      <c r="B58" s="14">
        <v>-2</v>
      </c>
      <c r="C58" s="15">
        <v>0</v>
      </c>
      <c r="D58" s="15">
        <v>4544.6099999999997</v>
      </c>
      <c r="E58" s="15">
        <v>1.41</v>
      </c>
      <c r="F58" s="15">
        <v>399.67</v>
      </c>
      <c r="G58" s="15">
        <v>45.07</v>
      </c>
      <c r="H58" s="15">
        <v>229.5</v>
      </c>
      <c r="I58" s="15">
        <v>148.13</v>
      </c>
      <c r="J58" s="15">
        <v>936.68</v>
      </c>
      <c r="K58" s="15">
        <v>1029.74</v>
      </c>
      <c r="L58" s="15">
        <v>498.78</v>
      </c>
      <c r="M58" s="16">
        <v>140.01</v>
      </c>
      <c r="N58" s="25" t="str">
        <f t="shared" si="0"/>
        <v/>
      </c>
      <c r="O58"/>
    </row>
    <row r="59" spans="1:15">
      <c r="A59" s="13">
        <v>45850.708333333336</v>
      </c>
      <c r="B59" s="14">
        <v>-1.59</v>
      </c>
      <c r="C59" s="15">
        <v>0</v>
      </c>
      <c r="D59" s="15">
        <v>5435.55</v>
      </c>
      <c r="E59" s="15">
        <v>-1.76</v>
      </c>
      <c r="F59" s="15">
        <v>270.83</v>
      </c>
      <c r="G59" s="15">
        <v>121.89</v>
      </c>
      <c r="H59" s="15">
        <v>393.4</v>
      </c>
      <c r="I59" s="15">
        <v>671.58</v>
      </c>
      <c r="J59" s="15">
        <v>842.16</v>
      </c>
      <c r="K59" s="15">
        <v>250.07</v>
      </c>
      <c r="L59" s="15">
        <v>139.47</v>
      </c>
      <c r="M59" s="16">
        <v>191.18</v>
      </c>
      <c r="N59" s="25" t="str">
        <f t="shared" si="0"/>
        <v/>
      </c>
      <c r="O59"/>
    </row>
    <row r="60" spans="1:15">
      <c r="A60" s="13">
        <v>45850.729166666664</v>
      </c>
      <c r="B60" s="14">
        <v>-1.51</v>
      </c>
      <c r="C60" s="15">
        <v>0</v>
      </c>
      <c r="D60" s="15">
        <v>6348.36</v>
      </c>
      <c r="E60" s="15">
        <v>-1.57</v>
      </c>
      <c r="F60" s="15">
        <v>4</v>
      </c>
      <c r="G60" s="15">
        <v>512.5</v>
      </c>
      <c r="H60" s="15">
        <v>444.85</v>
      </c>
      <c r="I60" s="15">
        <v>900.46</v>
      </c>
      <c r="J60" s="15">
        <v>849.72</v>
      </c>
      <c r="K60" s="15">
        <v>9.92</v>
      </c>
      <c r="L60" s="15">
        <v>15.39</v>
      </c>
      <c r="M60" s="16">
        <v>186.38</v>
      </c>
      <c r="N60" s="25" t="str">
        <f t="shared" si="0"/>
        <v/>
      </c>
      <c r="O60"/>
    </row>
    <row r="61" spans="1:15">
      <c r="A61" s="13">
        <v>45850.75</v>
      </c>
      <c r="B61" s="14">
        <v>-2.0099999999999998</v>
      </c>
      <c r="C61" s="15">
        <v>0</v>
      </c>
      <c r="D61" s="15">
        <v>6998.02</v>
      </c>
      <c r="E61" s="15">
        <v>-1.22</v>
      </c>
      <c r="F61" s="15">
        <v>26.63</v>
      </c>
      <c r="G61" s="15">
        <v>570.39</v>
      </c>
      <c r="H61" s="15">
        <v>379.29</v>
      </c>
      <c r="I61" s="15">
        <v>921.21</v>
      </c>
      <c r="J61" s="15">
        <v>918.11</v>
      </c>
      <c r="K61" s="15">
        <v>0.05</v>
      </c>
      <c r="L61" s="15">
        <v>0.17</v>
      </c>
      <c r="M61" s="16">
        <v>299.99</v>
      </c>
      <c r="N61" s="25" t="str">
        <f t="shared" si="0"/>
        <v/>
      </c>
      <c r="O61"/>
    </row>
    <row r="62" spans="1:15">
      <c r="A62" s="13">
        <v>45850.770833333336</v>
      </c>
      <c r="B62" s="14">
        <v>-2.0299999999999998</v>
      </c>
      <c r="C62" s="15">
        <v>0</v>
      </c>
      <c r="D62" s="15">
        <v>7255.17</v>
      </c>
      <c r="E62" s="15">
        <v>-0.99</v>
      </c>
      <c r="F62" s="15">
        <v>26.56</v>
      </c>
      <c r="G62" s="15">
        <v>581.52</v>
      </c>
      <c r="H62" s="15">
        <v>293.07</v>
      </c>
      <c r="I62" s="15">
        <v>877.88</v>
      </c>
      <c r="J62" s="15">
        <v>892.72</v>
      </c>
      <c r="K62" s="15">
        <v>0.05</v>
      </c>
      <c r="L62" s="15">
        <v>0</v>
      </c>
      <c r="M62" s="16">
        <v>147.96</v>
      </c>
      <c r="N62" s="25" t="str">
        <f t="shared" si="0"/>
        <v/>
      </c>
      <c r="O62"/>
    </row>
    <row r="63" spans="1:15">
      <c r="A63" s="13">
        <v>45850.791666666664</v>
      </c>
      <c r="B63" s="14">
        <v>-2.5</v>
      </c>
      <c r="C63" s="15">
        <v>0</v>
      </c>
      <c r="D63" s="15">
        <v>7304.28</v>
      </c>
      <c r="E63" s="15">
        <v>-0.62</v>
      </c>
      <c r="F63" s="15">
        <v>0</v>
      </c>
      <c r="G63" s="15">
        <v>659.66</v>
      </c>
      <c r="H63" s="15">
        <v>168.81</v>
      </c>
      <c r="I63" s="15">
        <v>845.9</v>
      </c>
      <c r="J63" s="15">
        <v>834.08</v>
      </c>
      <c r="K63" s="15">
        <v>0.05</v>
      </c>
      <c r="L63" s="15">
        <v>0</v>
      </c>
      <c r="M63" s="16">
        <v>252.64</v>
      </c>
      <c r="N63" s="25" t="str">
        <f t="shared" si="0"/>
        <v/>
      </c>
      <c r="O63"/>
    </row>
    <row r="64" spans="1:15">
      <c r="A64" s="13">
        <v>45850.8125</v>
      </c>
      <c r="B64" s="14">
        <v>-4.2699999999999996</v>
      </c>
      <c r="C64" s="15">
        <v>0</v>
      </c>
      <c r="D64" s="15">
        <v>7304.57</v>
      </c>
      <c r="E64" s="15">
        <v>-0.75</v>
      </c>
      <c r="F64" s="15">
        <v>0</v>
      </c>
      <c r="G64" s="15">
        <v>579.75</v>
      </c>
      <c r="H64" s="15">
        <v>33.909999999999997</v>
      </c>
      <c r="I64" s="15">
        <v>759.83</v>
      </c>
      <c r="J64" s="15">
        <v>773.64</v>
      </c>
      <c r="K64" s="15">
        <v>0.05</v>
      </c>
      <c r="L64" s="15">
        <v>0</v>
      </c>
      <c r="M64" s="16">
        <v>139.18</v>
      </c>
      <c r="N64" s="25" t="str">
        <f t="shared" si="0"/>
        <v/>
      </c>
      <c r="O64"/>
    </row>
    <row r="65" spans="1:15">
      <c r="A65" s="13">
        <v>45850.833333333336</v>
      </c>
      <c r="B65" s="14">
        <v>-6.4</v>
      </c>
      <c r="C65" s="15">
        <v>0</v>
      </c>
      <c r="D65" s="15">
        <v>7305.94</v>
      </c>
      <c r="E65" s="15">
        <v>-1.31</v>
      </c>
      <c r="F65" s="15">
        <v>0</v>
      </c>
      <c r="G65" s="15">
        <v>496.44</v>
      </c>
      <c r="H65" s="15">
        <v>2.81</v>
      </c>
      <c r="I65" s="15">
        <v>763.22</v>
      </c>
      <c r="J65" s="15">
        <v>612.73</v>
      </c>
      <c r="K65" s="15">
        <v>0.05</v>
      </c>
      <c r="L65" s="15">
        <v>0</v>
      </c>
      <c r="M65" s="16">
        <v>112.18</v>
      </c>
      <c r="N65" s="25" t="str">
        <f t="shared" si="0"/>
        <v/>
      </c>
      <c r="O65"/>
    </row>
    <row r="66" spans="1:15">
      <c r="A66" s="13">
        <v>45850.854166666664</v>
      </c>
      <c r="B66" s="14">
        <v>-3.04</v>
      </c>
      <c r="C66" s="15">
        <v>0</v>
      </c>
      <c r="D66" s="15">
        <v>7345.75</v>
      </c>
      <c r="E66" s="15">
        <v>-0.97</v>
      </c>
      <c r="F66" s="15">
        <v>0</v>
      </c>
      <c r="G66" s="15">
        <v>273.85000000000002</v>
      </c>
      <c r="H66" s="15">
        <v>6.24</v>
      </c>
      <c r="I66" s="15">
        <v>598.26</v>
      </c>
      <c r="J66" s="15">
        <v>613.29999999999995</v>
      </c>
      <c r="K66" s="15">
        <v>0.05</v>
      </c>
      <c r="L66" s="15">
        <v>0</v>
      </c>
      <c r="M66" s="16">
        <v>100.02</v>
      </c>
      <c r="N66" s="25" t="str">
        <f t="shared" ref="N66:N129" si="1">IF(AND(HOUR(A66)=0,MINUTE(A66)=0),TEXT(A66,"d mmm"),"")</f>
        <v/>
      </c>
      <c r="O66"/>
    </row>
    <row r="67" spans="1:15">
      <c r="A67" s="13">
        <v>45850.875</v>
      </c>
      <c r="B67" s="14">
        <v>-5.24</v>
      </c>
      <c r="C67" s="15">
        <v>0</v>
      </c>
      <c r="D67" s="15">
        <v>7322.64</v>
      </c>
      <c r="E67" s="15">
        <v>-1.25</v>
      </c>
      <c r="F67" s="15">
        <v>0</v>
      </c>
      <c r="G67" s="15">
        <v>43.6</v>
      </c>
      <c r="H67" s="15">
        <v>2.4500000000000002</v>
      </c>
      <c r="I67" s="15">
        <v>397.99</v>
      </c>
      <c r="J67" s="15">
        <v>679.39</v>
      </c>
      <c r="K67" s="15">
        <v>0.05</v>
      </c>
      <c r="L67" s="15">
        <v>0</v>
      </c>
      <c r="M67" s="16">
        <v>88.68</v>
      </c>
      <c r="N67" s="25" t="str">
        <f t="shared" si="1"/>
        <v/>
      </c>
      <c r="O67"/>
    </row>
    <row r="68" spans="1:15">
      <c r="A68" s="13">
        <v>45850.895833333336</v>
      </c>
      <c r="B68" s="14">
        <v>-5.66</v>
      </c>
      <c r="C68" s="15">
        <v>0</v>
      </c>
      <c r="D68" s="15">
        <v>7337.44</v>
      </c>
      <c r="E68" s="15">
        <v>-1.28</v>
      </c>
      <c r="F68" s="15">
        <v>0</v>
      </c>
      <c r="G68" s="15">
        <v>43.97</v>
      </c>
      <c r="H68" s="15">
        <v>1.79</v>
      </c>
      <c r="I68" s="15">
        <v>272.16000000000003</v>
      </c>
      <c r="J68" s="15">
        <v>731.77</v>
      </c>
      <c r="K68" s="15">
        <v>0.05</v>
      </c>
      <c r="L68" s="15">
        <v>0</v>
      </c>
      <c r="M68" s="16">
        <v>87.25</v>
      </c>
      <c r="N68" s="25" t="str">
        <f t="shared" si="1"/>
        <v/>
      </c>
      <c r="O68"/>
    </row>
    <row r="69" spans="1:15">
      <c r="A69" s="13">
        <v>45850.916666666664</v>
      </c>
      <c r="B69" s="14">
        <v>-4.1500000000000004</v>
      </c>
      <c r="C69" s="15">
        <v>0</v>
      </c>
      <c r="D69" s="15">
        <v>7279.91</v>
      </c>
      <c r="E69" s="15">
        <v>-1.21</v>
      </c>
      <c r="F69" s="15">
        <v>0</v>
      </c>
      <c r="G69" s="15">
        <v>43.78</v>
      </c>
      <c r="H69" s="15">
        <v>5.14</v>
      </c>
      <c r="I69" s="15">
        <v>231.98</v>
      </c>
      <c r="J69" s="15">
        <v>696.27</v>
      </c>
      <c r="K69" s="15">
        <v>0.05</v>
      </c>
      <c r="L69" s="15">
        <v>0</v>
      </c>
      <c r="M69" s="16">
        <v>79.02</v>
      </c>
      <c r="N69" s="25" t="str">
        <f t="shared" si="1"/>
        <v/>
      </c>
      <c r="O69"/>
    </row>
    <row r="70" spans="1:15">
      <c r="A70" s="13">
        <v>45850.9375</v>
      </c>
      <c r="B70" s="14">
        <v>-11.87</v>
      </c>
      <c r="C70" s="15">
        <v>0</v>
      </c>
      <c r="D70" s="15">
        <v>7283.77</v>
      </c>
      <c r="E70" s="15">
        <v>-1.43</v>
      </c>
      <c r="F70" s="15">
        <v>0</v>
      </c>
      <c r="G70" s="15">
        <v>43.82</v>
      </c>
      <c r="H70" s="15">
        <v>11.09</v>
      </c>
      <c r="I70" s="15">
        <v>277.70999999999998</v>
      </c>
      <c r="J70" s="15">
        <v>658.89</v>
      </c>
      <c r="K70" s="15">
        <v>0.05</v>
      </c>
      <c r="L70" s="15">
        <v>0</v>
      </c>
      <c r="M70" s="16">
        <v>100.02</v>
      </c>
      <c r="N70" s="25" t="str">
        <f t="shared" si="1"/>
        <v/>
      </c>
      <c r="O70"/>
    </row>
    <row r="71" spans="1:15">
      <c r="A71" s="13">
        <v>45850.958333333336</v>
      </c>
      <c r="B71" s="14">
        <v>-11.65</v>
      </c>
      <c r="C71" s="15">
        <v>0</v>
      </c>
      <c r="D71" s="15">
        <v>7263.7</v>
      </c>
      <c r="E71" s="15">
        <v>-1.1299999999999999</v>
      </c>
      <c r="F71" s="15">
        <v>0</v>
      </c>
      <c r="G71" s="15">
        <v>43.54</v>
      </c>
      <c r="H71" s="15">
        <v>2.0299999999999998</v>
      </c>
      <c r="I71" s="15">
        <v>264.23</v>
      </c>
      <c r="J71" s="15">
        <v>637.21</v>
      </c>
      <c r="K71" s="15">
        <v>0.05</v>
      </c>
      <c r="L71" s="15">
        <v>0</v>
      </c>
      <c r="M71" s="16">
        <v>102.76</v>
      </c>
      <c r="N71" s="25" t="str">
        <f t="shared" si="1"/>
        <v/>
      </c>
      <c r="O71"/>
    </row>
    <row r="72" spans="1:15">
      <c r="A72" s="13">
        <v>45850.979166666664</v>
      </c>
      <c r="B72" s="14">
        <v>-7.38</v>
      </c>
      <c r="C72" s="15">
        <v>0</v>
      </c>
      <c r="D72" s="15">
        <v>7253.23</v>
      </c>
      <c r="E72" s="15">
        <v>-1.45</v>
      </c>
      <c r="F72" s="15">
        <v>0</v>
      </c>
      <c r="G72" s="15">
        <v>43.46</v>
      </c>
      <c r="H72" s="15">
        <v>2.25</v>
      </c>
      <c r="I72" s="15">
        <v>127.67</v>
      </c>
      <c r="J72" s="15">
        <v>532.70000000000005</v>
      </c>
      <c r="K72" s="15">
        <v>0.05</v>
      </c>
      <c r="L72" s="15">
        <v>0</v>
      </c>
      <c r="M72" s="16">
        <v>100.02</v>
      </c>
      <c r="N72" s="25" t="str">
        <f t="shared" si="1"/>
        <v/>
      </c>
      <c r="O72"/>
    </row>
    <row r="73" spans="1:15">
      <c r="A73" s="13">
        <v>45851</v>
      </c>
      <c r="B73" s="14">
        <v>-13.82</v>
      </c>
      <c r="C73" s="15">
        <v>0</v>
      </c>
      <c r="D73" s="15">
        <v>7003.96</v>
      </c>
      <c r="E73" s="15">
        <v>-1.01</v>
      </c>
      <c r="F73" s="15">
        <v>0</v>
      </c>
      <c r="G73" s="15">
        <v>43.51</v>
      </c>
      <c r="H73" s="15">
        <v>0.25</v>
      </c>
      <c r="I73" s="15">
        <v>84.64</v>
      </c>
      <c r="J73" s="15">
        <v>502.98</v>
      </c>
      <c r="K73" s="15">
        <v>0.05</v>
      </c>
      <c r="L73" s="15">
        <v>0</v>
      </c>
      <c r="M73" s="16">
        <v>81.67</v>
      </c>
      <c r="N73" s="25" t="str">
        <f t="shared" si="1"/>
        <v>13 Jul</v>
      </c>
      <c r="O73"/>
    </row>
    <row r="74" spans="1:15">
      <c r="A74" s="13">
        <v>45851.020833333336</v>
      </c>
      <c r="B74" s="14">
        <v>-4.16</v>
      </c>
      <c r="C74" s="15">
        <v>0</v>
      </c>
      <c r="D74" s="15">
        <v>6735.58</v>
      </c>
      <c r="E74" s="15">
        <v>-1.24</v>
      </c>
      <c r="F74" s="15">
        <v>0</v>
      </c>
      <c r="G74" s="15">
        <v>43.54</v>
      </c>
      <c r="H74" s="15">
        <v>1.57</v>
      </c>
      <c r="I74" s="15">
        <v>69.61</v>
      </c>
      <c r="J74" s="15">
        <v>492.94</v>
      </c>
      <c r="K74" s="15">
        <v>0.05</v>
      </c>
      <c r="L74" s="15">
        <v>0</v>
      </c>
      <c r="M74" s="16">
        <v>88.84</v>
      </c>
      <c r="N74" s="25" t="str">
        <f t="shared" si="1"/>
        <v/>
      </c>
      <c r="O74"/>
    </row>
    <row r="75" spans="1:15">
      <c r="A75" s="13">
        <v>45851.041666666664</v>
      </c>
      <c r="B75" s="14">
        <v>-5.79</v>
      </c>
      <c r="C75" s="15">
        <v>0</v>
      </c>
      <c r="D75" s="15">
        <v>6466.19</v>
      </c>
      <c r="E75" s="15">
        <v>-3.77</v>
      </c>
      <c r="F75" s="15">
        <v>0</v>
      </c>
      <c r="G75" s="15">
        <v>43.1</v>
      </c>
      <c r="H75" s="15">
        <v>1.5</v>
      </c>
      <c r="I75" s="15">
        <v>42.89</v>
      </c>
      <c r="J75" s="15">
        <v>516.82000000000005</v>
      </c>
      <c r="K75" s="15">
        <v>0.05</v>
      </c>
      <c r="L75" s="15">
        <v>0</v>
      </c>
      <c r="M75" s="16">
        <v>86.23</v>
      </c>
      <c r="N75" s="25" t="str">
        <f t="shared" si="1"/>
        <v/>
      </c>
      <c r="O75"/>
    </row>
    <row r="76" spans="1:15">
      <c r="A76" s="13">
        <v>45851.0625</v>
      </c>
      <c r="B76" s="14">
        <v>-6.37</v>
      </c>
      <c r="C76" s="15">
        <v>0</v>
      </c>
      <c r="D76" s="15">
        <v>6103.18</v>
      </c>
      <c r="E76" s="15">
        <v>-1.63</v>
      </c>
      <c r="F76" s="15">
        <v>0</v>
      </c>
      <c r="G76" s="15">
        <v>43.18</v>
      </c>
      <c r="H76" s="15">
        <v>2.14</v>
      </c>
      <c r="I76" s="15">
        <v>30.59</v>
      </c>
      <c r="J76" s="15">
        <v>616.01</v>
      </c>
      <c r="K76" s="15">
        <v>0.05</v>
      </c>
      <c r="L76" s="15">
        <v>0</v>
      </c>
      <c r="M76" s="16">
        <v>76.58</v>
      </c>
      <c r="N76" s="25" t="str">
        <f t="shared" si="1"/>
        <v/>
      </c>
      <c r="O76"/>
    </row>
    <row r="77" spans="1:15">
      <c r="A77" s="13">
        <v>45851.083333333336</v>
      </c>
      <c r="B77" s="14">
        <v>-6.84</v>
      </c>
      <c r="C77" s="15">
        <v>0</v>
      </c>
      <c r="D77" s="15">
        <v>5914.4</v>
      </c>
      <c r="E77" s="15">
        <v>-1.05</v>
      </c>
      <c r="F77" s="15">
        <v>0</v>
      </c>
      <c r="G77" s="15">
        <v>42.7</v>
      </c>
      <c r="H77" s="15">
        <v>2.73</v>
      </c>
      <c r="I77" s="15">
        <v>30.71</v>
      </c>
      <c r="J77" s="15">
        <v>587.45000000000005</v>
      </c>
      <c r="K77" s="15">
        <v>0.05</v>
      </c>
      <c r="L77" s="15">
        <v>0</v>
      </c>
      <c r="M77" s="16">
        <v>76.58</v>
      </c>
      <c r="N77" s="25" t="str">
        <f t="shared" si="1"/>
        <v/>
      </c>
      <c r="O77"/>
    </row>
    <row r="78" spans="1:15">
      <c r="A78" s="13">
        <v>45851.104166666664</v>
      </c>
      <c r="B78" s="14">
        <v>-7.97</v>
      </c>
      <c r="C78" s="15">
        <v>0</v>
      </c>
      <c r="D78" s="15">
        <v>5907.53</v>
      </c>
      <c r="E78" s="15">
        <v>-1.07</v>
      </c>
      <c r="F78" s="15">
        <v>0</v>
      </c>
      <c r="G78" s="15">
        <v>42.92</v>
      </c>
      <c r="H78" s="15">
        <v>1.41</v>
      </c>
      <c r="I78" s="15">
        <v>30.6</v>
      </c>
      <c r="J78" s="15">
        <v>458.51</v>
      </c>
      <c r="K78" s="15">
        <v>0.05</v>
      </c>
      <c r="L78" s="15">
        <v>0</v>
      </c>
      <c r="M78" s="16">
        <v>76.8</v>
      </c>
      <c r="N78" s="25" t="str">
        <f t="shared" si="1"/>
        <v/>
      </c>
      <c r="O78"/>
    </row>
    <row r="79" spans="1:15">
      <c r="A79" s="13">
        <v>45851.125</v>
      </c>
      <c r="B79" s="14">
        <v>-8.36</v>
      </c>
      <c r="C79" s="15">
        <v>0</v>
      </c>
      <c r="D79" s="15">
        <v>5740.51</v>
      </c>
      <c r="E79" s="15">
        <v>-2.63</v>
      </c>
      <c r="F79" s="15">
        <v>0</v>
      </c>
      <c r="G79" s="15">
        <v>42.79</v>
      </c>
      <c r="H79" s="15">
        <v>2.25</v>
      </c>
      <c r="I79" s="15">
        <v>30.61</v>
      </c>
      <c r="J79" s="15">
        <v>495.65</v>
      </c>
      <c r="K79" s="15">
        <v>0.05</v>
      </c>
      <c r="L79" s="15">
        <v>0</v>
      </c>
      <c r="M79" s="16">
        <v>76.42</v>
      </c>
      <c r="N79" s="25" t="str">
        <f t="shared" si="1"/>
        <v/>
      </c>
      <c r="O79"/>
    </row>
    <row r="80" spans="1:15">
      <c r="A80" s="13">
        <v>45851.145833333336</v>
      </c>
      <c r="B80" s="14">
        <v>-12.28</v>
      </c>
      <c r="C80" s="15">
        <v>0</v>
      </c>
      <c r="D80" s="15">
        <v>5590.23</v>
      </c>
      <c r="E80" s="15">
        <v>-0.85</v>
      </c>
      <c r="F80" s="15">
        <v>0</v>
      </c>
      <c r="G80" s="15">
        <v>42.66</v>
      </c>
      <c r="H80" s="15">
        <v>0.73</v>
      </c>
      <c r="I80" s="15">
        <v>30.61</v>
      </c>
      <c r="J80" s="15">
        <v>560.57000000000005</v>
      </c>
      <c r="K80" s="15">
        <v>0.05</v>
      </c>
      <c r="L80" s="15">
        <v>0</v>
      </c>
      <c r="M80" s="16">
        <v>76.58</v>
      </c>
      <c r="N80" s="25" t="str">
        <f t="shared" si="1"/>
        <v/>
      </c>
      <c r="O80"/>
    </row>
    <row r="81" spans="1:15">
      <c r="A81" s="13">
        <v>45851.166666666664</v>
      </c>
      <c r="B81" s="14">
        <v>-16.11</v>
      </c>
      <c r="C81" s="15">
        <v>0</v>
      </c>
      <c r="D81" s="15">
        <v>5569.67</v>
      </c>
      <c r="E81" s="15">
        <v>-1.02</v>
      </c>
      <c r="F81" s="15">
        <v>0</v>
      </c>
      <c r="G81" s="15">
        <v>42.41</v>
      </c>
      <c r="H81" s="15">
        <v>1</v>
      </c>
      <c r="I81" s="15">
        <v>25.51</v>
      </c>
      <c r="J81" s="15">
        <v>565.66999999999996</v>
      </c>
      <c r="K81" s="15">
        <v>0.05</v>
      </c>
      <c r="L81" s="15">
        <v>0</v>
      </c>
      <c r="M81" s="16">
        <v>75.84</v>
      </c>
      <c r="N81" s="25" t="str">
        <f t="shared" si="1"/>
        <v/>
      </c>
      <c r="O81"/>
    </row>
    <row r="82" spans="1:15">
      <c r="A82" s="13">
        <v>45851.1875</v>
      </c>
      <c r="B82" s="14">
        <v>-21.6</v>
      </c>
      <c r="C82" s="15">
        <v>0</v>
      </c>
      <c r="D82" s="15">
        <v>5769.39</v>
      </c>
      <c r="E82" s="15">
        <v>-1.77</v>
      </c>
      <c r="F82" s="15">
        <v>0</v>
      </c>
      <c r="G82" s="15">
        <v>43.34</v>
      </c>
      <c r="H82" s="15">
        <v>1.95</v>
      </c>
      <c r="I82" s="15">
        <v>-0.32</v>
      </c>
      <c r="J82" s="15">
        <v>572.49</v>
      </c>
      <c r="K82" s="15">
        <v>0.05</v>
      </c>
      <c r="L82" s="15">
        <v>0</v>
      </c>
      <c r="M82" s="16">
        <v>72.2</v>
      </c>
      <c r="N82" s="25" t="str">
        <f t="shared" si="1"/>
        <v/>
      </c>
      <c r="O82"/>
    </row>
    <row r="83" spans="1:15">
      <c r="A83" s="13">
        <v>45851.208333333336</v>
      </c>
      <c r="B83" s="14">
        <v>-5.82</v>
      </c>
      <c r="C83" s="15">
        <v>0</v>
      </c>
      <c r="D83" s="15">
        <v>5952.8</v>
      </c>
      <c r="E83" s="15">
        <v>-0.21</v>
      </c>
      <c r="F83" s="15">
        <v>0</v>
      </c>
      <c r="G83" s="15">
        <v>44.17</v>
      </c>
      <c r="H83" s="15">
        <v>1.82</v>
      </c>
      <c r="I83" s="15">
        <v>-0.28000000000000003</v>
      </c>
      <c r="J83" s="15">
        <v>561.38</v>
      </c>
      <c r="K83" s="15">
        <v>0.05</v>
      </c>
      <c r="L83" s="15">
        <v>0</v>
      </c>
      <c r="M83" s="16">
        <v>75.760000000000005</v>
      </c>
      <c r="N83" s="25" t="str">
        <f t="shared" si="1"/>
        <v/>
      </c>
      <c r="O83"/>
    </row>
    <row r="84" spans="1:15">
      <c r="A84" s="13">
        <v>45851.229166666664</v>
      </c>
      <c r="B84" s="14">
        <v>-6.54</v>
      </c>
      <c r="C84" s="15">
        <v>0</v>
      </c>
      <c r="D84" s="15">
        <v>6074.21</v>
      </c>
      <c r="E84" s="15">
        <v>-0.14000000000000001</v>
      </c>
      <c r="F84" s="15">
        <v>0</v>
      </c>
      <c r="G84" s="15">
        <v>44.79</v>
      </c>
      <c r="H84" s="15">
        <v>3.8</v>
      </c>
      <c r="I84" s="15">
        <v>-0.34</v>
      </c>
      <c r="J84" s="15">
        <v>539.91999999999996</v>
      </c>
      <c r="K84" s="15">
        <v>0.05</v>
      </c>
      <c r="L84" s="15">
        <v>0</v>
      </c>
      <c r="M84" s="16">
        <v>76.58</v>
      </c>
      <c r="N84" s="25" t="str">
        <f t="shared" si="1"/>
        <v/>
      </c>
      <c r="O84"/>
    </row>
    <row r="85" spans="1:15">
      <c r="A85" s="13">
        <v>45851.25</v>
      </c>
      <c r="B85" s="14">
        <v>-16.5</v>
      </c>
      <c r="C85" s="15">
        <v>-67.34</v>
      </c>
      <c r="D85" s="15">
        <v>6290</v>
      </c>
      <c r="E85" s="15">
        <v>-2.2200000000000002</v>
      </c>
      <c r="F85" s="15">
        <v>0</v>
      </c>
      <c r="G85" s="15">
        <v>44.89</v>
      </c>
      <c r="H85" s="15">
        <v>2.5099999999999998</v>
      </c>
      <c r="I85" s="15">
        <v>-0.32</v>
      </c>
      <c r="J85" s="15">
        <v>529.91</v>
      </c>
      <c r="K85" s="15">
        <v>0.05</v>
      </c>
      <c r="L85" s="15">
        <v>0</v>
      </c>
      <c r="M85" s="16">
        <v>76.89</v>
      </c>
      <c r="N85" s="25" t="str">
        <f t="shared" si="1"/>
        <v/>
      </c>
      <c r="O85"/>
    </row>
    <row r="86" spans="1:15">
      <c r="A86" s="13">
        <v>45851.270833333336</v>
      </c>
      <c r="B86" s="14">
        <v>-11.07</v>
      </c>
      <c r="C86" s="15">
        <v>-80.83</v>
      </c>
      <c r="D86" s="15">
        <v>6564.67</v>
      </c>
      <c r="E86" s="15">
        <v>-0.64</v>
      </c>
      <c r="F86" s="15">
        <v>0</v>
      </c>
      <c r="G86" s="15">
        <v>44.66</v>
      </c>
      <c r="H86" s="15">
        <v>1.74</v>
      </c>
      <c r="I86" s="15">
        <v>6.56</v>
      </c>
      <c r="J86" s="15">
        <v>542.15</v>
      </c>
      <c r="K86" s="15">
        <v>0.05</v>
      </c>
      <c r="L86" s="15">
        <v>0.13</v>
      </c>
      <c r="M86" s="16">
        <v>81.209999999999994</v>
      </c>
      <c r="N86" s="25" t="str">
        <f t="shared" si="1"/>
        <v/>
      </c>
      <c r="O86"/>
    </row>
    <row r="87" spans="1:15">
      <c r="A87" s="13">
        <v>45851.291666666664</v>
      </c>
      <c r="B87" s="14">
        <v>-9.7200000000000006</v>
      </c>
      <c r="C87" s="15">
        <v>-80.86</v>
      </c>
      <c r="D87" s="15">
        <v>6830.02</v>
      </c>
      <c r="E87" s="15">
        <v>-0.47</v>
      </c>
      <c r="F87" s="15">
        <v>0</v>
      </c>
      <c r="G87" s="15">
        <v>44.76</v>
      </c>
      <c r="H87" s="15">
        <v>0</v>
      </c>
      <c r="I87" s="15">
        <v>44.21</v>
      </c>
      <c r="J87" s="15">
        <v>548.48</v>
      </c>
      <c r="K87" s="15">
        <v>6.71</v>
      </c>
      <c r="L87" s="15">
        <v>7.75</v>
      </c>
      <c r="M87" s="16">
        <v>93.02</v>
      </c>
      <c r="N87" s="25" t="str">
        <f t="shared" si="1"/>
        <v/>
      </c>
      <c r="O87"/>
    </row>
    <row r="88" spans="1:15">
      <c r="A88" s="13">
        <v>45851.3125</v>
      </c>
      <c r="B88" s="14">
        <v>-11.97</v>
      </c>
      <c r="C88" s="15">
        <v>-80.8</v>
      </c>
      <c r="D88" s="15">
        <v>6744.1</v>
      </c>
      <c r="E88" s="15">
        <v>-1.1599999999999999</v>
      </c>
      <c r="F88" s="15">
        <v>0</v>
      </c>
      <c r="G88" s="15">
        <v>44.81</v>
      </c>
      <c r="H88" s="15">
        <v>0.14000000000000001</v>
      </c>
      <c r="I88" s="15">
        <v>23.47</v>
      </c>
      <c r="J88" s="15">
        <v>650.45000000000005</v>
      </c>
      <c r="K88" s="15">
        <v>119.9</v>
      </c>
      <c r="L88" s="15">
        <v>88.96</v>
      </c>
      <c r="M88" s="16">
        <v>81.73</v>
      </c>
      <c r="N88" s="25" t="str">
        <f t="shared" si="1"/>
        <v/>
      </c>
      <c r="O88"/>
    </row>
    <row r="89" spans="1:15">
      <c r="A89" s="13">
        <v>45851.333333333336</v>
      </c>
      <c r="B89" s="14">
        <v>-17.34</v>
      </c>
      <c r="C89" s="15">
        <v>-80.69</v>
      </c>
      <c r="D89" s="15">
        <v>5955.03</v>
      </c>
      <c r="E89" s="15">
        <v>-0.05</v>
      </c>
      <c r="F89" s="15">
        <v>0</v>
      </c>
      <c r="G89" s="15">
        <v>42.18</v>
      </c>
      <c r="H89" s="15">
        <v>1.99</v>
      </c>
      <c r="I89" s="15">
        <v>-0.22</v>
      </c>
      <c r="J89" s="15">
        <v>815.1</v>
      </c>
      <c r="K89" s="15">
        <v>569.92999999999995</v>
      </c>
      <c r="L89" s="15">
        <v>350.51</v>
      </c>
      <c r="M89" s="16">
        <v>57.01</v>
      </c>
      <c r="N89" s="25" t="str">
        <f t="shared" si="1"/>
        <v/>
      </c>
      <c r="O89"/>
    </row>
    <row r="90" spans="1:15">
      <c r="A90" s="13">
        <v>45851.354166666664</v>
      </c>
      <c r="B90" s="14">
        <v>-49.15</v>
      </c>
      <c r="C90" s="15">
        <v>-96.63</v>
      </c>
      <c r="D90" s="15">
        <v>4894.42</v>
      </c>
      <c r="E90" s="15">
        <v>-0.27</v>
      </c>
      <c r="F90" s="15">
        <v>0</v>
      </c>
      <c r="G90" s="15">
        <v>37.869999999999997</v>
      </c>
      <c r="H90" s="15">
        <v>2.16</v>
      </c>
      <c r="I90" s="15">
        <v>0</v>
      </c>
      <c r="J90" s="15">
        <v>909.3</v>
      </c>
      <c r="K90" s="15">
        <v>1379.32</v>
      </c>
      <c r="L90" s="15">
        <v>837.43</v>
      </c>
      <c r="M90" s="16">
        <v>-11.86</v>
      </c>
      <c r="N90" s="25" t="str">
        <f t="shared" si="1"/>
        <v/>
      </c>
      <c r="O90"/>
    </row>
    <row r="91" spans="1:15">
      <c r="A91" s="13">
        <v>45851.375</v>
      </c>
      <c r="B91" s="14">
        <v>-25.06</v>
      </c>
      <c r="C91" s="15">
        <v>-270.41000000000003</v>
      </c>
      <c r="D91" s="15">
        <v>4349.53</v>
      </c>
      <c r="E91" s="15">
        <v>0.14000000000000001</v>
      </c>
      <c r="F91" s="15">
        <v>0</v>
      </c>
      <c r="G91" s="15">
        <v>37.840000000000003</v>
      </c>
      <c r="H91" s="15">
        <v>6.16</v>
      </c>
      <c r="I91" s="15">
        <v>0</v>
      </c>
      <c r="J91" s="15">
        <v>852.04</v>
      </c>
      <c r="K91" s="15">
        <v>2080.34</v>
      </c>
      <c r="L91" s="15">
        <v>1337.7</v>
      </c>
      <c r="M91" s="16">
        <v>0</v>
      </c>
      <c r="N91" s="25" t="str">
        <f t="shared" si="1"/>
        <v/>
      </c>
      <c r="O91"/>
    </row>
    <row r="92" spans="1:15">
      <c r="A92" s="13">
        <v>45851.395833333336</v>
      </c>
      <c r="B92" s="14">
        <v>-18.59</v>
      </c>
      <c r="C92" s="15">
        <v>-271.38</v>
      </c>
      <c r="D92" s="15">
        <v>4108.16</v>
      </c>
      <c r="E92" s="15">
        <v>9.33</v>
      </c>
      <c r="F92" s="15">
        <v>0</v>
      </c>
      <c r="G92" s="15">
        <v>37.83</v>
      </c>
      <c r="H92" s="15">
        <v>2.61</v>
      </c>
      <c r="I92" s="15">
        <v>0</v>
      </c>
      <c r="J92" s="15">
        <v>822.65</v>
      </c>
      <c r="K92" s="15">
        <v>2160.31</v>
      </c>
      <c r="L92" s="15">
        <v>1856.04</v>
      </c>
      <c r="M92" s="16">
        <v>76.58</v>
      </c>
      <c r="N92" s="25" t="str">
        <f t="shared" si="1"/>
        <v/>
      </c>
      <c r="O92"/>
    </row>
    <row r="93" spans="1:15">
      <c r="A93" s="13">
        <v>45851.416666666664</v>
      </c>
      <c r="B93" s="14">
        <v>-35.54</v>
      </c>
      <c r="C93" s="15">
        <v>-284.11</v>
      </c>
      <c r="D93" s="15">
        <v>3656.04</v>
      </c>
      <c r="E93" s="15">
        <v>9.5399999999999991</v>
      </c>
      <c r="F93" s="15">
        <v>0</v>
      </c>
      <c r="G93" s="15">
        <v>37.89</v>
      </c>
      <c r="H93" s="15">
        <v>7.44</v>
      </c>
      <c r="I93" s="15">
        <v>0</v>
      </c>
      <c r="J93" s="15">
        <v>862.94</v>
      </c>
      <c r="K93" s="15">
        <v>2277.1799999999998</v>
      </c>
      <c r="L93" s="15">
        <v>2278.65</v>
      </c>
      <c r="M93" s="16">
        <v>24</v>
      </c>
      <c r="N93" s="25" t="str">
        <f t="shared" si="1"/>
        <v/>
      </c>
      <c r="O93"/>
    </row>
    <row r="94" spans="1:15">
      <c r="A94" s="13">
        <v>45851.4375</v>
      </c>
      <c r="B94" s="14">
        <v>-60.99</v>
      </c>
      <c r="C94" s="15">
        <v>-466.75</v>
      </c>
      <c r="D94" s="15">
        <v>2964.61</v>
      </c>
      <c r="E94" s="15">
        <v>9.11</v>
      </c>
      <c r="F94" s="15">
        <v>0</v>
      </c>
      <c r="G94" s="15">
        <v>37.880000000000003</v>
      </c>
      <c r="H94" s="15">
        <v>3.18</v>
      </c>
      <c r="I94" s="15">
        <v>0</v>
      </c>
      <c r="J94" s="15">
        <v>914.75</v>
      </c>
      <c r="K94" s="15">
        <v>2061.91</v>
      </c>
      <c r="L94" s="15">
        <v>2658.7</v>
      </c>
      <c r="M94" s="16">
        <v>-16.54</v>
      </c>
      <c r="N94" s="25" t="str">
        <f t="shared" si="1"/>
        <v/>
      </c>
      <c r="O94"/>
    </row>
    <row r="95" spans="1:15">
      <c r="A95" s="13">
        <v>45851.458333333336</v>
      </c>
      <c r="B95" s="14">
        <v>-72.02</v>
      </c>
      <c r="C95" s="15">
        <v>-470.18</v>
      </c>
      <c r="D95" s="15">
        <v>2519.48</v>
      </c>
      <c r="E95" s="15">
        <v>7.68</v>
      </c>
      <c r="F95" s="15">
        <v>0</v>
      </c>
      <c r="G95" s="15">
        <v>37.83</v>
      </c>
      <c r="H95" s="15">
        <v>3.99</v>
      </c>
      <c r="I95" s="15">
        <v>0</v>
      </c>
      <c r="J95" s="15">
        <v>981.91</v>
      </c>
      <c r="K95" s="15">
        <v>2155.25</v>
      </c>
      <c r="L95" s="15">
        <v>2927</v>
      </c>
      <c r="M95" s="16">
        <v>-16.54</v>
      </c>
      <c r="N95" s="25" t="str">
        <f t="shared" si="1"/>
        <v/>
      </c>
      <c r="O95"/>
    </row>
    <row r="96" spans="1:15">
      <c r="A96" s="13">
        <v>45851.479166666664</v>
      </c>
      <c r="B96" s="14">
        <v>-174.42</v>
      </c>
      <c r="C96" s="15">
        <v>-582.36</v>
      </c>
      <c r="D96" s="15">
        <v>2448.65</v>
      </c>
      <c r="E96" s="15">
        <v>4.12</v>
      </c>
      <c r="F96" s="15">
        <v>0</v>
      </c>
      <c r="G96" s="15">
        <v>37.840000000000003</v>
      </c>
      <c r="H96" s="15">
        <v>0.74</v>
      </c>
      <c r="I96" s="15">
        <v>0</v>
      </c>
      <c r="J96" s="15">
        <v>968.43</v>
      </c>
      <c r="K96" s="15">
        <v>2332.9499999999998</v>
      </c>
      <c r="L96" s="15">
        <v>3166.39</v>
      </c>
      <c r="M96" s="16">
        <v>-16.18</v>
      </c>
      <c r="N96" s="25" t="str">
        <f t="shared" si="1"/>
        <v/>
      </c>
      <c r="O96"/>
    </row>
    <row r="97" spans="1:15">
      <c r="A97" s="13">
        <v>45851.5</v>
      </c>
      <c r="B97" s="14">
        <v>-88.23</v>
      </c>
      <c r="C97" s="15">
        <v>-660.52</v>
      </c>
      <c r="D97" s="15">
        <v>2458.89</v>
      </c>
      <c r="E97" s="15">
        <v>1.95</v>
      </c>
      <c r="F97" s="15">
        <v>0</v>
      </c>
      <c r="G97" s="15">
        <v>37.89</v>
      </c>
      <c r="H97" s="15">
        <v>1.59</v>
      </c>
      <c r="I97" s="15">
        <v>0</v>
      </c>
      <c r="J97" s="15">
        <v>1108.4000000000001</v>
      </c>
      <c r="K97" s="15">
        <v>2353.9499999999998</v>
      </c>
      <c r="L97" s="15">
        <v>3250.92</v>
      </c>
      <c r="M97" s="16">
        <v>-14.71</v>
      </c>
      <c r="N97" s="25" t="str">
        <f t="shared" si="1"/>
        <v/>
      </c>
      <c r="O97"/>
    </row>
    <row r="98" spans="1:15">
      <c r="A98" s="13">
        <v>45851.520833333336</v>
      </c>
      <c r="B98" s="14">
        <v>-179.28</v>
      </c>
      <c r="C98" s="15">
        <v>-660.59</v>
      </c>
      <c r="D98" s="15">
        <v>2389.2800000000002</v>
      </c>
      <c r="E98" s="15">
        <v>0.11</v>
      </c>
      <c r="F98" s="15">
        <v>0</v>
      </c>
      <c r="G98" s="15">
        <v>37.840000000000003</v>
      </c>
      <c r="H98" s="15">
        <v>0.3</v>
      </c>
      <c r="I98" s="15">
        <v>0</v>
      </c>
      <c r="J98" s="15">
        <v>1244.3499999999999</v>
      </c>
      <c r="K98" s="15">
        <v>2246.4699999999998</v>
      </c>
      <c r="L98" s="15">
        <v>3236.69</v>
      </c>
      <c r="M98" s="16">
        <v>-14.01</v>
      </c>
      <c r="N98" s="25" t="str">
        <f t="shared" si="1"/>
        <v/>
      </c>
      <c r="O98"/>
    </row>
    <row r="99" spans="1:15">
      <c r="A99" s="13">
        <v>45851.541666666664</v>
      </c>
      <c r="B99" s="14">
        <v>-193.5</v>
      </c>
      <c r="C99" s="15">
        <v>-659.32</v>
      </c>
      <c r="D99" s="15">
        <v>2388.5500000000002</v>
      </c>
      <c r="E99" s="15">
        <v>-0.12</v>
      </c>
      <c r="F99" s="15">
        <v>0</v>
      </c>
      <c r="G99" s="15">
        <v>37.81</v>
      </c>
      <c r="H99" s="15">
        <v>0.96</v>
      </c>
      <c r="I99" s="15">
        <v>0</v>
      </c>
      <c r="J99" s="15">
        <v>1347.9</v>
      </c>
      <c r="K99" s="15">
        <v>2265.35</v>
      </c>
      <c r="L99" s="15">
        <v>3104.69</v>
      </c>
      <c r="M99" s="16">
        <v>-14.01</v>
      </c>
      <c r="N99" s="25" t="str">
        <f t="shared" si="1"/>
        <v/>
      </c>
      <c r="O99"/>
    </row>
    <row r="100" spans="1:15">
      <c r="A100" s="13">
        <v>45851.5625</v>
      </c>
      <c r="B100" s="14">
        <v>-238</v>
      </c>
      <c r="C100" s="15">
        <v>-660.04</v>
      </c>
      <c r="D100" s="15">
        <v>2374.46</v>
      </c>
      <c r="E100" s="15">
        <v>-0.39</v>
      </c>
      <c r="F100" s="15">
        <v>0</v>
      </c>
      <c r="G100" s="15">
        <v>37.82</v>
      </c>
      <c r="H100" s="15">
        <v>0.4</v>
      </c>
      <c r="I100" s="15">
        <v>0</v>
      </c>
      <c r="J100" s="15">
        <v>1414.94</v>
      </c>
      <c r="K100" s="15">
        <v>2192.02</v>
      </c>
      <c r="L100" s="15">
        <v>2834.4</v>
      </c>
      <c r="M100" s="16">
        <v>-15.17</v>
      </c>
      <c r="N100" s="25" t="str">
        <f t="shared" si="1"/>
        <v/>
      </c>
      <c r="O100"/>
    </row>
    <row r="101" spans="1:15">
      <c r="A101" s="13">
        <v>45851.583333333336</v>
      </c>
      <c r="B101" s="14">
        <v>-299.37</v>
      </c>
      <c r="C101" s="15">
        <v>-658.02</v>
      </c>
      <c r="D101" s="15">
        <v>2492.27</v>
      </c>
      <c r="E101" s="15">
        <v>-0.02</v>
      </c>
      <c r="F101" s="15">
        <v>0</v>
      </c>
      <c r="G101" s="15">
        <v>37.880000000000003</v>
      </c>
      <c r="H101" s="15">
        <v>0.48</v>
      </c>
      <c r="I101" s="15">
        <v>0</v>
      </c>
      <c r="J101" s="15">
        <v>1447.94</v>
      </c>
      <c r="K101" s="15">
        <v>2011.07</v>
      </c>
      <c r="L101" s="15">
        <v>2495.69</v>
      </c>
      <c r="M101" s="16">
        <v>-17.28</v>
      </c>
      <c r="N101" s="25" t="str">
        <f t="shared" si="1"/>
        <v/>
      </c>
      <c r="O101"/>
    </row>
    <row r="102" spans="1:15">
      <c r="A102" s="13">
        <v>45851.604166666664</v>
      </c>
      <c r="B102" s="14">
        <v>-254.92</v>
      </c>
      <c r="C102" s="15">
        <v>-657.84</v>
      </c>
      <c r="D102" s="15">
        <v>2708.77</v>
      </c>
      <c r="E102" s="15">
        <v>-0.12</v>
      </c>
      <c r="F102" s="15">
        <v>0</v>
      </c>
      <c r="G102" s="15">
        <v>37.82</v>
      </c>
      <c r="H102" s="15">
        <v>1.42</v>
      </c>
      <c r="I102" s="15">
        <v>0</v>
      </c>
      <c r="J102" s="15">
        <v>1471.44</v>
      </c>
      <c r="K102" s="15">
        <v>2257.34</v>
      </c>
      <c r="L102" s="15">
        <v>1969.91</v>
      </c>
      <c r="M102" s="16">
        <v>24</v>
      </c>
      <c r="N102" s="25" t="str">
        <f t="shared" si="1"/>
        <v/>
      </c>
      <c r="O102"/>
    </row>
    <row r="103" spans="1:15">
      <c r="A103" s="13">
        <v>45851.625</v>
      </c>
      <c r="B103" s="14">
        <v>-269.14</v>
      </c>
      <c r="C103" s="15">
        <v>-658.88</v>
      </c>
      <c r="D103" s="15">
        <v>3432.06</v>
      </c>
      <c r="E103" s="15">
        <v>-0.49</v>
      </c>
      <c r="F103" s="15">
        <v>0</v>
      </c>
      <c r="G103" s="15">
        <v>37.83</v>
      </c>
      <c r="H103" s="15">
        <v>0.95</v>
      </c>
      <c r="I103" s="15">
        <v>0</v>
      </c>
      <c r="J103" s="15">
        <v>1450.15</v>
      </c>
      <c r="K103" s="15">
        <v>2138.2399999999998</v>
      </c>
      <c r="L103" s="15">
        <v>1472.47</v>
      </c>
      <c r="M103" s="16">
        <v>4.71</v>
      </c>
      <c r="N103" s="25" t="str">
        <f t="shared" si="1"/>
        <v/>
      </c>
      <c r="O103"/>
    </row>
    <row r="104" spans="1:15">
      <c r="A104" s="13">
        <v>45851.645833333336</v>
      </c>
      <c r="B104" s="14">
        <v>-215.94</v>
      </c>
      <c r="C104" s="15">
        <v>-657.04</v>
      </c>
      <c r="D104" s="15">
        <v>4114.53</v>
      </c>
      <c r="E104" s="15">
        <v>0.55000000000000004</v>
      </c>
      <c r="F104" s="15">
        <v>0</v>
      </c>
      <c r="G104" s="15">
        <v>37.869999999999997</v>
      </c>
      <c r="H104" s="15">
        <v>1.91</v>
      </c>
      <c r="I104" s="15">
        <v>0</v>
      </c>
      <c r="J104" s="15">
        <v>1513.1</v>
      </c>
      <c r="K104" s="15">
        <v>1908.83</v>
      </c>
      <c r="L104" s="15">
        <v>1077.3599999999999</v>
      </c>
      <c r="M104" s="16">
        <v>-0.02</v>
      </c>
      <c r="N104" s="25" t="str">
        <f t="shared" si="1"/>
        <v/>
      </c>
      <c r="O104"/>
    </row>
    <row r="105" spans="1:15">
      <c r="A105" s="13">
        <v>45851.666666666664</v>
      </c>
      <c r="B105" s="14">
        <v>-126.78</v>
      </c>
      <c r="C105" s="15">
        <v>-656.15</v>
      </c>
      <c r="D105" s="15">
        <v>4724.3100000000004</v>
      </c>
      <c r="E105" s="15">
        <v>7.25</v>
      </c>
      <c r="F105" s="15">
        <v>0</v>
      </c>
      <c r="G105" s="15">
        <v>39.4</v>
      </c>
      <c r="H105" s="15">
        <v>1.72</v>
      </c>
      <c r="I105" s="15">
        <v>-0.06</v>
      </c>
      <c r="J105" s="15">
        <v>1592.88</v>
      </c>
      <c r="K105" s="15">
        <v>1459.36</v>
      </c>
      <c r="L105" s="15">
        <v>694.37</v>
      </c>
      <c r="M105" s="16">
        <v>21.26</v>
      </c>
      <c r="N105" s="25" t="str">
        <f t="shared" si="1"/>
        <v/>
      </c>
      <c r="O105"/>
    </row>
    <row r="106" spans="1:15">
      <c r="A106" s="13">
        <v>45851.6875</v>
      </c>
      <c r="B106" s="14">
        <v>-3.51</v>
      </c>
      <c r="C106" s="15">
        <v>-354.68</v>
      </c>
      <c r="D106" s="15">
        <v>5543.33</v>
      </c>
      <c r="E106" s="15">
        <v>3.33</v>
      </c>
      <c r="F106" s="15">
        <v>0</v>
      </c>
      <c r="G106" s="15">
        <v>42.78</v>
      </c>
      <c r="H106" s="15">
        <v>4.62</v>
      </c>
      <c r="I106" s="15">
        <v>48.43</v>
      </c>
      <c r="J106" s="15">
        <v>1627.76</v>
      </c>
      <c r="K106" s="15">
        <v>790.13</v>
      </c>
      <c r="L106" s="15">
        <v>354.66</v>
      </c>
      <c r="M106" s="16">
        <v>57.01</v>
      </c>
      <c r="N106" s="25" t="str">
        <f t="shared" si="1"/>
        <v/>
      </c>
      <c r="O106"/>
    </row>
    <row r="107" spans="1:15">
      <c r="A107" s="13">
        <v>45851.708333333336</v>
      </c>
      <c r="B107" s="14">
        <v>-2.37</v>
      </c>
      <c r="C107" s="15">
        <v>0</v>
      </c>
      <c r="D107" s="15">
        <v>6377.1</v>
      </c>
      <c r="E107" s="15">
        <v>-1.0900000000000001</v>
      </c>
      <c r="F107" s="15">
        <v>0</v>
      </c>
      <c r="G107" s="15">
        <v>42.55</v>
      </c>
      <c r="H107" s="15">
        <v>207.02</v>
      </c>
      <c r="I107" s="15">
        <v>248.33</v>
      </c>
      <c r="J107" s="15">
        <v>1637.74</v>
      </c>
      <c r="K107" s="15">
        <v>175.55</v>
      </c>
      <c r="L107" s="15">
        <v>107.74</v>
      </c>
      <c r="M107" s="16">
        <v>125.69</v>
      </c>
      <c r="N107" s="25" t="str">
        <f t="shared" si="1"/>
        <v/>
      </c>
      <c r="O107"/>
    </row>
    <row r="108" spans="1:15">
      <c r="A108" s="13">
        <v>45851.729166666664</v>
      </c>
      <c r="B108" s="14">
        <v>-2.3199999999999998</v>
      </c>
      <c r="C108" s="15">
        <v>0</v>
      </c>
      <c r="D108" s="15">
        <v>6798.69</v>
      </c>
      <c r="E108" s="15">
        <v>-2.9</v>
      </c>
      <c r="F108" s="15">
        <v>0</v>
      </c>
      <c r="G108" s="15">
        <v>71.83</v>
      </c>
      <c r="H108" s="15">
        <v>309.89999999999998</v>
      </c>
      <c r="I108" s="15">
        <v>604.82000000000005</v>
      </c>
      <c r="J108" s="15">
        <v>1641.12</v>
      </c>
      <c r="K108" s="15">
        <v>5.61</v>
      </c>
      <c r="L108" s="15">
        <v>12.89</v>
      </c>
      <c r="M108" s="16">
        <v>138.72999999999999</v>
      </c>
      <c r="N108" s="25" t="str">
        <f t="shared" si="1"/>
        <v/>
      </c>
      <c r="O108"/>
    </row>
    <row r="109" spans="1:15">
      <c r="A109" s="13">
        <v>45851.75</v>
      </c>
      <c r="B109" s="14">
        <v>-1.58</v>
      </c>
      <c r="C109" s="15">
        <v>0</v>
      </c>
      <c r="D109" s="15">
        <v>6926.95</v>
      </c>
      <c r="E109" s="15">
        <v>-3.66</v>
      </c>
      <c r="F109" s="15">
        <v>0</v>
      </c>
      <c r="G109" s="15">
        <v>341.22</v>
      </c>
      <c r="H109" s="15">
        <v>420.47</v>
      </c>
      <c r="I109" s="15">
        <v>654.4</v>
      </c>
      <c r="J109" s="15">
        <v>1690.78</v>
      </c>
      <c r="K109" s="15">
        <v>0.05</v>
      </c>
      <c r="L109" s="15">
        <v>0.17</v>
      </c>
      <c r="M109" s="16">
        <v>140.03</v>
      </c>
      <c r="N109" s="25" t="str">
        <f t="shared" si="1"/>
        <v/>
      </c>
      <c r="O109"/>
    </row>
    <row r="110" spans="1:15">
      <c r="A110" s="13">
        <v>45851.770833333336</v>
      </c>
      <c r="B110" s="14">
        <v>-1.45</v>
      </c>
      <c r="C110" s="15">
        <v>0</v>
      </c>
      <c r="D110" s="15">
        <v>6945.25</v>
      </c>
      <c r="E110" s="15">
        <v>-2.25</v>
      </c>
      <c r="F110" s="15">
        <v>0</v>
      </c>
      <c r="G110" s="15">
        <v>354.04</v>
      </c>
      <c r="H110" s="15">
        <v>352.46</v>
      </c>
      <c r="I110" s="15">
        <v>667.13</v>
      </c>
      <c r="J110" s="15">
        <v>1801.5</v>
      </c>
      <c r="K110" s="15">
        <v>0.05</v>
      </c>
      <c r="L110" s="15">
        <v>0</v>
      </c>
      <c r="M110" s="16">
        <v>185.01</v>
      </c>
      <c r="N110" s="25" t="str">
        <f t="shared" si="1"/>
        <v/>
      </c>
      <c r="O110"/>
    </row>
    <row r="111" spans="1:15">
      <c r="A111" s="13">
        <v>45851.791666666664</v>
      </c>
      <c r="B111" s="14">
        <v>-1.53</v>
      </c>
      <c r="C111" s="15">
        <v>0</v>
      </c>
      <c r="D111" s="15">
        <v>6942.21</v>
      </c>
      <c r="E111" s="15">
        <v>-2.2599999999999998</v>
      </c>
      <c r="F111" s="15">
        <v>0</v>
      </c>
      <c r="G111" s="15">
        <v>353.65</v>
      </c>
      <c r="H111" s="15">
        <v>293.27</v>
      </c>
      <c r="I111" s="15">
        <v>512.80999999999995</v>
      </c>
      <c r="J111" s="15">
        <v>1949.97</v>
      </c>
      <c r="K111" s="15">
        <v>0.05</v>
      </c>
      <c r="L111" s="15">
        <v>0</v>
      </c>
      <c r="M111" s="16">
        <v>138.06</v>
      </c>
      <c r="N111" s="25" t="str">
        <f t="shared" si="1"/>
        <v/>
      </c>
      <c r="O111"/>
    </row>
    <row r="112" spans="1:15">
      <c r="A112" s="13">
        <v>45851.8125</v>
      </c>
      <c r="B112" s="14">
        <v>-2.15</v>
      </c>
      <c r="C112" s="15">
        <v>0</v>
      </c>
      <c r="D112" s="15">
        <v>6938.83</v>
      </c>
      <c r="E112" s="15">
        <v>-2.15</v>
      </c>
      <c r="F112" s="15">
        <v>0</v>
      </c>
      <c r="G112" s="15">
        <v>330.67</v>
      </c>
      <c r="H112" s="15">
        <v>168.55</v>
      </c>
      <c r="I112" s="15">
        <v>516.33000000000004</v>
      </c>
      <c r="J112" s="15">
        <v>2046.18</v>
      </c>
      <c r="K112" s="15">
        <v>0.05</v>
      </c>
      <c r="L112" s="15">
        <v>0</v>
      </c>
      <c r="M112" s="16">
        <v>136.86000000000001</v>
      </c>
      <c r="N112" s="25" t="str">
        <f t="shared" si="1"/>
        <v/>
      </c>
      <c r="O112"/>
    </row>
    <row r="113" spans="1:15">
      <c r="A113" s="13">
        <v>45851.833333333336</v>
      </c>
      <c r="B113" s="14">
        <v>-3.45</v>
      </c>
      <c r="C113" s="15">
        <v>0</v>
      </c>
      <c r="D113" s="15">
        <v>6935.89</v>
      </c>
      <c r="E113" s="15">
        <v>-0.85</v>
      </c>
      <c r="F113" s="15">
        <v>0</v>
      </c>
      <c r="G113" s="15">
        <v>305.45</v>
      </c>
      <c r="H113" s="15">
        <v>43.64</v>
      </c>
      <c r="I113" s="15">
        <v>485.39</v>
      </c>
      <c r="J113" s="15">
        <v>2096.2800000000002</v>
      </c>
      <c r="K113" s="15">
        <v>0.05</v>
      </c>
      <c r="L113" s="15">
        <v>0</v>
      </c>
      <c r="M113" s="16">
        <v>110.96</v>
      </c>
      <c r="N113" s="25" t="str">
        <f t="shared" si="1"/>
        <v/>
      </c>
      <c r="O113"/>
    </row>
    <row r="114" spans="1:15">
      <c r="A114" s="13">
        <v>45851.854166666664</v>
      </c>
      <c r="B114" s="14">
        <v>-2.67</v>
      </c>
      <c r="C114" s="15">
        <v>0</v>
      </c>
      <c r="D114" s="15">
        <v>6948.12</v>
      </c>
      <c r="E114" s="15">
        <v>-0.95</v>
      </c>
      <c r="F114" s="15">
        <v>0</v>
      </c>
      <c r="G114" s="15">
        <v>187.96</v>
      </c>
      <c r="H114" s="15">
        <v>21.47</v>
      </c>
      <c r="I114" s="15">
        <v>418.43</v>
      </c>
      <c r="J114" s="15">
        <v>2138.23</v>
      </c>
      <c r="K114" s="15">
        <v>0.05</v>
      </c>
      <c r="L114" s="15">
        <v>0</v>
      </c>
      <c r="M114" s="16">
        <v>140.03</v>
      </c>
      <c r="N114" s="25" t="str">
        <f t="shared" si="1"/>
        <v/>
      </c>
      <c r="O114"/>
    </row>
    <row r="115" spans="1:15">
      <c r="A115" s="13">
        <v>45851.875</v>
      </c>
      <c r="B115" s="14">
        <v>-11.84</v>
      </c>
      <c r="C115" s="15">
        <v>0</v>
      </c>
      <c r="D115" s="15">
        <v>6973.47</v>
      </c>
      <c r="E115" s="15">
        <v>-1.49</v>
      </c>
      <c r="F115" s="15">
        <v>0</v>
      </c>
      <c r="G115" s="15">
        <v>42.95</v>
      </c>
      <c r="H115" s="15">
        <v>10.91</v>
      </c>
      <c r="I115" s="15">
        <v>210.94</v>
      </c>
      <c r="J115" s="15">
        <v>2158.5300000000002</v>
      </c>
      <c r="K115" s="15">
        <v>0.05</v>
      </c>
      <c r="L115" s="15">
        <v>0</v>
      </c>
      <c r="M115" s="16">
        <v>100.01</v>
      </c>
      <c r="N115" s="25" t="str">
        <f t="shared" si="1"/>
        <v/>
      </c>
      <c r="O115"/>
    </row>
    <row r="116" spans="1:15">
      <c r="A116" s="13">
        <v>45851.895833333336</v>
      </c>
      <c r="B116" s="14">
        <v>-7.38</v>
      </c>
      <c r="C116" s="15">
        <v>0</v>
      </c>
      <c r="D116" s="15">
        <v>6949.76</v>
      </c>
      <c r="E116" s="15">
        <v>-0.97</v>
      </c>
      <c r="F116" s="15">
        <v>0</v>
      </c>
      <c r="G116" s="15">
        <v>43.15</v>
      </c>
      <c r="H116" s="15">
        <v>2.4300000000000002</v>
      </c>
      <c r="I116" s="15">
        <v>48.35</v>
      </c>
      <c r="J116" s="15">
        <v>2151.7600000000002</v>
      </c>
      <c r="K116" s="15">
        <v>0.05</v>
      </c>
      <c r="L116" s="15">
        <v>0</v>
      </c>
      <c r="M116" s="16">
        <v>76.8</v>
      </c>
      <c r="N116" s="25" t="str">
        <f t="shared" si="1"/>
        <v/>
      </c>
      <c r="O116"/>
    </row>
    <row r="117" spans="1:15">
      <c r="A117" s="13">
        <v>45851.916666666664</v>
      </c>
      <c r="B117" s="14">
        <v>-83.85</v>
      </c>
      <c r="C117" s="15">
        <v>0</v>
      </c>
      <c r="D117" s="15">
        <v>6692.86</v>
      </c>
      <c r="E117" s="15">
        <v>-0.57999999999999996</v>
      </c>
      <c r="F117" s="15">
        <v>0</v>
      </c>
      <c r="G117" s="15">
        <v>43.14</v>
      </c>
      <c r="H117" s="15">
        <v>1.77</v>
      </c>
      <c r="I117" s="15">
        <v>30.8</v>
      </c>
      <c r="J117" s="15">
        <v>2106.94</v>
      </c>
      <c r="K117" s="15">
        <v>0.05</v>
      </c>
      <c r="L117" s="15">
        <v>0</v>
      </c>
      <c r="M117" s="16">
        <v>49.78</v>
      </c>
      <c r="N117" s="25" t="str">
        <f t="shared" si="1"/>
        <v/>
      </c>
      <c r="O117"/>
    </row>
    <row r="118" spans="1:15">
      <c r="A118" s="13">
        <v>45851.9375</v>
      </c>
      <c r="B118" s="14">
        <v>-155.27000000000001</v>
      </c>
      <c r="C118" s="15">
        <v>0</v>
      </c>
      <c r="D118" s="15">
        <v>6625.97</v>
      </c>
      <c r="E118" s="15">
        <v>-0.85</v>
      </c>
      <c r="F118" s="15">
        <v>0</v>
      </c>
      <c r="G118" s="15">
        <v>42.51</v>
      </c>
      <c r="H118" s="15">
        <v>3.37</v>
      </c>
      <c r="I118" s="15">
        <v>31.03</v>
      </c>
      <c r="J118" s="15">
        <v>2065.66</v>
      </c>
      <c r="K118" s="15">
        <v>0.05</v>
      </c>
      <c r="L118" s="15">
        <v>0</v>
      </c>
      <c r="M118" s="16">
        <v>65.23</v>
      </c>
      <c r="N118" s="25" t="str">
        <f t="shared" si="1"/>
        <v/>
      </c>
      <c r="O118"/>
    </row>
    <row r="119" spans="1:15">
      <c r="A119" s="13">
        <v>45851.958333333336</v>
      </c>
      <c r="B119" s="14">
        <v>-62.67</v>
      </c>
      <c r="C119" s="15">
        <v>0</v>
      </c>
      <c r="D119" s="15">
        <v>6276.39</v>
      </c>
      <c r="E119" s="15">
        <v>1.53</v>
      </c>
      <c r="F119" s="15">
        <v>0</v>
      </c>
      <c r="G119" s="15">
        <v>42.52</v>
      </c>
      <c r="H119" s="15">
        <v>1.39</v>
      </c>
      <c r="I119" s="15">
        <v>30.94</v>
      </c>
      <c r="J119" s="15">
        <v>2095.64</v>
      </c>
      <c r="K119" s="15">
        <v>0.05</v>
      </c>
      <c r="L119" s="15">
        <v>0</v>
      </c>
      <c r="M119" s="16">
        <v>58.83</v>
      </c>
      <c r="N119" s="25" t="str">
        <f t="shared" si="1"/>
        <v/>
      </c>
      <c r="O119"/>
    </row>
    <row r="120" spans="1:15">
      <c r="A120" s="13">
        <v>45851.979166666664</v>
      </c>
      <c r="B120" s="14">
        <v>-101.41</v>
      </c>
      <c r="C120" s="15">
        <v>0</v>
      </c>
      <c r="D120" s="15">
        <v>5983.07</v>
      </c>
      <c r="E120" s="15">
        <v>2.4</v>
      </c>
      <c r="F120" s="15">
        <v>0</v>
      </c>
      <c r="G120" s="15">
        <v>43.16</v>
      </c>
      <c r="H120" s="15">
        <v>1.05</v>
      </c>
      <c r="I120" s="15">
        <v>30.87</v>
      </c>
      <c r="J120" s="15">
        <v>2144.85</v>
      </c>
      <c r="K120" s="15">
        <v>0.05</v>
      </c>
      <c r="L120" s="15">
        <v>0</v>
      </c>
      <c r="M120" s="16">
        <v>53.54</v>
      </c>
      <c r="N120" s="25" t="str">
        <f t="shared" si="1"/>
        <v/>
      </c>
      <c r="O120"/>
    </row>
    <row r="121" spans="1:15">
      <c r="A121" s="13">
        <v>45852</v>
      </c>
      <c r="B121" s="14">
        <v>-87.13</v>
      </c>
      <c r="C121" s="15">
        <v>0</v>
      </c>
      <c r="D121" s="15">
        <v>5820.55</v>
      </c>
      <c r="E121" s="15">
        <v>1.32</v>
      </c>
      <c r="F121" s="15">
        <v>0</v>
      </c>
      <c r="G121" s="15">
        <v>43.36</v>
      </c>
      <c r="H121" s="15">
        <v>0.6</v>
      </c>
      <c r="I121" s="15">
        <v>30.93</v>
      </c>
      <c r="J121" s="15">
        <v>2190.79</v>
      </c>
      <c r="K121" s="15">
        <v>0.05</v>
      </c>
      <c r="L121" s="15">
        <v>0</v>
      </c>
      <c r="M121" s="16">
        <v>65.36</v>
      </c>
      <c r="N121" s="25" t="str">
        <f t="shared" si="1"/>
        <v>14 Jul</v>
      </c>
      <c r="O121"/>
    </row>
    <row r="122" spans="1:15">
      <c r="A122" s="13">
        <v>45852.020833333336</v>
      </c>
      <c r="B122" s="14">
        <v>-50.52</v>
      </c>
      <c r="C122" s="15">
        <v>0</v>
      </c>
      <c r="D122" s="15">
        <v>5517.03</v>
      </c>
      <c r="E122" s="15">
        <v>-0.23</v>
      </c>
      <c r="F122" s="15">
        <v>0</v>
      </c>
      <c r="G122" s="15">
        <v>43.19</v>
      </c>
      <c r="H122" s="15">
        <v>0.18</v>
      </c>
      <c r="I122" s="15">
        <v>25.74</v>
      </c>
      <c r="J122" s="15">
        <v>2233.4299999999998</v>
      </c>
      <c r="K122" s="15">
        <v>0.05</v>
      </c>
      <c r="L122" s="15">
        <v>0</v>
      </c>
      <c r="M122" s="16">
        <v>57.01</v>
      </c>
      <c r="N122" s="25" t="str">
        <f t="shared" si="1"/>
        <v/>
      </c>
      <c r="O122"/>
    </row>
    <row r="123" spans="1:15">
      <c r="A123" s="13">
        <v>45852.041666666664</v>
      </c>
      <c r="B123" s="14">
        <v>-4.3099999999999996</v>
      </c>
      <c r="C123" s="15">
        <v>0</v>
      </c>
      <c r="D123" s="15">
        <v>5349.02</v>
      </c>
      <c r="E123" s="15">
        <v>0.21</v>
      </c>
      <c r="F123" s="15">
        <v>0</v>
      </c>
      <c r="G123" s="15">
        <v>42.53</v>
      </c>
      <c r="H123" s="15">
        <v>1.05</v>
      </c>
      <c r="I123" s="15">
        <v>0</v>
      </c>
      <c r="J123" s="15">
        <v>2282.92</v>
      </c>
      <c r="K123" s="15">
        <v>0.05</v>
      </c>
      <c r="L123" s="15">
        <v>0</v>
      </c>
      <c r="M123" s="16">
        <v>64.89</v>
      </c>
      <c r="N123" s="25" t="str">
        <f t="shared" si="1"/>
        <v/>
      </c>
      <c r="O123"/>
    </row>
    <row r="124" spans="1:15">
      <c r="A124" s="13">
        <v>45852.0625</v>
      </c>
      <c r="B124" s="14">
        <v>-51.03</v>
      </c>
      <c r="C124" s="15">
        <v>0</v>
      </c>
      <c r="D124" s="15">
        <v>5143.7</v>
      </c>
      <c r="E124" s="15">
        <v>0.69</v>
      </c>
      <c r="F124" s="15">
        <v>0</v>
      </c>
      <c r="G124" s="15">
        <v>42.41</v>
      </c>
      <c r="H124" s="15">
        <v>0.28999999999999998</v>
      </c>
      <c r="I124" s="15">
        <v>0</v>
      </c>
      <c r="J124" s="15">
        <v>2301.21</v>
      </c>
      <c r="K124" s="15">
        <v>0.05</v>
      </c>
      <c r="L124" s="15">
        <v>0</v>
      </c>
      <c r="M124" s="16">
        <v>68.540000000000006</v>
      </c>
      <c r="N124" s="25" t="str">
        <f t="shared" si="1"/>
        <v/>
      </c>
      <c r="O124"/>
    </row>
    <row r="125" spans="1:15">
      <c r="A125" s="13">
        <v>45852.083333333336</v>
      </c>
      <c r="B125" s="14">
        <v>-52.8</v>
      </c>
      <c r="C125" s="15">
        <v>0</v>
      </c>
      <c r="D125" s="15">
        <v>4920.88</v>
      </c>
      <c r="E125" s="15">
        <v>0.38</v>
      </c>
      <c r="F125" s="15">
        <v>0</v>
      </c>
      <c r="G125" s="15">
        <v>42.87</v>
      </c>
      <c r="H125" s="15">
        <v>0.35</v>
      </c>
      <c r="I125" s="15">
        <v>0</v>
      </c>
      <c r="J125" s="15">
        <v>2267.08</v>
      </c>
      <c r="K125" s="15">
        <v>0.05</v>
      </c>
      <c r="L125" s="15">
        <v>0</v>
      </c>
      <c r="M125" s="16">
        <v>69.52</v>
      </c>
      <c r="N125" s="25" t="str">
        <f t="shared" si="1"/>
        <v/>
      </c>
      <c r="O125"/>
    </row>
    <row r="126" spans="1:15">
      <c r="A126" s="13">
        <v>45852.104166666664</v>
      </c>
      <c r="B126" s="14">
        <v>-67.489999999999995</v>
      </c>
      <c r="C126" s="15">
        <v>0</v>
      </c>
      <c r="D126" s="15">
        <v>4781.75</v>
      </c>
      <c r="E126" s="15">
        <v>0.89</v>
      </c>
      <c r="F126" s="15">
        <v>0</v>
      </c>
      <c r="G126" s="15">
        <v>43.16</v>
      </c>
      <c r="H126" s="15">
        <v>1.51</v>
      </c>
      <c r="I126" s="15">
        <v>0</v>
      </c>
      <c r="J126" s="15">
        <v>2249.91</v>
      </c>
      <c r="K126" s="15">
        <v>0.05</v>
      </c>
      <c r="L126" s="15">
        <v>0</v>
      </c>
      <c r="M126" s="16">
        <v>51.17</v>
      </c>
      <c r="N126" s="25" t="str">
        <f t="shared" si="1"/>
        <v/>
      </c>
      <c r="O126"/>
    </row>
    <row r="127" spans="1:15">
      <c r="A127" s="13">
        <v>45852.125</v>
      </c>
      <c r="B127" s="14">
        <v>-63.85</v>
      </c>
      <c r="C127" s="15">
        <v>0</v>
      </c>
      <c r="D127" s="15">
        <v>4703</v>
      </c>
      <c r="E127" s="15">
        <v>-0.04</v>
      </c>
      <c r="F127" s="15">
        <v>0</v>
      </c>
      <c r="G127" s="15">
        <v>43.29</v>
      </c>
      <c r="H127" s="15">
        <v>1.01</v>
      </c>
      <c r="I127" s="15">
        <v>0</v>
      </c>
      <c r="J127" s="15">
        <v>2264.0500000000002</v>
      </c>
      <c r="K127" s="15">
        <v>0.05</v>
      </c>
      <c r="L127" s="15">
        <v>0</v>
      </c>
      <c r="M127" s="16">
        <v>56.71</v>
      </c>
      <c r="N127" s="25" t="str">
        <f t="shared" si="1"/>
        <v/>
      </c>
      <c r="O127"/>
    </row>
    <row r="128" spans="1:15">
      <c r="A128" s="13">
        <v>45852.145833333336</v>
      </c>
      <c r="B128" s="14">
        <v>-43.63</v>
      </c>
      <c r="C128" s="15">
        <v>0</v>
      </c>
      <c r="D128" s="15">
        <v>4627.54</v>
      </c>
      <c r="E128" s="15">
        <v>-0.24</v>
      </c>
      <c r="F128" s="15">
        <v>0</v>
      </c>
      <c r="G128" s="15">
        <v>43.32</v>
      </c>
      <c r="H128" s="15">
        <v>1.59</v>
      </c>
      <c r="I128" s="15">
        <v>0</v>
      </c>
      <c r="J128" s="15">
        <v>2116.71</v>
      </c>
      <c r="K128" s="15">
        <v>0.05</v>
      </c>
      <c r="L128" s="15">
        <v>0</v>
      </c>
      <c r="M128" s="16">
        <v>56.98</v>
      </c>
      <c r="N128" s="25" t="str">
        <f t="shared" si="1"/>
        <v/>
      </c>
      <c r="O128"/>
    </row>
    <row r="129" spans="1:15">
      <c r="A129" s="13">
        <v>45852.166666666664</v>
      </c>
      <c r="B129" s="14">
        <v>-55.86</v>
      </c>
      <c r="C129" s="15">
        <v>0</v>
      </c>
      <c r="D129" s="15">
        <v>4765.43</v>
      </c>
      <c r="E129" s="15">
        <v>-1.26</v>
      </c>
      <c r="F129" s="15">
        <v>0</v>
      </c>
      <c r="G129" s="15">
        <v>43.3</v>
      </c>
      <c r="H129" s="15">
        <v>11.02</v>
      </c>
      <c r="I129" s="15">
        <v>-0.05</v>
      </c>
      <c r="J129" s="15">
        <v>2004.46</v>
      </c>
      <c r="K129" s="15">
        <v>0.05</v>
      </c>
      <c r="L129" s="15">
        <v>0</v>
      </c>
      <c r="M129" s="16">
        <v>57.01</v>
      </c>
      <c r="N129" s="25" t="str">
        <f t="shared" si="1"/>
        <v/>
      </c>
      <c r="O129"/>
    </row>
    <row r="130" spans="1:15">
      <c r="A130" s="13">
        <v>45852.1875</v>
      </c>
      <c r="B130" s="14">
        <v>-95.96</v>
      </c>
      <c r="C130" s="15">
        <v>0</v>
      </c>
      <c r="D130" s="15">
        <v>5265.24</v>
      </c>
      <c r="E130" s="15">
        <v>-0.54</v>
      </c>
      <c r="F130" s="15">
        <v>0</v>
      </c>
      <c r="G130" s="15">
        <v>43.4</v>
      </c>
      <c r="H130" s="15">
        <v>0.69</v>
      </c>
      <c r="I130" s="15">
        <v>0</v>
      </c>
      <c r="J130" s="15">
        <v>1914.67</v>
      </c>
      <c r="K130" s="15">
        <v>0.05</v>
      </c>
      <c r="L130" s="15">
        <v>0</v>
      </c>
      <c r="M130" s="16">
        <v>72.489999999999995</v>
      </c>
      <c r="N130" s="25" t="str">
        <f t="shared" ref="N130:N193" si="2">IF(AND(HOUR(A130)=0,MINUTE(A130)=0),TEXT(A130,"d mmm"),"")</f>
        <v/>
      </c>
      <c r="O130"/>
    </row>
    <row r="131" spans="1:15">
      <c r="A131" s="13">
        <v>45852.208333333336</v>
      </c>
      <c r="B131" s="14">
        <v>-37.93</v>
      </c>
      <c r="C131" s="15">
        <v>0</v>
      </c>
      <c r="D131" s="15">
        <v>5618.82</v>
      </c>
      <c r="E131" s="15">
        <v>0.56999999999999995</v>
      </c>
      <c r="F131" s="15">
        <v>0</v>
      </c>
      <c r="G131" s="15">
        <v>42.88</v>
      </c>
      <c r="H131" s="15">
        <v>5.82</v>
      </c>
      <c r="I131" s="15">
        <v>0</v>
      </c>
      <c r="J131" s="15">
        <v>1963.07</v>
      </c>
      <c r="K131" s="15">
        <v>0.05</v>
      </c>
      <c r="L131" s="15">
        <v>0</v>
      </c>
      <c r="M131" s="16">
        <v>69.599999999999994</v>
      </c>
      <c r="N131" s="25" t="str">
        <f t="shared" si="2"/>
        <v/>
      </c>
      <c r="O131"/>
    </row>
    <row r="132" spans="1:15">
      <c r="A132" s="13">
        <v>45852.229166666664</v>
      </c>
      <c r="B132" s="14">
        <v>-10.93</v>
      </c>
      <c r="C132" s="15">
        <v>0</v>
      </c>
      <c r="D132" s="15">
        <v>6309.23</v>
      </c>
      <c r="E132" s="15">
        <v>-0.28999999999999998</v>
      </c>
      <c r="F132" s="15">
        <v>0</v>
      </c>
      <c r="G132" s="15">
        <v>42.53</v>
      </c>
      <c r="H132" s="15">
        <v>4.59</v>
      </c>
      <c r="I132" s="15">
        <v>57.01</v>
      </c>
      <c r="J132" s="15">
        <v>1767.6</v>
      </c>
      <c r="K132" s="15">
        <v>0.05</v>
      </c>
      <c r="L132" s="15">
        <v>0</v>
      </c>
      <c r="M132" s="16">
        <v>77.510000000000005</v>
      </c>
      <c r="N132" s="25" t="str">
        <f t="shared" si="2"/>
        <v/>
      </c>
      <c r="O132"/>
    </row>
    <row r="133" spans="1:15">
      <c r="A133" s="13">
        <v>45852.25</v>
      </c>
      <c r="B133" s="14">
        <v>-10.5</v>
      </c>
      <c r="C133" s="15">
        <v>0</v>
      </c>
      <c r="D133" s="15">
        <v>6751.5</v>
      </c>
      <c r="E133" s="15">
        <v>-1.1299999999999999</v>
      </c>
      <c r="F133" s="15">
        <v>0</v>
      </c>
      <c r="G133" s="15">
        <v>43</v>
      </c>
      <c r="H133" s="15">
        <v>83.72</v>
      </c>
      <c r="I133" s="15">
        <v>233.36</v>
      </c>
      <c r="J133" s="15">
        <v>1750.97</v>
      </c>
      <c r="K133" s="15">
        <v>0.05</v>
      </c>
      <c r="L133" s="15">
        <v>0</v>
      </c>
      <c r="M133" s="16">
        <v>93.14</v>
      </c>
      <c r="N133" s="25" t="str">
        <f t="shared" si="2"/>
        <v/>
      </c>
      <c r="O133"/>
    </row>
    <row r="134" spans="1:15">
      <c r="A134" s="13">
        <v>45852.270833333336</v>
      </c>
      <c r="B134" s="14">
        <v>-15.9</v>
      </c>
      <c r="C134" s="15">
        <v>0</v>
      </c>
      <c r="D134" s="15">
        <v>7123.99</v>
      </c>
      <c r="E134" s="15">
        <v>-3.58</v>
      </c>
      <c r="F134" s="15">
        <v>0</v>
      </c>
      <c r="G134" s="15">
        <v>43.75</v>
      </c>
      <c r="H134" s="15">
        <v>146.22999999999999</v>
      </c>
      <c r="I134" s="15">
        <v>190.83</v>
      </c>
      <c r="J134" s="15">
        <v>1760.49</v>
      </c>
      <c r="K134" s="15">
        <v>0.05</v>
      </c>
      <c r="L134" s="15">
        <v>0.12</v>
      </c>
      <c r="M134" s="16">
        <v>153.1</v>
      </c>
      <c r="N134" s="25" t="str">
        <f t="shared" si="2"/>
        <v/>
      </c>
      <c r="O134"/>
    </row>
    <row r="135" spans="1:15">
      <c r="A135" s="13">
        <v>45852.291666666664</v>
      </c>
      <c r="B135" s="14">
        <v>-2.09</v>
      </c>
      <c r="C135" s="15">
        <v>0</v>
      </c>
      <c r="D135" s="15">
        <v>7297.42</v>
      </c>
      <c r="E135" s="15">
        <v>-1.92</v>
      </c>
      <c r="F135" s="15">
        <v>0</v>
      </c>
      <c r="G135" s="15">
        <v>43.23</v>
      </c>
      <c r="H135" s="15">
        <v>240.67</v>
      </c>
      <c r="I135" s="15">
        <v>358.43</v>
      </c>
      <c r="J135" s="15">
        <v>1750.08</v>
      </c>
      <c r="K135" s="15">
        <v>5.23</v>
      </c>
      <c r="L135" s="15">
        <v>7.84</v>
      </c>
      <c r="M135" s="16">
        <v>147.21</v>
      </c>
      <c r="N135" s="25" t="str">
        <f t="shared" si="2"/>
        <v/>
      </c>
      <c r="O135"/>
    </row>
    <row r="136" spans="1:15">
      <c r="A136" s="13">
        <v>45852.3125</v>
      </c>
      <c r="B136" s="14">
        <v>-4.78</v>
      </c>
      <c r="C136" s="15">
        <v>0</v>
      </c>
      <c r="D136" s="15">
        <v>7328.85</v>
      </c>
      <c r="E136" s="15">
        <v>-3.31</v>
      </c>
      <c r="F136" s="15">
        <v>0</v>
      </c>
      <c r="G136" s="15">
        <v>43.32</v>
      </c>
      <c r="H136" s="15">
        <v>89.95</v>
      </c>
      <c r="I136" s="15">
        <v>577.28</v>
      </c>
      <c r="J136" s="15">
        <v>1818.48</v>
      </c>
      <c r="K136" s="15">
        <v>136.53</v>
      </c>
      <c r="L136" s="15">
        <v>94.14</v>
      </c>
      <c r="M136" s="16">
        <v>154.78</v>
      </c>
      <c r="N136" s="25" t="str">
        <f t="shared" si="2"/>
        <v/>
      </c>
      <c r="O136"/>
    </row>
    <row r="137" spans="1:15">
      <c r="A137" s="13">
        <v>45852.333333333336</v>
      </c>
      <c r="B137" s="14">
        <v>-5.0999999999999996</v>
      </c>
      <c r="C137" s="15">
        <v>0</v>
      </c>
      <c r="D137" s="15">
        <v>6969.81</v>
      </c>
      <c r="E137" s="15">
        <v>-3.44</v>
      </c>
      <c r="F137" s="15">
        <v>0</v>
      </c>
      <c r="G137" s="15">
        <v>43.3</v>
      </c>
      <c r="H137" s="15">
        <v>80.38</v>
      </c>
      <c r="I137" s="15">
        <v>298.17</v>
      </c>
      <c r="J137" s="15">
        <v>1670.48</v>
      </c>
      <c r="K137" s="15">
        <v>735.66</v>
      </c>
      <c r="L137" s="15">
        <v>389.47</v>
      </c>
      <c r="M137" s="16">
        <v>81.06</v>
      </c>
      <c r="N137" s="25" t="str">
        <f t="shared" si="2"/>
        <v/>
      </c>
      <c r="O137"/>
    </row>
    <row r="138" spans="1:15">
      <c r="A138" s="13">
        <v>45852.354166666664</v>
      </c>
      <c r="B138" s="14">
        <v>-35.28</v>
      </c>
      <c r="C138" s="15">
        <v>0</v>
      </c>
      <c r="D138" s="15">
        <v>5979.68</v>
      </c>
      <c r="E138" s="15">
        <v>-3.45</v>
      </c>
      <c r="F138" s="15">
        <v>0</v>
      </c>
      <c r="G138" s="15">
        <v>43.44</v>
      </c>
      <c r="H138" s="15">
        <v>1.1599999999999999</v>
      </c>
      <c r="I138" s="15">
        <v>0</v>
      </c>
      <c r="J138" s="15">
        <v>1447.65</v>
      </c>
      <c r="K138" s="15">
        <v>1700.98</v>
      </c>
      <c r="L138" s="15">
        <v>873.76</v>
      </c>
      <c r="M138" s="16">
        <v>-14.01</v>
      </c>
      <c r="N138" s="25" t="str">
        <f t="shared" si="2"/>
        <v/>
      </c>
      <c r="O138"/>
    </row>
    <row r="139" spans="1:15">
      <c r="A139" s="13">
        <v>45852.375</v>
      </c>
      <c r="B139" s="14">
        <v>-38.520000000000003</v>
      </c>
      <c r="C139" s="15">
        <v>-26.8</v>
      </c>
      <c r="D139" s="15">
        <v>5028.6499999999996</v>
      </c>
      <c r="E139" s="15">
        <v>0.96</v>
      </c>
      <c r="F139" s="15">
        <v>0</v>
      </c>
      <c r="G139" s="15">
        <v>42.44</v>
      </c>
      <c r="H139" s="15">
        <v>0.81</v>
      </c>
      <c r="I139" s="15">
        <v>0</v>
      </c>
      <c r="J139" s="15">
        <v>1171.56</v>
      </c>
      <c r="K139" s="15">
        <v>2574.77</v>
      </c>
      <c r="L139" s="15">
        <v>1457.97</v>
      </c>
      <c r="M139" s="16">
        <v>16.04</v>
      </c>
      <c r="N139" s="25" t="str">
        <f t="shared" si="2"/>
        <v/>
      </c>
      <c r="O139"/>
    </row>
    <row r="140" spans="1:15">
      <c r="A140" s="13">
        <v>45852.395833333336</v>
      </c>
      <c r="B140" s="14">
        <v>-8.85</v>
      </c>
      <c r="C140" s="15">
        <v>-97.44</v>
      </c>
      <c r="D140" s="15">
        <v>4242.24</v>
      </c>
      <c r="E140" s="15">
        <v>11.53</v>
      </c>
      <c r="F140" s="15">
        <v>0</v>
      </c>
      <c r="G140" s="15">
        <v>40.770000000000003</v>
      </c>
      <c r="H140" s="15">
        <v>1.08</v>
      </c>
      <c r="I140" s="15">
        <v>0</v>
      </c>
      <c r="J140" s="15">
        <v>1027.68</v>
      </c>
      <c r="K140" s="15">
        <v>2910.9</v>
      </c>
      <c r="L140" s="15">
        <v>2056.14</v>
      </c>
      <c r="M140" s="16">
        <v>50.35</v>
      </c>
      <c r="N140" s="25" t="str">
        <f t="shared" si="2"/>
        <v/>
      </c>
      <c r="O140"/>
    </row>
    <row r="141" spans="1:15">
      <c r="A141" s="13">
        <v>45852.416666666664</v>
      </c>
      <c r="B141" s="14">
        <v>-81.27</v>
      </c>
      <c r="C141" s="15">
        <v>-283.64</v>
      </c>
      <c r="D141" s="15">
        <v>3632.09</v>
      </c>
      <c r="E141" s="15">
        <v>13.54</v>
      </c>
      <c r="F141" s="15">
        <v>0</v>
      </c>
      <c r="G141" s="15">
        <v>38.119999999999997</v>
      </c>
      <c r="H141" s="15">
        <v>2.21</v>
      </c>
      <c r="I141" s="15">
        <v>0</v>
      </c>
      <c r="J141" s="15">
        <v>960.08</v>
      </c>
      <c r="K141" s="15">
        <v>3022.31</v>
      </c>
      <c r="L141" s="15">
        <v>2593.56</v>
      </c>
      <c r="M141" s="16">
        <v>24</v>
      </c>
      <c r="N141" s="25" t="str">
        <f t="shared" si="2"/>
        <v/>
      </c>
      <c r="O141"/>
    </row>
    <row r="142" spans="1:15">
      <c r="A142" s="13">
        <v>45852.4375</v>
      </c>
      <c r="B142" s="14">
        <v>-106.43</v>
      </c>
      <c r="C142" s="15">
        <v>-480.14</v>
      </c>
      <c r="D142" s="15">
        <v>3455.68</v>
      </c>
      <c r="E142" s="15">
        <v>13.92</v>
      </c>
      <c r="F142" s="15">
        <v>0</v>
      </c>
      <c r="G142" s="15">
        <v>40.619999999999997</v>
      </c>
      <c r="H142" s="15">
        <v>1.74</v>
      </c>
      <c r="I142" s="15">
        <v>0</v>
      </c>
      <c r="J142" s="15">
        <v>905.81</v>
      </c>
      <c r="K142" s="15">
        <v>3084.05</v>
      </c>
      <c r="L142" s="15">
        <v>3022.73</v>
      </c>
      <c r="M142" s="16">
        <v>45</v>
      </c>
      <c r="N142" s="25" t="str">
        <f t="shared" si="2"/>
        <v/>
      </c>
      <c r="O142"/>
    </row>
    <row r="143" spans="1:15">
      <c r="A143" s="13">
        <v>45852.458333333336</v>
      </c>
      <c r="B143" s="14">
        <v>-244.89</v>
      </c>
      <c r="C143" s="15">
        <v>-657.9</v>
      </c>
      <c r="D143" s="15">
        <v>3370.09</v>
      </c>
      <c r="E143" s="15">
        <v>13.54</v>
      </c>
      <c r="F143" s="15">
        <v>0</v>
      </c>
      <c r="G143" s="15">
        <v>38.700000000000003</v>
      </c>
      <c r="H143" s="15">
        <v>0.02</v>
      </c>
      <c r="I143" s="15">
        <v>0</v>
      </c>
      <c r="J143" s="15">
        <v>892.28</v>
      </c>
      <c r="K143" s="15">
        <v>2987.13</v>
      </c>
      <c r="L143" s="15">
        <v>3352.07</v>
      </c>
      <c r="M143" s="16">
        <v>-9.5</v>
      </c>
      <c r="N143" s="25" t="str">
        <f t="shared" si="2"/>
        <v/>
      </c>
      <c r="O143"/>
    </row>
    <row r="144" spans="1:15">
      <c r="A144" s="13">
        <v>45852.479166666664</v>
      </c>
      <c r="B144" s="14">
        <v>-458.77</v>
      </c>
      <c r="C144" s="15">
        <v>-657.57</v>
      </c>
      <c r="D144" s="15">
        <v>3416</v>
      </c>
      <c r="E144" s="15">
        <v>13.34</v>
      </c>
      <c r="F144" s="15">
        <v>0</v>
      </c>
      <c r="G144" s="15">
        <v>38.369999999999997</v>
      </c>
      <c r="H144" s="15">
        <v>0.31</v>
      </c>
      <c r="I144" s="15">
        <v>0</v>
      </c>
      <c r="J144" s="15">
        <v>952.99</v>
      </c>
      <c r="K144" s="15">
        <v>2926.51</v>
      </c>
      <c r="L144" s="15">
        <v>3570.13</v>
      </c>
      <c r="M144" s="16">
        <v>22.93</v>
      </c>
      <c r="N144" s="25" t="str">
        <f t="shared" si="2"/>
        <v/>
      </c>
      <c r="O144"/>
    </row>
    <row r="145" spans="1:15">
      <c r="A145" s="13">
        <v>45852.5</v>
      </c>
      <c r="B145" s="14">
        <v>-292.61</v>
      </c>
      <c r="C145" s="15">
        <v>-657.06</v>
      </c>
      <c r="D145" s="15">
        <v>3325.91</v>
      </c>
      <c r="E145" s="15">
        <v>9.8000000000000007</v>
      </c>
      <c r="F145" s="15">
        <v>0</v>
      </c>
      <c r="G145" s="15">
        <v>38.18</v>
      </c>
      <c r="H145" s="15">
        <v>275.94</v>
      </c>
      <c r="I145" s="15">
        <v>0</v>
      </c>
      <c r="J145" s="15">
        <v>940.11</v>
      </c>
      <c r="K145" s="15">
        <v>2611.9499999999998</v>
      </c>
      <c r="L145" s="15">
        <v>3687.66</v>
      </c>
      <c r="M145" s="16">
        <v>-18</v>
      </c>
      <c r="N145" s="25" t="str">
        <f t="shared" si="2"/>
        <v/>
      </c>
      <c r="O145"/>
    </row>
    <row r="146" spans="1:15">
      <c r="A146" s="13">
        <v>45852.520833333336</v>
      </c>
      <c r="B146" s="14">
        <v>-403.44</v>
      </c>
      <c r="C146" s="15">
        <v>-655.29999999999995</v>
      </c>
      <c r="D146" s="15">
        <v>3347.89</v>
      </c>
      <c r="E146" s="15">
        <v>7.17</v>
      </c>
      <c r="F146" s="15">
        <v>0</v>
      </c>
      <c r="G146" s="15">
        <v>37.9</v>
      </c>
      <c r="H146" s="15">
        <v>47.4</v>
      </c>
      <c r="I146" s="15">
        <v>0</v>
      </c>
      <c r="J146" s="15">
        <v>1044</v>
      </c>
      <c r="K146" s="15">
        <v>2359.9499999999998</v>
      </c>
      <c r="L146" s="15">
        <v>3701.36</v>
      </c>
      <c r="M146" s="16">
        <v>-19.690000000000001</v>
      </c>
      <c r="N146" s="25" t="str">
        <f t="shared" si="2"/>
        <v/>
      </c>
      <c r="O146"/>
    </row>
    <row r="147" spans="1:15">
      <c r="A147" s="13">
        <v>45852.541666666664</v>
      </c>
      <c r="B147" s="14">
        <v>-473.85</v>
      </c>
      <c r="C147" s="15">
        <v>-654.79999999999995</v>
      </c>
      <c r="D147" s="15">
        <v>3353.05</v>
      </c>
      <c r="E147" s="15">
        <v>6.59</v>
      </c>
      <c r="F147" s="15">
        <v>0</v>
      </c>
      <c r="G147" s="15">
        <v>37.869999999999997</v>
      </c>
      <c r="H147" s="15">
        <v>1.51</v>
      </c>
      <c r="I147" s="15">
        <v>0</v>
      </c>
      <c r="J147" s="15">
        <v>1128.8499999999999</v>
      </c>
      <c r="K147" s="15">
        <v>2382.64</v>
      </c>
      <c r="L147" s="15">
        <v>3594.25</v>
      </c>
      <c r="M147" s="16">
        <v>-14.01</v>
      </c>
      <c r="N147" s="25" t="str">
        <f t="shared" si="2"/>
        <v/>
      </c>
      <c r="O147"/>
    </row>
    <row r="148" spans="1:15">
      <c r="A148" s="13">
        <v>45852.5625</v>
      </c>
      <c r="B148" s="14">
        <v>-248.12</v>
      </c>
      <c r="C148" s="15">
        <v>-655.72</v>
      </c>
      <c r="D148" s="15">
        <v>3321.31</v>
      </c>
      <c r="E148" s="15">
        <v>6.74</v>
      </c>
      <c r="F148" s="15">
        <v>0</v>
      </c>
      <c r="G148" s="15">
        <v>37.799999999999997</v>
      </c>
      <c r="H148" s="15">
        <v>0.09</v>
      </c>
      <c r="I148" s="15">
        <v>0</v>
      </c>
      <c r="J148" s="15">
        <v>1011.38</v>
      </c>
      <c r="K148" s="15">
        <v>2442.44</v>
      </c>
      <c r="L148" s="15">
        <v>3387.69</v>
      </c>
      <c r="M148" s="16">
        <v>-14.01</v>
      </c>
      <c r="N148" s="25" t="str">
        <f t="shared" si="2"/>
        <v/>
      </c>
      <c r="O148"/>
    </row>
    <row r="149" spans="1:15">
      <c r="A149" s="13">
        <v>45852.583333333336</v>
      </c>
      <c r="B149" s="14">
        <v>-35.68</v>
      </c>
      <c r="C149" s="15">
        <v>-653.5</v>
      </c>
      <c r="D149" s="15">
        <v>3353.2</v>
      </c>
      <c r="E149" s="15">
        <v>6.09</v>
      </c>
      <c r="F149" s="15">
        <v>1.33</v>
      </c>
      <c r="G149" s="15">
        <v>37.9</v>
      </c>
      <c r="H149" s="15">
        <v>0.33</v>
      </c>
      <c r="I149" s="15">
        <v>0</v>
      </c>
      <c r="J149" s="15">
        <v>910.82</v>
      </c>
      <c r="K149" s="15">
        <v>2422.38</v>
      </c>
      <c r="L149" s="15">
        <v>3085.14</v>
      </c>
      <c r="M149" s="16">
        <v>-18</v>
      </c>
      <c r="N149" s="25" t="str">
        <f t="shared" si="2"/>
        <v/>
      </c>
      <c r="O149"/>
    </row>
    <row r="150" spans="1:15">
      <c r="A150" s="13">
        <v>45852.604166666664</v>
      </c>
      <c r="B150" s="14">
        <v>-3.48</v>
      </c>
      <c r="C150" s="15">
        <v>-653.39</v>
      </c>
      <c r="D150" s="15">
        <v>3396.13</v>
      </c>
      <c r="E150" s="15">
        <v>6.7</v>
      </c>
      <c r="F150" s="15">
        <v>14.5</v>
      </c>
      <c r="G150" s="15">
        <v>37.86</v>
      </c>
      <c r="H150" s="15">
        <v>143.33000000000001</v>
      </c>
      <c r="I150" s="15">
        <v>0</v>
      </c>
      <c r="J150" s="15">
        <v>911.78</v>
      </c>
      <c r="K150" s="15">
        <v>2449.9299999999998</v>
      </c>
      <c r="L150" s="15">
        <v>2714.41</v>
      </c>
      <c r="M150" s="16">
        <v>-17.5</v>
      </c>
      <c r="N150" s="25" t="str">
        <f t="shared" si="2"/>
        <v/>
      </c>
      <c r="O150"/>
    </row>
    <row r="151" spans="1:15">
      <c r="A151" s="13">
        <v>45852.625</v>
      </c>
      <c r="B151" s="14">
        <v>-53.08</v>
      </c>
      <c r="C151" s="15">
        <v>-639.83000000000004</v>
      </c>
      <c r="D151" s="15">
        <v>3611.65</v>
      </c>
      <c r="E151" s="15">
        <v>6.89</v>
      </c>
      <c r="F151" s="15">
        <v>17.329999999999998</v>
      </c>
      <c r="G151" s="15">
        <v>37.880000000000003</v>
      </c>
      <c r="H151" s="15">
        <v>281.5</v>
      </c>
      <c r="I151" s="15">
        <v>0</v>
      </c>
      <c r="J151" s="15">
        <v>948.64</v>
      </c>
      <c r="K151" s="15">
        <v>2426.56</v>
      </c>
      <c r="L151" s="15">
        <v>2221.29</v>
      </c>
      <c r="M151" s="16">
        <v>-14.99</v>
      </c>
      <c r="N151" s="25" t="str">
        <f t="shared" si="2"/>
        <v/>
      </c>
      <c r="O151"/>
    </row>
    <row r="152" spans="1:15">
      <c r="A152" s="13">
        <v>45852.645833333336</v>
      </c>
      <c r="B152" s="14">
        <v>-118.18</v>
      </c>
      <c r="C152" s="15">
        <v>-572.38</v>
      </c>
      <c r="D152" s="15">
        <v>4298.8100000000004</v>
      </c>
      <c r="E152" s="15">
        <v>8.69</v>
      </c>
      <c r="F152" s="15">
        <v>37</v>
      </c>
      <c r="G152" s="15">
        <v>37.799999999999997</v>
      </c>
      <c r="H152" s="15">
        <v>245.71</v>
      </c>
      <c r="I152" s="15">
        <v>0</v>
      </c>
      <c r="J152" s="15">
        <v>981.61</v>
      </c>
      <c r="K152" s="15">
        <v>2378.91</v>
      </c>
      <c r="L152" s="15">
        <v>1656.36</v>
      </c>
      <c r="M152" s="16">
        <v>-14.05</v>
      </c>
      <c r="N152" s="25" t="str">
        <f t="shared" si="2"/>
        <v/>
      </c>
      <c r="O152"/>
    </row>
    <row r="153" spans="1:15">
      <c r="A153" s="13">
        <v>45852.666666666664</v>
      </c>
      <c r="B153" s="14">
        <v>-371.88</v>
      </c>
      <c r="C153" s="15">
        <v>-254.63</v>
      </c>
      <c r="D153" s="15">
        <v>5171.8599999999997</v>
      </c>
      <c r="E153" s="15">
        <v>0.46</v>
      </c>
      <c r="F153" s="15">
        <v>181.67</v>
      </c>
      <c r="G153" s="15">
        <v>39.65</v>
      </c>
      <c r="H153" s="15">
        <v>15.72</v>
      </c>
      <c r="I153" s="15">
        <v>0</v>
      </c>
      <c r="J153" s="15">
        <v>954.63</v>
      </c>
      <c r="K153" s="15">
        <v>2025.63</v>
      </c>
      <c r="L153" s="15">
        <v>1067.83</v>
      </c>
      <c r="M153" s="16">
        <v>38.6</v>
      </c>
      <c r="N153" s="25" t="str">
        <f t="shared" si="2"/>
        <v/>
      </c>
      <c r="O153"/>
    </row>
    <row r="154" spans="1:15">
      <c r="A154" s="13">
        <v>45852.6875</v>
      </c>
      <c r="B154" s="14">
        <v>-303.89999999999998</v>
      </c>
      <c r="C154" s="15">
        <v>0</v>
      </c>
      <c r="D154" s="15">
        <v>6325.23</v>
      </c>
      <c r="E154" s="15">
        <v>-1.73</v>
      </c>
      <c r="F154" s="15">
        <v>199.5</v>
      </c>
      <c r="G154" s="15">
        <v>47.35</v>
      </c>
      <c r="H154" s="15">
        <v>8.73</v>
      </c>
      <c r="I154" s="15">
        <v>0</v>
      </c>
      <c r="J154" s="15">
        <v>873.6</v>
      </c>
      <c r="K154" s="15">
        <v>1067.3399999999999</v>
      </c>
      <c r="L154" s="15">
        <v>535.07000000000005</v>
      </c>
      <c r="M154" s="16">
        <v>61.64</v>
      </c>
      <c r="N154" s="25" t="str">
        <f t="shared" si="2"/>
        <v/>
      </c>
      <c r="O154"/>
    </row>
    <row r="155" spans="1:15">
      <c r="A155" s="13">
        <v>45852.708333333336</v>
      </c>
      <c r="B155" s="14">
        <v>-53.59</v>
      </c>
      <c r="C155" s="15">
        <v>0</v>
      </c>
      <c r="D155" s="15">
        <v>7169.81</v>
      </c>
      <c r="E155" s="15">
        <v>-1.71</v>
      </c>
      <c r="F155" s="15">
        <v>400</v>
      </c>
      <c r="G155" s="15">
        <v>475.02</v>
      </c>
      <c r="H155" s="15">
        <v>19.29</v>
      </c>
      <c r="I155" s="15">
        <v>340.54</v>
      </c>
      <c r="J155" s="15">
        <v>806.58</v>
      </c>
      <c r="K155" s="15">
        <v>212.16</v>
      </c>
      <c r="L155" s="15">
        <v>156.63</v>
      </c>
      <c r="M155" s="16">
        <v>174.6</v>
      </c>
      <c r="N155" s="25" t="str">
        <f t="shared" si="2"/>
        <v/>
      </c>
      <c r="O155"/>
    </row>
    <row r="156" spans="1:15">
      <c r="A156" s="13">
        <v>45852.729166666664</v>
      </c>
      <c r="B156" s="14">
        <v>-8.41</v>
      </c>
      <c r="C156" s="15">
        <v>0</v>
      </c>
      <c r="D156" s="15">
        <v>7371.24</v>
      </c>
      <c r="E156" s="15">
        <v>-1.51</v>
      </c>
      <c r="F156" s="15">
        <v>443.83</v>
      </c>
      <c r="G156" s="15">
        <v>980.74</v>
      </c>
      <c r="H156" s="15">
        <v>80.709999999999994</v>
      </c>
      <c r="I156" s="15">
        <v>532.32000000000005</v>
      </c>
      <c r="J156" s="15">
        <v>735.13</v>
      </c>
      <c r="K156" s="15">
        <v>5.21</v>
      </c>
      <c r="L156" s="15">
        <v>18.329999999999998</v>
      </c>
      <c r="M156" s="16">
        <v>173.02</v>
      </c>
      <c r="N156" s="25" t="str">
        <f t="shared" si="2"/>
        <v/>
      </c>
      <c r="O156"/>
    </row>
    <row r="157" spans="1:15">
      <c r="A157" s="13">
        <v>45852.75</v>
      </c>
      <c r="B157" s="14">
        <v>-10.9</v>
      </c>
      <c r="C157" s="15">
        <v>0</v>
      </c>
      <c r="D157" s="15">
        <v>7437.64</v>
      </c>
      <c r="E157" s="15">
        <v>-1.55</v>
      </c>
      <c r="F157" s="15">
        <v>442.83</v>
      </c>
      <c r="G157" s="15">
        <v>1022.08</v>
      </c>
      <c r="H157" s="15">
        <v>147.34</v>
      </c>
      <c r="I157" s="15">
        <v>581.86</v>
      </c>
      <c r="J157" s="15">
        <v>698.01</v>
      </c>
      <c r="K157" s="15">
        <v>0.04</v>
      </c>
      <c r="L157" s="15">
        <v>0.27</v>
      </c>
      <c r="M157" s="16">
        <v>210.1</v>
      </c>
      <c r="N157" s="25" t="str">
        <f t="shared" si="2"/>
        <v/>
      </c>
      <c r="O157"/>
    </row>
    <row r="158" spans="1:15">
      <c r="A158" s="13">
        <v>45852.770833333336</v>
      </c>
      <c r="B158" s="14">
        <v>-5.97</v>
      </c>
      <c r="C158" s="15">
        <v>0</v>
      </c>
      <c r="D158" s="15">
        <v>7437.2</v>
      </c>
      <c r="E158" s="15">
        <v>-1.6</v>
      </c>
      <c r="F158" s="15">
        <v>441.83</v>
      </c>
      <c r="G158" s="15">
        <v>1039.98</v>
      </c>
      <c r="H158" s="15">
        <v>232.35</v>
      </c>
      <c r="I158" s="15">
        <v>607.35</v>
      </c>
      <c r="J158" s="15">
        <v>757.01</v>
      </c>
      <c r="K158" s="15">
        <v>0.04</v>
      </c>
      <c r="L158" s="15">
        <v>0</v>
      </c>
      <c r="M158" s="16">
        <v>226.15</v>
      </c>
      <c r="N158" s="25" t="str">
        <f t="shared" si="2"/>
        <v/>
      </c>
      <c r="O158"/>
    </row>
    <row r="159" spans="1:15">
      <c r="A159" s="13">
        <v>45852.791666666664</v>
      </c>
      <c r="B159" s="14">
        <v>-7.68</v>
      </c>
      <c r="C159" s="15">
        <v>0</v>
      </c>
      <c r="D159" s="15">
        <v>7414.18</v>
      </c>
      <c r="E159" s="15">
        <v>-1.92</v>
      </c>
      <c r="F159" s="15">
        <v>442.33</v>
      </c>
      <c r="G159" s="15">
        <v>1035.82</v>
      </c>
      <c r="H159" s="15">
        <v>158.43</v>
      </c>
      <c r="I159" s="15">
        <v>606.84</v>
      </c>
      <c r="J159" s="15">
        <v>899.33</v>
      </c>
      <c r="K159" s="15">
        <v>0.04</v>
      </c>
      <c r="L159" s="15">
        <v>0</v>
      </c>
      <c r="M159" s="16">
        <v>155.22999999999999</v>
      </c>
      <c r="N159" s="25" t="str">
        <f t="shared" si="2"/>
        <v/>
      </c>
      <c r="O159"/>
    </row>
    <row r="160" spans="1:15">
      <c r="A160" s="13">
        <v>45852.8125</v>
      </c>
      <c r="B160" s="14">
        <v>-5.16</v>
      </c>
      <c r="C160" s="15">
        <v>0</v>
      </c>
      <c r="D160" s="15">
        <v>7423.35</v>
      </c>
      <c r="E160" s="15">
        <v>-1.74</v>
      </c>
      <c r="F160" s="15">
        <v>443.83</v>
      </c>
      <c r="G160" s="15">
        <v>1023.49</v>
      </c>
      <c r="H160" s="15">
        <v>98.18</v>
      </c>
      <c r="I160" s="15">
        <v>607.63</v>
      </c>
      <c r="J160" s="15">
        <v>982.25</v>
      </c>
      <c r="K160" s="15">
        <v>0.04</v>
      </c>
      <c r="L160" s="15">
        <v>0</v>
      </c>
      <c r="M160" s="16">
        <v>153.5</v>
      </c>
      <c r="N160" s="25" t="str">
        <f t="shared" si="2"/>
        <v/>
      </c>
      <c r="O160"/>
    </row>
    <row r="161" spans="1:15">
      <c r="A161" s="13">
        <v>45852.833333333336</v>
      </c>
      <c r="B161" s="14">
        <v>-6.88</v>
      </c>
      <c r="C161" s="15">
        <v>0</v>
      </c>
      <c r="D161" s="15">
        <v>7430.95</v>
      </c>
      <c r="E161" s="15">
        <v>-2.23</v>
      </c>
      <c r="F161" s="15">
        <v>451.17</v>
      </c>
      <c r="G161" s="15">
        <v>963.58</v>
      </c>
      <c r="H161" s="15">
        <v>17.59</v>
      </c>
      <c r="I161" s="15">
        <v>566.23</v>
      </c>
      <c r="J161" s="15">
        <v>906.66</v>
      </c>
      <c r="K161" s="15">
        <v>0.04</v>
      </c>
      <c r="L161" s="15">
        <v>0</v>
      </c>
      <c r="M161" s="16">
        <v>150.07</v>
      </c>
      <c r="N161" s="25" t="str">
        <f t="shared" si="2"/>
        <v/>
      </c>
      <c r="O161"/>
    </row>
    <row r="162" spans="1:15">
      <c r="A162" s="13">
        <v>45852.854166666664</v>
      </c>
      <c r="B162" s="14">
        <v>-4.63</v>
      </c>
      <c r="C162" s="15">
        <v>0</v>
      </c>
      <c r="D162" s="15">
        <v>7436</v>
      </c>
      <c r="E162" s="15">
        <v>-0.23</v>
      </c>
      <c r="F162" s="15">
        <v>451.83</v>
      </c>
      <c r="G162" s="15">
        <v>822.62</v>
      </c>
      <c r="H162" s="15">
        <v>2</v>
      </c>
      <c r="I162" s="15">
        <v>360.47</v>
      </c>
      <c r="J162" s="15">
        <v>958.46</v>
      </c>
      <c r="K162" s="15">
        <v>0.04</v>
      </c>
      <c r="L162" s="15">
        <v>0</v>
      </c>
      <c r="M162" s="16">
        <v>140.38</v>
      </c>
      <c r="N162" s="25" t="str">
        <f t="shared" si="2"/>
        <v/>
      </c>
      <c r="O162"/>
    </row>
    <row r="163" spans="1:15">
      <c r="A163" s="13">
        <v>45852.875</v>
      </c>
      <c r="B163" s="14">
        <v>-6.52</v>
      </c>
      <c r="C163" s="15">
        <v>0</v>
      </c>
      <c r="D163" s="15">
        <v>7435.9</v>
      </c>
      <c r="E163" s="15">
        <v>-0.18</v>
      </c>
      <c r="F163" s="15">
        <v>451.83</v>
      </c>
      <c r="G163" s="15">
        <v>641.17999999999995</v>
      </c>
      <c r="H163" s="15">
        <v>2.0699999999999998</v>
      </c>
      <c r="I163" s="15">
        <v>385.38</v>
      </c>
      <c r="J163" s="15">
        <v>938.8</v>
      </c>
      <c r="K163" s="15">
        <v>0.04</v>
      </c>
      <c r="L163" s="15">
        <v>0</v>
      </c>
      <c r="M163" s="16">
        <v>150.07</v>
      </c>
      <c r="N163" s="25" t="str">
        <f t="shared" si="2"/>
        <v/>
      </c>
      <c r="O163"/>
    </row>
    <row r="164" spans="1:15">
      <c r="A164" s="13">
        <v>45852.895833333336</v>
      </c>
      <c r="B164" s="14">
        <v>-9.9499999999999993</v>
      </c>
      <c r="C164" s="15">
        <v>0</v>
      </c>
      <c r="D164" s="15">
        <v>7432.86</v>
      </c>
      <c r="E164" s="15">
        <v>-0.37</v>
      </c>
      <c r="F164" s="15">
        <v>448.17</v>
      </c>
      <c r="G164" s="15">
        <v>359.13</v>
      </c>
      <c r="H164" s="15">
        <v>0.06</v>
      </c>
      <c r="I164" s="15">
        <v>505.2</v>
      </c>
      <c r="J164" s="15">
        <v>1015.38</v>
      </c>
      <c r="K164" s="15">
        <v>0.04</v>
      </c>
      <c r="L164" s="15">
        <v>0</v>
      </c>
      <c r="M164" s="16">
        <v>124.24</v>
      </c>
      <c r="N164" s="25" t="str">
        <f t="shared" si="2"/>
        <v/>
      </c>
      <c r="O164"/>
    </row>
    <row r="165" spans="1:15">
      <c r="A165" s="13">
        <v>45852.916666666664</v>
      </c>
      <c r="B165" s="14">
        <v>-33.520000000000003</v>
      </c>
      <c r="C165" s="15">
        <v>0</v>
      </c>
      <c r="D165" s="15">
        <v>7398.19</v>
      </c>
      <c r="E165" s="15">
        <v>0.05</v>
      </c>
      <c r="F165" s="15">
        <v>449.5</v>
      </c>
      <c r="G165" s="15">
        <v>340.06</v>
      </c>
      <c r="H165" s="15">
        <v>1.25</v>
      </c>
      <c r="I165" s="15">
        <v>317.8</v>
      </c>
      <c r="J165" s="15">
        <v>1087.1199999999999</v>
      </c>
      <c r="K165" s="15">
        <v>0.04</v>
      </c>
      <c r="L165" s="15">
        <v>0</v>
      </c>
      <c r="M165" s="16">
        <v>100.02</v>
      </c>
      <c r="N165" s="25" t="str">
        <f t="shared" si="2"/>
        <v/>
      </c>
      <c r="O165"/>
    </row>
    <row r="166" spans="1:15">
      <c r="A166" s="13">
        <v>45852.9375</v>
      </c>
      <c r="B166" s="14">
        <v>-9.76</v>
      </c>
      <c r="C166" s="15">
        <v>0</v>
      </c>
      <c r="D166" s="15">
        <v>7405.01</v>
      </c>
      <c r="E166" s="15">
        <v>-0.48</v>
      </c>
      <c r="F166" s="15">
        <v>450.83</v>
      </c>
      <c r="G166" s="15">
        <v>56.61</v>
      </c>
      <c r="H166" s="15">
        <v>0.87</v>
      </c>
      <c r="I166" s="15">
        <v>486.3</v>
      </c>
      <c r="J166" s="15">
        <v>1082.3599999999999</v>
      </c>
      <c r="K166" s="15">
        <v>0.04</v>
      </c>
      <c r="L166" s="15">
        <v>0</v>
      </c>
      <c r="M166" s="16">
        <v>110.83</v>
      </c>
      <c r="N166" s="25" t="str">
        <f t="shared" si="2"/>
        <v/>
      </c>
      <c r="O166"/>
    </row>
    <row r="167" spans="1:15">
      <c r="A167" s="13">
        <v>45852.958333333336</v>
      </c>
      <c r="B167" s="14">
        <v>-21.79</v>
      </c>
      <c r="C167" s="15">
        <v>0</v>
      </c>
      <c r="D167" s="15">
        <v>7391.56</v>
      </c>
      <c r="E167" s="15">
        <v>-0.56000000000000005</v>
      </c>
      <c r="F167" s="15">
        <v>446.17</v>
      </c>
      <c r="G167" s="15">
        <v>44.47</v>
      </c>
      <c r="H167" s="15">
        <v>0.96</v>
      </c>
      <c r="I167" s="15">
        <v>255.87</v>
      </c>
      <c r="J167" s="15">
        <v>1114.56</v>
      </c>
      <c r="K167" s="15">
        <v>0.04</v>
      </c>
      <c r="L167" s="15">
        <v>0</v>
      </c>
      <c r="M167" s="16">
        <v>95.27</v>
      </c>
      <c r="N167" s="25" t="str">
        <f t="shared" si="2"/>
        <v/>
      </c>
      <c r="O167"/>
    </row>
    <row r="168" spans="1:15">
      <c r="A168" s="13">
        <v>45852.979166666664</v>
      </c>
      <c r="B168" s="14">
        <v>-36.96</v>
      </c>
      <c r="C168" s="15">
        <v>0</v>
      </c>
      <c r="D168" s="15">
        <v>7296.79</v>
      </c>
      <c r="E168" s="15">
        <v>-0.33</v>
      </c>
      <c r="F168" s="15">
        <v>440</v>
      </c>
      <c r="G168" s="15">
        <v>44.39</v>
      </c>
      <c r="H168" s="15">
        <v>0.49</v>
      </c>
      <c r="I168" s="15">
        <v>158.85</v>
      </c>
      <c r="J168" s="15">
        <v>1073.1500000000001</v>
      </c>
      <c r="K168" s="15">
        <v>0.04</v>
      </c>
      <c r="L168" s="15">
        <v>0</v>
      </c>
      <c r="M168" s="16">
        <v>100.02</v>
      </c>
      <c r="N168" s="25" t="str">
        <f t="shared" si="2"/>
        <v/>
      </c>
      <c r="O168"/>
    </row>
    <row r="169" spans="1:15">
      <c r="A169" s="13">
        <v>45853</v>
      </c>
      <c r="B169" s="14">
        <v>-19.12</v>
      </c>
      <c r="C169" s="15">
        <v>0</v>
      </c>
      <c r="D169" s="15">
        <v>7146.93</v>
      </c>
      <c r="E169" s="15">
        <v>-0.41</v>
      </c>
      <c r="F169" s="15">
        <v>308.5</v>
      </c>
      <c r="G169" s="15">
        <v>44.6</v>
      </c>
      <c r="H169" s="15">
        <v>0.34</v>
      </c>
      <c r="I169" s="15">
        <v>122.72</v>
      </c>
      <c r="J169" s="15">
        <v>1072.5999999999999</v>
      </c>
      <c r="K169" s="15">
        <v>0.04</v>
      </c>
      <c r="L169" s="15">
        <v>0</v>
      </c>
      <c r="M169" s="16">
        <v>85.21</v>
      </c>
      <c r="N169" s="25" t="str">
        <f t="shared" si="2"/>
        <v>15 Jul</v>
      </c>
      <c r="O169"/>
    </row>
    <row r="170" spans="1:15">
      <c r="A170" s="13">
        <v>45853.020833333336</v>
      </c>
      <c r="B170" s="14">
        <v>-21.55</v>
      </c>
      <c r="C170" s="15">
        <v>0</v>
      </c>
      <c r="D170" s="15">
        <v>7147.07</v>
      </c>
      <c r="E170" s="15">
        <v>-0.94</v>
      </c>
      <c r="F170" s="15">
        <v>195.33</v>
      </c>
      <c r="G170" s="15">
        <v>44.65</v>
      </c>
      <c r="H170" s="15">
        <v>0.37</v>
      </c>
      <c r="I170" s="15">
        <v>119.14</v>
      </c>
      <c r="J170" s="15">
        <v>911.54</v>
      </c>
      <c r="K170" s="15">
        <v>0.04</v>
      </c>
      <c r="L170" s="15">
        <v>0</v>
      </c>
      <c r="M170" s="16">
        <v>85.12</v>
      </c>
      <c r="N170" s="25" t="str">
        <f t="shared" si="2"/>
        <v/>
      </c>
      <c r="O170"/>
    </row>
    <row r="171" spans="1:15">
      <c r="A171" s="13">
        <v>45853.041666666664</v>
      </c>
      <c r="B171" s="14">
        <v>-21.09</v>
      </c>
      <c r="C171" s="15">
        <v>0</v>
      </c>
      <c r="D171" s="15">
        <v>7127.96</v>
      </c>
      <c r="E171" s="15">
        <v>-0.92</v>
      </c>
      <c r="F171" s="15">
        <v>190</v>
      </c>
      <c r="G171" s="15">
        <v>44.75</v>
      </c>
      <c r="H171" s="15">
        <v>0.54</v>
      </c>
      <c r="I171" s="15">
        <v>110.71</v>
      </c>
      <c r="J171" s="15">
        <v>777.82</v>
      </c>
      <c r="K171" s="15">
        <v>0.04</v>
      </c>
      <c r="L171" s="15">
        <v>0</v>
      </c>
      <c r="M171" s="16">
        <v>86.24</v>
      </c>
      <c r="N171" s="25" t="str">
        <f t="shared" si="2"/>
        <v/>
      </c>
      <c r="O171"/>
    </row>
    <row r="172" spans="1:15">
      <c r="A172" s="13">
        <v>45853.0625</v>
      </c>
      <c r="B172" s="14">
        <v>-13.15</v>
      </c>
      <c r="C172" s="15">
        <v>-67.53</v>
      </c>
      <c r="D172" s="15">
        <v>7094.64</v>
      </c>
      <c r="E172" s="15">
        <v>-0.83</v>
      </c>
      <c r="F172" s="15">
        <v>190.17</v>
      </c>
      <c r="G172" s="15">
        <v>44.91</v>
      </c>
      <c r="H172" s="15">
        <v>0.25</v>
      </c>
      <c r="I172" s="15">
        <v>103.52</v>
      </c>
      <c r="J172" s="15">
        <v>699.34</v>
      </c>
      <c r="K172" s="15">
        <v>0.04</v>
      </c>
      <c r="L172" s="15">
        <v>0</v>
      </c>
      <c r="M172" s="16">
        <v>86.45</v>
      </c>
      <c r="N172" s="25" t="str">
        <f t="shared" si="2"/>
        <v/>
      </c>
      <c r="O172"/>
    </row>
    <row r="173" spans="1:15">
      <c r="A173" s="13">
        <v>45853.083333333336</v>
      </c>
      <c r="B173" s="14">
        <v>-36.590000000000003</v>
      </c>
      <c r="C173" s="15">
        <v>-80.69</v>
      </c>
      <c r="D173" s="15">
        <v>6718.34</v>
      </c>
      <c r="E173" s="15">
        <v>-0.88</v>
      </c>
      <c r="F173" s="15">
        <v>190.5</v>
      </c>
      <c r="G173" s="15">
        <v>44.97</v>
      </c>
      <c r="H173" s="15">
        <v>0.28999999999999998</v>
      </c>
      <c r="I173" s="15">
        <v>43.12</v>
      </c>
      <c r="J173" s="15">
        <v>808.09</v>
      </c>
      <c r="K173" s="15">
        <v>0.04</v>
      </c>
      <c r="L173" s="15">
        <v>0</v>
      </c>
      <c r="M173" s="16">
        <v>75.13</v>
      </c>
      <c r="N173" s="25" t="str">
        <f t="shared" si="2"/>
        <v/>
      </c>
      <c r="O173"/>
    </row>
    <row r="174" spans="1:15">
      <c r="A174" s="13">
        <v>45853.104166666664</v>
      </c>
      <c r="B174" s="14">
        <v>-160.09</v>
      </c>
      <c r="C174" s="15">
        <v>-80.63</v>
      </c>
      <c r="D174" s="15">
        <v>6540.19</v>
      </c>
      <c r="E174" s="15">
        <v>-0.84</v>
      </c>
      <c r="F174" s="15">
        <v>190.17</v>
      </c>
      <c r="G174" s="15">
        <v>45.02</v>
      </c>
      <c r="H174" s="15">
        <v>3.79</v>
      </c>
      <c r="I174" s="15">
        <v>14.02</v>
      </c>
      <c r="J174" s="15">
        <v>800.59</v>
      </c>
      <c r="K174" s="15">
        <v>0.04</v>
      </c>
      <c r="L174" s="15">
        <v>0</v>
      </c>
      <c r="M174" s="16">
        <v>76.8</v>
      </c>
      <c r="N174" s="25" t="str">
        <f t="shared" si="2"/>
        <v/>
      </c>
      <c r="O174"/>
    </row>
    <row r="175" spans="1:15">
      <c r="A175" s="13">
        <v>45853.125</v>
      </c>
      <c r="B175" s="14">
        <v>-104.48</v>
      </c>
      <c r="C175" s="15">
        <v>-80.709999999999994</v>
      </c>
      <c r="D175" s="15">
        <v>6419.66</v>
      </c>
      <c r="E175" s="15">
        <v>-0.62</v>
      </c>
      <c r="F175" s="15">
        <v>190.17</v>
      </c>
      <c r="G175" s="15">
        <v>44.9</v>
      </c>
      <c r="H175" s="15">
        <v>3.86</v>
      </c>
      <c r="I175" s="15">
        <v>14.05</v>
      </c>
      <c r="J175" s="15">
        <v>717.32</v>
      </c>
      <c r="K175" s="15">
        <v>0.04</v>
      </c>
      <c r="L175" s="15">
        <v>0</v>
      </c>
      <c r="M175" s="16">
        <v>76.8</v>
      </c>
      <c r="N175" s="25" t="str">
        <f t="shared" si="2"/>
        <v/>
      </c>
      <c r="O175"/>
    </row>
    <row r="176" spans="1:15">
      <c r="A176" s="13">
        <v>45853.145833333336</v>
      </c>
      <c r="B176" s="14">
        <v>-73.5</v>
      </c>
      <c r="C176" s="15">
        <v>-80.64</v>
      </c>
      <c r="D176" s="15">
        <v>6256.13</v>
      </c>
      <c r="E176" s="15">
        <v>-0.88</v>
      </c>
      <c r="F176" s="15">
        <v>190.17</v>
      </c>
      <c r="G176" s="15">
        <v>44.78</v>
      </c>
      <c r="H176" s="15">
        <v>0.03</v>
      </c>
      <c r="I176" s="15">
        <v>17.57</v>
      </c>
      <c r="J176" s="15">
        <v>700.78</v>
      </c>
      <c r="K176" s="15">
        <v>0.04</v>
      </c>
      <c r="L176" s="15">
        <v>0</v>
      </c>
      <c r="M176" s="16">
        <v>76.3</v>
      </c>
      <c r="N176" s="25" t="str">
        <f t="shared" si="2"/>
        <v/>
      </c>
      <c r="O176"/>
    </row>
    <row r="177" spans="1:15">
      <c r="A177" s="13">
        <v>45853.166666666664</v>
      </c>
      <c r="B177" s="14">
        <v>-203.92</v>
      </c>
      <c r="C177" s="15">
        <v>-80.66</v>
      </c>
      <c r="D177" s="15">
        <v>6318.02</v>
      </c>
      <c r="E177" s="15">
        <v>-0.7</v>
      </c>
      <c r="F177" s="15">
        <v>190.17</v>
      </c>
      <c r="G177" s="15">
        <v>43.49</v>
      </c>
      <c r="H177" s="15">
        <v>0.57999999999999996</v>
      </c>
      <c r="I177" s="15">
        <v>0</v>
      </c>
      <c r="J177" s="15">
        <v>777.11</v>
      </c>
      <c r="K177" s="15">
        <v>0.04</v>
      </c>
      <c r="L177" s="15">
        <v>0</v>
      </c>
      <c r="M177" s="16">
        <v>76.58</v>
      </c>
      <c r="N177" s="25" t="str">
        <f t="shared" si="2"/>
        <v/>
      </c>
      <c r="O177"/>
    </row>
    <row r="178" spans="1:15">
      <c r="A178" s="13">
        <v>45853.1875</v>
      </c>
      <c r="B178" s="14">
        <v>-255.16</v>
      </c>
      <c r="C178" s="15">
        <v>-67.19</v>
      </c>
      <c r="D178" s="15">
        <v>6334.44</v>
      </c>
      <c r="E178" s="15">
        <v>-0.88</v>
      </c>
      <c r="F178" s="15">
        <v>190.17</v>
      </c>
      <c r="G178" s="15">
        <v>43.71</v>
      </c>
      <c r="H178" s="15">
        <v>4.05</v>
      </c>
      <c r="I178" s="15">
        <v>0</v>
      </c>
      <c r="J178" s="15">
        <v>955.64</v>
      </c>
      <c r="K178" s="15">
        <v>0.04</v>
      </c>
      <c r="L178" s="15">
        <v>0</v>
      </c>
      <c r="M178" s="16">
        <v>74.790000000000006</v>
      </c>
      <c r="N178" s="25" t="str">
        <f t="shared" si="2"/>
        <v/>
      </c>
      <c r="O178"/>
    </row>
    <row r="179" spans="1:15">
      <c r="A179" s="13">
        <v>45853.208333333336</v>
      </c>
      <c r="B179" s="14">
        <v>-152.51</v>
      </c>
      <c r="C179" s="15">
        <v>0</v>
      </c>
      <c r="D179" s="15">
        <v>6376.07</v>
      </c>
      <c r="E179" s="15">
        <v>-0.74</v>
      </c>
      <c r="F179" s="15">
        <v>198.17</v>
      </c>
      <c r="G179" s="15">
        <v>44.22</v>
      </c>
      <c r="H179" s="15">
        <v>1.85</v>
      </c>
      <c r="I179" s="15">
        <v>28.8</v>
      </c>
      <c r="J179" s="15">
        <v>1134.6600000000001</v>
      </c>
      <c r="K179" s="15">
        <v>0.04</v>
      </c>
      <c r="L179" s="15">
        <v>0</v>
      </c>
      <c r="M179" s="16">
        <v>73.25</v>
      </c>
      <c r="N179" s="25" t="str">
        <f t="shared" si="2"/>
        <v/>
      </c>
      <c r="O179"/>
    </row>
    <row r="180" spans="1:15">
      <c r="A180" s="13">
        <v>45853.229166666664</v>
      </c>
      <c r="B180" s="14">
        <v>-127.28</v>
      </c>
      <c r="C180" s="15">
        <v>0</v>
      </c>
      <c r="D180" s="15">
        <v>6874.18</v>
      </c>
      <c r="E180" s="15">
        <v>-0.11</v>
      </c>
      <c r="F180" s="15">
        <v>297.67</v>
      </c>
      <c r="G180" s="15">
        <v>44.19</v>
      </c>
      <c r="H180" s="15">
        <v>0.38</v>
      </c>
      <c r="I180" s="15">
        <v>135.81</v>
      </c>
      <c r="J180" s="15">
        <v>1342.23</v>
      </c>
      <c r="K180" s="15">
        <v>0.04</v>
      </c>
      <c r="L180" s="15">
        <v>0</v>
      </c>
      <c r="M180" s="16">
        <v>83.87</v>
      </c>
      <c r="N180" s="25" t="str">
        <f t="shared" si="2"/>
        <v/>
      </c>
      <c r="O180"/>
    </row>
    <row r="181" spans="1:15">
      <c r="A181" s="13">
        <v>45853.25</v>
      </c>
      <c r="B181" s="14">
        <v>-6.98</v>
      </c>
      <c r="C181" s="15">
        <v>0</v>
      </c>
      <c r="D181" s="15">
        <v>7283</v>
      </c>
      <c r="E181" s="15">
        <v>-0.3</v>
      </c>
      <c r="F181" s="15">
        <v>306.83</v>
      </c>
      <c r="G181" s="15">
        <v>42.77</v>
      </c>
      <c r="H181" s="15">
        <v>6.6</v>
      </c>
      <c r="I181" s="15">
        <v>261.24</v>
      </c>
      <c r="J181" s="15">
        <v>1525.44</v>
      </c>
      <c r="K181" s="15">
        <v>0.04</v>
      </c>
      <c r="L181" s="15">
        <v>0</v>
      </c>
      <c r="M181" s="16">
        <v>90.66</v>
      </c>
      <c r="N181" s="25" t="str">
        <f t="shared" si="2"/>
        <v/>
      </c>
      <c r="O181"/>
    </row>
    <row r="182" spans="1:15">
      <c r="A182" s="13">
        <v>45853.270833333336</v>
      </c>
      <c r="B182" s="14">
        <v>-2.31</v>
      </c>
      <c r="C182" s="15">
        <v>0</v>
      </c>
      <c r="D182" s="15">
        <v>7400.33</v>
      </c>
      <c r="E182" s="15">
        <v>-2.27</v>
      </c>
      <c r="F182" s="15">
        <v>443.83</v>
      </c>
      <c r="G182" s="15">
        <v>173.25</v>
      </c>
      <c r="H182" s="15">
        <v>40.520000000000003</v>
      </c>
      <c r="I182" s="15">
        <v>705.19</v>
      </c>
      <c r="J182" s="15">
        <v>1567.48</v>
      </c>
      <c r="K182" s="15">
        <v>0.04</v>
      </c>
      <c r="L182" s="15">
        <v>0.18</v>
      </c>
      <c r="M182" s="16">
        <v>113.84</v>
      </c>
      <c r="N182" s="25" t="str">
        <f t="shared" si="2"/>
        <v/>
      </c>
      <c r="O182"/>
    </row>
    <row r="183" spans="1:15">
      <c r="A183" s="13">
        <v>45853.291666666664</v>
      </c>
      <c r="B183" s="14">
        <v>-2.91</v>
      </c>
      <c r="C183" s="15">
        <v>0</v>
      </c>
      <c r="D183" s="15">
        <v>7453.31</v>
      </c>
      <c r="E183" s="15">
        <v>-1.19</v>
      </c>
      <c r="F183" s="15">
        <v>450</v>
      </c>
      <c r="G183" s="15">
        <v>389.81</v>
      </c>
      <c r="H183" s="15">
        <v>139.94</v>
      </c>
      <c r="I183" s="15">
        <v>771.76</v>
      </c>
      <c r="J183" s="15">
        <v>1591.65</v>
      </c>
      <c r="K183" s="15">
        <v>1.56</v>
      </c>
      <c r="L183" s="15">
        <v>4.2699999999999996</v>
      </c>
      <c r="M183" s="16">
        <v>144.66</v>
      </c>
      <c r="N183" s="25" t="str">
        <f t="shared" si="2"/>
        <v/>
      </c>
      <c r="O183"/>
    </row>
    <row r="184" spans="1:15">
      <c r="A184" s="13">
        <v>45853.3125</v>
      </c>
      <c r="B184" s="14">
        <v>-1.6</v>
      </c>
      <c r="C184" s="15">
        <v>0</v>
      </c>
      <c r="D184" s="15">
        <v>7456.8</v>
      </c>
      <c r="E184" s="15">
        <v>-0.82</v>
      </c>
      <c r="F184" s="15">
        <v>450</v>
      </c>
      <c r="G184" s="15">
        <v>526.04999999999995</v>
      </c>
      <c r="H184" s="15">
        <v>266.73</v>
      </c>
      <c r="I184" s="15">
        <v>780.94</v>
      </c>
      <c r="J184" s="15">
        <v>1593.9</v>
      </c>
      <c r="K184" s="15">
        <v>31.01</v>
      </c>
      <c r="L184" s="15">
        <v>34.81</v>
      </c>
      <c r="M184" s="16">
        <v>130.34</v>
      </c>
      <c r="N184" s="25" t="str">
        <f t="shared" si="2"/>
        <v/>
      </c>
      <c r="O184"/>
    </row>
    <row r="185" spans="1:15">
      <c r="A185" s="13">
        <v>45853.333333333336</v>
      </c>
      <c r="B185" s="14">
        <v>-2.98</v>
      </c>
      <c r="C185" s="15">
        <v>0</v>
      </c>
      <c r="D185" s="15">
        <v>7457.68</v>
      </c>
      <c r="E185" s="15">
        <v>-0.18</v>
      </c>
      <c r="F185" s="15">
        <v>449.67</v>
      </c>
      <c r="G185" s="15">
        <v>525.49</v>
      </c>
      <c r="H185" s="15">
        <v>194.55</v>
      </c>
      <c r="I185" s="15">
        <v>741.74</v>
      </c>
      <c r="J185" s="15">
        <v>1578.1</v>
      </c>
      <c r="K185" s="15">
        <v>266.44</v>
      </c>
      <c r="L185" s="15">
        <v>126.03</v>
      </c>
      <c r="M185" s="16">
        <v>136.08000000000001</v>
      </c>
      <c r="N185" s="25" t="str">
        <f t="shared" si="2"/>
        <v/>
      </c>
      <c r="O185"/>
    </row>
    <row r="186" spans="1:15">
      <c r="A186" s="13">
        <v>45853.354166666664</v>
      </c>
      <c r="B186" s="14">
        <v>-0.01</v>
      </c>
      <c r="C186" s="15">
        <v>0</v>
      </c>
      <c r="D186" s="15">
        <v>7406.16</v>
      </c>
      <c r="E186" s="15">
        <v>-2.0099999999999998</v>
      </c>
      <c r="F186" s="15">
        <v>449.83</v>
      </c>
      <c r="G186" s="15">
        <v>430.01</v>
      </c>
      <c r="H186" s="15">
        <v>146.44999999999999</v>
      </c>
      <c r="I186" s="15">
        <v>193.41</v>
      </c>
      <c r="J186" s="15">
        <v>1422.89</v>
      </c>
      <c r="K186" s="15">
        <v>634.34</v>
      </c>
      <c r="L186" s="15">
        <v>286.56</v>
      </c>
      <c r="M186" s="16">
        <v>134.16999999999999</v>
      </c>
      <c r="N186" s="25" t="str">
        <f t="shared" si="2"/>
        <v/>
      </c>
      <c r="O186"/>
    </row>
    <row r="187" spans="1:15">
      <c r="A187" s="13">
        <v>45853.375</v>
      </c>
      <c r="B187" s="14">
        <v>-3.63</v>
      </c>
      <c r="C187" s="15">
        <v>0</v>
      </c>
      <c r="D187" s="15">
        <v>7310.86</v>
      </c>
      <c r="E187" s="15">
        <v>-3.12</v>
      </c>
      <c r="F187" s="15">
        <v>442.5</v>
      </c>
      <c r="G187" s="15">
        <v>322.52999999999997</v>
      </c>
      <c r="H187" s="15">
        <v>30.23</v>
      </c>
      <c r="I187" s="15">
        <v>72.650000000000006</v>
      </c>
      <c r="J187" s="15">
        <v>1308.97</v>
      </c>
      <c r="K187" s="15">
        <v>1091.93</v>
      </c>
      <c r="L187" s="15">
        <v>518.02</v>
      </c>
      <c r="M187" s="16">
        <v>134.69</v>
      </c>
      <c r="N187" s="25" t="str">
        <f t="shared" si="2"/>
        <v/>
      </c>
      <c r="O187"/>
    </row>
    <row r="188" spans="1:15">
      <c r="A188" s="13">
        <v>45853.395833333336</v>
      </c>
      <c r="B188" s="14">
        <v>-5.25</v>
      </c>
      <c r="C188" s="15">
        <v>0</v>
      </c>
      <c r="D188" s="15">
        <v>7183.54</v>
      </c>
      <c r="E188" s="15">
        <v>4.5</v>
      </c>
      <c r="F188" s="15">
        <v>448.83</v>
      </c>
      <c r="G188" s="15">
        <v>202.9</v>
      </c>
      <c r="H188" s="15">
        <v>2.73</v>
      </c>
      <c r="I188" s="15">
        <v>0</v>
      </c>
      <c r="J188" s="15">
        <v>1227.52</v>
      </c>
      <c r="K188" s="15">
        <v>1213.27</v>
      </c>
      <c r="L188" s="15">
        <v>716.74</v>
      </c>
      <c r="M188" s="16">
        <v>105.74</v>
      </c>
      <c r="N188" s="25" t="str">
        <f t="shared" si="2"/>
        <v/>
      </c>
      <c r="O188"/>
    </row>
    <row r="189" spans="1:15">
      <c r="A189" s="13">
        <v>45853.416666666664</v>
      </c>
      <c r="B189" s="14">
        <v>-2.91</v>
      </c>
      <c r="C189" s="15">
        <v>0</v>
      </c>
      <c r="D189" s="15">
        <v>7298.68</v>
      </c>
      <c r="E189" s="15">
        <v>10.39</v>
      </c>
      <c r="F189" s="15">
        <v>449.67</v>
      </c>
      <c r="G189" s="15">
        <v>57.49</v>
      </c>
      <c r="H189" s="15">
        <v>32.299999999999997</v>
      </c>
      <c r="I189" s="15">
        <v>0</v>
      </c>
      <c r="J189" s="15">
        <v>1129.9100000000001</v>
      </c>
      <c r="K189" s="15">
        <v>1122.7</v>
      </c>
      <c r="L189" s="15">
        <v>893.4</v>
      </c>
      <c r="M189" s="16">
        <v>190.2</v>
      </c>
      <c r="N189" s="25" t="str">
        <f t="shared" si="2"/>
        <v/>
      </c>
      <c r="O189"/>
    </row>
    <row r="190" spans="1:15">
      <c r="A190" s="13">
        <v>45853.4375</v>
      </c>
      <c r="B190" s="14">
        <v>-3.08</v>
      </c>
      <c r="C190" s="15">
        <v>0</v>
      </c>
      <c r="D190" s="15">
        <v>7071.56</v>
      </c>
      <c r="E190" s="15">
        <v>13.03</v>
      </c>
      <c r="F190" s="15">
        <v>448.5</v>
      </c>
      <c r="G190" s="15">
        <v>41.71</v>
      </c>
      <c r="H190" s="15">
        <v>14.56</v>
      </c>
      <c r="I190" s="15">
        <v>0</v>
      </c>
      <c r="J190" s="15">
        <v>1128.6500000000001</v>
      </c>
      <c r="K190" s="15">
        <v>1278.72</v>
      </c>
      <c r="L190" s="15">
        <v>1046.19</v>
      </c>
      <c r="M190" s="16">
        <v>118.95</v>
      </c>
      <c r="N190" s="25" t="str">
        <f t="shared" si="2"/>
        <v/>
      </c>
      <c r="O190"/>
    </row>
    <row r="191" spans="1:15">
      <c r="A191" s="13">
        <v>45853.458333333336</v>
      </c>
      <c r="B191" s="14">
        <v>-18</v>
      </c>
      <c r="C191" s="15">
        <v>-67.22</v>
      </c>
      <c r="D191" s="15">
        <v>6796.41</v>
      </c>
      <c r="E191" s="15">
        <v>10.81</v>
      </c>
      <c r="F191" s="15">
        <v>442.17</v>
      </c>
      <c r="G191" s="15">
        <v>41.62</v>
      </c>
      <c r="H191" s="15">
        <v>186.4</v>
      </c>
      <c r="I191" s="15">
        <v>0</v>
      </c>
      <c r="J191" s="15">
        <v>1198.98</v>
      </c>
      <c r="K191" s="15">
        <v>1638.2</v>
      </c>
      <c r="L191" s="15">
        <v>1204.76</v>
      </c>
      <c r="M191" s="16">
        <v>100.48</v>
      </c>
      <c r="N191" s="25" t="str">
        <f t="shared" si="2"/>
        <v/>
      </c>
      <c r="O191"/>
    </row>
    <row r="192" spans="1:15">
      <c r="A192" s="13">
        <v>45853.479166666664</v>
      </c>
      <c r="B192" s="14">
        <v>-36.04</v>
      </c>
      <c r="C192" s="15">
        <v>-80.680000000000007</v>
      </c>
      <c r="D192" s="15">
        <v>6706.88</v>
      </c>
      <c r="E192" s="15">
        <v>8.76</v>
      </c>
      <c r="F192" s="15">
        <v>271.83</v>
      </c>
      <c r="G192" s="15">
        <v>41.34</v>
      </c>
      <c r="H192" s="15">
        <v>276.32</v>
      </c>
      <c r="I192" s="15">
        <v>0</v>
      </c>
      <c r="J192" s="15">
        <v>1211.49</v>
      </c>
      <c r="K192" s="15">
        <v>1456.71</v>
      </c>
      <c r="L192" s="15">
        <v>1330.27</v>
      </c>
      <c r="M192" s="16">
        <v>99.44</v>
      </c>
      <c r="N192" s="25" t="str">
        <f t="shared" si="2"/>
        <v/>
      </c>
      <c r="O192"/>
    </row>
    <row r="193" spans="1:15">
      <c r="A193" s="13">
        <v>45853.5</v>
      </c>
      <c r="B193" s="14">
        <v>-171.54</v>
      </c>
      <c r="C193" s="15">
        <v>-80.61</v>
      </c>
      <c r="D193" s="15">
        <v>6683.2</v>
      </c>
      <c r="E193" s="15">
        <v>10.55</v>
      </c>
      <c r="F193" s="15">
        <v>151.83000000000001</v>
      </c>
      <c r="G193" s="15">
        <v>42.69</v>
      </c>
      <c r="H193" s="15">
        <v>140.53</v>
      </c>
      <c r="I193" s="15">
        <v>0</v>
      </c>
      <c r="J193" s="15">
        <v>1184.02</v>
      </c>
      <c r="K193" s="15">
        <v>1517.83</v>
      </c>
      <c r="L193" s="15">
        <v>1531.68</v>
      </c>
      <c r="M193" s="16">
        <v>99.93</v>
      </c>
      <c r="N193" s="25" t="str">
        <f t="shared" si="2"/>
        <v/>
      </c>
      <c r="O193"/>
    </row>
    <row r="194" spans="1:15">
      <c r="A194" s="13">
        <v>45853.520833333336</v>
      </c>
      <c r="B194" s="14">
        <v>-335.08</v>
      </c>
      <c r="C194" s="15">
        <v>-80.64</v>
      </c>
      <c r="D194" s="15">
        <v>6809.4</v>
      </c>
      <c r="E194" s="15">
        <v>11.8</v>
      </c>
      <c r="F194" s="15">
        <v>199.17</v>
      </c>
      <c r="G194" s="15">
        <v>43.52</v>
      </c>
      <c r="H194" s="15">
        <v>1.1000000000000001</v>
      </c>
      <c r="I194" s="15">
        <v>0</v>
      </c>
      <c r="J194" s="15">
        <v>1205.7</v>
      </c>
      <c r="K194" s="15">
        <v>1423.55</v>
      </c>
      <c r="L194" s="15">
        <v>1862.29</v>
      </c>
      <c r="M194" s="16">
        <v>103.73</v>
      </c>
      <c r="N194" s="25" t="str">
        <f t="shared" ref="N194:N257" si="3">IF(AND(HOUR(A194)=0,MINUTE(A194)=0),TEXT(A194,"d mmm"),"")</f>
        <v/>
      </c>
      <c r="O194"/>
    </row>
    <row r="195" spans="1:15">
      <c r="A195" s="13">
        <v>45853.541666666664</v>
      </c>
      <c r="B195" s="14">
        <v>-295</v>
      </c>
      <c r="C195" s="15">
        <v>-80.47</v>
      </c>
      <c r="D195" s="15">
        <v>6867.09</v>
      </c>
      <c r="E195" s="15">
        <v>10.96</v>
      </c>
      <c r="F195" s="15">
        <v>190.17</v>
      </c>
      <c r="G195" s="15">
        <v>43.74</v>
      </c>
      <c r="H195" s="15">
        <v>1.71</v>
      </c>
      <c r="I195" s="15">
        <v>0</v>
      </c>
      <c r="J195" s="15">
        <v>1253.3800000000001</v>
      </c>
      <c r="K195" s="15">
        <v>1435.14</v>
      </c>
      <c r="L195" s="15">
        <v>2085.71</v>
      </c>
      <c r="M195" s="16">
        <v>92.31</v>
      </c>
      <c r="N195" s="25" t="str">
        <f t="shared" si="3"/>
        <v/>
      </c>
      <c r="O195"/>
    </row>
    <row r="196" spans="1:15">
      <c r="A196" s="13">
        <v>45853.5625</v>
      </c>
      <c r="B196" s="14">
        <v>-142.77000000000001</v>
      </c>
      <c r="C196" s="15">
        <v>-80.540000000000006</v>
      </c>
      <c r="D196" s="15">
        <v>6861.4</v>
      </c>
      <c r="E196" s="15">
        <v>8.0399999999999991</v>
      </c>
      <c r="F196" s="15">
        <v>190</v>
      </c>
      <c r="G196" s="15">
        <v>44.38</v>
      </c>
      <c r="H196" s="15">
        <v>0.14000000000000001</v>
      </c>
      <c r="I196" s="15">
        <v>0</v>
      </c>
      <c r="J196" s="15">
        <v>1200.22</v>
      </c>
      <c r="K196" s="15">
        <v>1227.99</v>
      </c>
      <c r="L196" s="15">
        <v>2080.25</v>
      </c>
      <c r="M196" s="16">
        <v>90.24</v>
      </c>
      <c r="N196" s="25" t="str">
        <f t="shared" si="3"/>
        <v/>
      </c>
      <c r="O196"/>
    </row>
    <row r="197" spans="1:15">
      <c r="A197" s="13">
        <v>45853.583333333336</v>
      </c>
      <c r="B197" s="14">
        <v>-139.22</v>
      </c>
      <c r="C197" s="15">
        <v>-67.069999999999993</v>
      </c>
      <c r="D197" s="15">
        <v>6880.14</v>
      </c>
      <c r="E197" s="15">
        <v>8.73</v>
      </c>
      <c r="F197" s="15">
        <v>190.17</v>
      </c>
      <c r="G197" s="15">
        <v>43.81</v>
      </c>
      <c r="H197" s="15">
        <v>48.38</v>
      </c>
      <c r="I197" s="15">
        <v>0</v>
      </c>
      <c r="J197" s="15">
        <v>1089.4000000000001</v>
      </c>
      <c r="K197" s="15">
        <v>1249.6300000000001</v>
      </c>
      <c r="L197" s="15">
        <v>1862.76</v>
      </c>
      <c r="M197" s="16">
        <v>85.68</v>
      </c>
      <c r="N197" s="25" t="str">
        <f t="shared" si="3"/>
        <v/>
      </c>
      <c r="O197"/>
    </row>
    <row r="198" spans="1:15">
      <c r="A198" s="13">
        <v>45853.604166666664</v>
      </c>
      <c r="B198" s="14">
        <v>-243.01</v>
      </c>
      <c r="C198" s="15">
        <v>0</v>
      </c>
      <c r="D198" s="15">
        <v>6908.09</v>
      </c>
      <c r="E198" s="15">
        <v>8.48</v>
      </c>
      <c r="F198" s="15">
        <v>190.17</v>
      </c>
      <c r="G198" s="15">
        <v>44.02</v>
      </c>
      <c r="H198" s="15">
        <v>49.75</v>
      </c>
      <c r="I198" s="15">
        <v>0</v>
      </c>
      <c r="J198" s="15">
        <v>1085.81</v>
      </c>
      <c r="K198" s="15">
        <v>1174.49</v>
      </c>
      <c r="L198" s="15">
        <v>1496.72</v>
      </c>
      <c r="M198" s="16">
        <v>85.72</v>
      </c>
      <c r="N198" s="25" t="str">
        <f t="shared" si="3"/>
        <v/>
      </c>
      <c r="O198"/>
    </row>
    <row r="199" spans="1:15">
      <c r="A199" s="13">
        <v>45853.625</v>
      </c>
      <c r="B199" s="14">
        <v>-169.84</v>
      </c>
      <c r="C199" s="15">
        <v>0</v>
      </c>
      <c r="D199" s="15">
        <v>6977.79</v>
      </c>
      <c r="E199" s="15">
        <v>8.2899999999999991</v>
      </c>
      <c r="F199" s="15">
        <v>198.17</v>
      </c>
      <c r="G199" s="15">
        <v>43.92</v>
      </c>
      <c r="H199" s="15">
        <v>18.43</v>
      </c>
      <c r="I199" s="15">
        <v>0</v>
      </c>
      <c r="J199" s="15">
        <v>1100.31</v>
      </c>
      <c r="K199" s="15">
        <v>1044.1500000000001</v>
      </c>
      <c r="L199" s="15">
        <v>1198.3900000000001</v>
      </c>
      <c r="M199" s="16">
        <v>93.83</v>
      </c>
      <c r="N199" s="25" t="str">
        <f t="shared" si="3"/>
        <v/>
      </c>
      <c r="O199"/>
    </row>
    <row r="200" spans="1:15">
      <c r="A200" s="13">
        <v>45853.645833333336</v>
      </c>
      <c r="B200" s="14">
        <v>-166.03</v>
      </c>
      <c r="C200" s="15">
        <v>0</v>
      </c>
      <c r="D200" s="15">
        <v>7024.53</v>
      </c>
      <c r="E200" s="15">
        <v>8.23</v>
      </c>
      <c r="F200" s="15">
        <v>317.17</v>
      </c>
      <c r="G200" s="15">
        <v>43.44</v>
      </c>
      <c r="H200" s="15">
        <v>144.30000000000001</v>
      </c>
      <c r="I200" s="15">
        <v>48.93</v>
      </c>
      <c r="J200" s="15">
        <v>1028.5</v>
      </c>
      <c r="K200" s="15">
        <v>866.41</v>
      </c>
      <c r="L200" s="15">
        <v>916.53</v>
      </c>
      <c r="M200" s="16">
        <v>85.8</v>
      </c>
      <c r="N200" s="25" t="str">
        <f t="shared" si="3"/>
        <v/>
      </c>
      <c r="O200"/>
    </row>
    <row r="201" spans="1:15">
      <c r="A201" s="13">
        <v>45853.666666666664</v>
      </c>
      <c r="B201" s="14">
        <v>-115.04</v>
      </c>
      <c r="C201" s="15">
        <v>0</v>
      </c>
      <c r="D201" s="15">
        <v>7192.34</v>
      </c>
      <c r="E201" s="15">
        <v>5.2</v>
      </c>
      <c r="F201" s="15">
        <v>447.5</v>
      </c>
      <c r="G201" s="15">
        <v>87.34</v>
      </c>
      <c r="H201" s="15">
        <v>18.46</v>
      </c>
      <c r="I201" s="15">
        <v>369.14</v>
      </c>
      <c r="J201" s="15">
        <v>1116.44</v>
      </c>
      <c r="K201" s="15">
        <v>636.95000000000005</v>
      </c>
      <c r="L201" s="15">
        <v>585.77</v>
      </c>
      <c r="M201" s="16">
        <v>122.68</v>
      </c>
      <c r="N201" s="25" t="str">
        <f t="shared" si="3"/>
        <v/>
      </c>
      <c r="O201"/>
    </row>
    <row r="202" spans="1:15">
      <c r="A202" s="13">
        <v>45853.6875</v>
      </c>
      <c r="B202" s="14">
        <v>-60.62</v>
      </c>
      <c r="C202" s="15">
        <v>0</v>
      </c>
      <c r="D202" s="15">
        <v>7361.76</v>
      </c>
      <c r="E202" s="15">
        <v>-2.56</v>
      </c>
      <c r="F202" s="15">
        <v>450</v>
      </c>
      <c r="G202" s="15">
        <v>435.09</v>
      </c>
      <c r="H202" s="15">
        <v>126.24</v>
      </c>
      <c r="I202" s="15">
        <v>658.29</v>
      </c>
      <c r="J202" s="15">
        <v>1114.25</v>
      </c>
      <c r="K202" s="15">
        <v>384.5</v>
      </c>
      <c r="L202" s="15">
        <v>329.56</v>
      </c>
      <c r="M202" s="16">
        <v>137.57</v>
      </c>
      <c r="N202" s="25" t="str">
        <f t="shared" si="3"/>
        <v/>
      </c>
      <c r="O202"/>
    </row>
    <row r="203" spans="1:15">
      <c r="A203" s="13">
        <v>45853.708333333336</v>
      </c>
      <c r="B203" s="14">
        <v>-96.48</v>
      </c>
      <c r="C203" s="15">
        <v>0</v>
      </c>
      <c r="D203" s="15">
        <v>7430.85</v>
      </c>
      <c r="E203" s="15">
        <v>-1.78</v>
      </c>
      <c r="F203" s="15">
        <v>449.33</v>
      </c>
      <c r="G203" s="15">
        <v>861.28</v>
      </c>
      <c r="H203" s="15">
        <v>116.18</v>
      </c>
      <c r="I203" s="15">
        <v>975.56</v>
      </c>
      <c r="J203" s="15">
        <v>1027.3699999999999</v>
      </c>
      <c r="K203" s="15">
        <v>98.8</v>
      </c>
      <c r="L203" s="15">
        <v>103.2</v>
      </c>
      <c r="M203" s="16">
        <v>175.84</v>
      </c>
      <c r="N203" s="25" t="str">
        <f t="shared" si="3"/>
        <v/>
      </c>
      <c r="O203"/>
    </row>
    <row r="204" spans="1:15">
      <c r="A204" s="13">
        <v>45853.729166666664</v>
      </c>
      <c r="B204" s="14">
        <v>-133.13999999999999</v>
      </c>
      <c r="C204" s="15">
        <v>0</v>
      </c>
      <c r="D204" s="15">
        <v>7425.79</v>
      </c>
      <c r="E204" s="15">
        <v>-2.58</v>
      </c>
      <c r="F204" s="15">
        <v>451.67</v>
      </c>
      <c r="G204" s="15">
        <v>1037.73</v>
      </c>
      <c r="H204" s="15">
        <v>186.82</v>
      </c>
      <c r="I204" s="15">
        <v>1210.01</v>
      </c>
      <c r="J204" s="15">
        <v>1008.6</v>
      </c>
      <c r="K204" s="15">
        <v>6.32</v>
      </c>
      <c r="L204" s="15">
        <v>11.91</v>
      </c>
      <c r="M204" s="16">
        <v>208.37</v>
      </c>
      <c r="N204" s="25" t="str">
        <f t="shared" si="3"/>
        <v/>
      </c>
      <c r="O204"/>
    </row>
    <row r="205" spans="1:15">
      <c r="A205" s="13">
        <v>45853.75</v>
      </c>
      <c r="B205" s="14">
        <v>-5.15</v>
      </c>
      <c r="C205" s="15">
        <v>0</v>
      </c>
      <c r="D205" s="15">
        <v>7285.92</v>
      </c>
      <c r="E205" s="15">
        <v>-2.46</v>
      </c>
      <c r="F205" s="15">
        <v>450.33</v>
      </c>
      <c r="G205" s="15">
        <v>1035.6199999999999</v>
      </c>
      <c r="H205" s="15">
        <v>172.06</v>
      </c>
      <c r="I205" s="15">
        <v>1262.2</v>
      </c>
      <c r="J205" s="15">
        <v>1065.6500000000001</v>
      </c>
      <c r="K205" s="15">
        <v>0.03</v>
      </c>
      <c r="L205" s="15">
        <v>0.11</v>
      </c>
      <c r="M205" s="16">
        <v>269.77999999999997</v>
      </c>
      <c r="N205" s="25" t="str">
        <f t="shared" si="3"/>
        <v/>
      </c>
      <c r="O205"/>
    </row>
    <row r="206" spans="1:15">
      <c r="A206" s="13">
        <v>45853.770833333336</v>
      </c>
      <c r="B206" s="14">
        <v>-5.62</v>
      </c>
      <c r="C206" s="15">
        <v>0</v>
      </c>
      <c r="D206" s="15">
        <v>7043.9</v>
      </c>
      <c r="E206" s="15">
        <v>-1.97</v>
      </c>
      <c r="F206" s="15">
        <v>451.83</v>
      </c>
      <c r="G206" s="15">
        <v>1038.24</v>
      </c>
      <c r="H206" s="15">
        <v>228.5</v>
      </c>
      <c r="I206" s="15">
        <v>1389.42</v>
      </c>
      <c r="J206" s="15">
        <v>1164.3399999999999</v>
      </c>
      <c r="K206" s="15">
        <v>0.03</v>
      </c>
      <c r="L206" s="15">
        <v>0</v>
      </c>
      <c r="M206" s="16">
        <v>203.88</v>
      </c>
      <c r="N206" s="25" t="str">
        <f t="shared" si="3"/>
        <v/>
      </c>
      <c r="O206"/>
    </row>
    <row r="207" spans="1:15">
      <c r="A207" s="13">
        <v>45853.791666666664</v>
      </c>
      <c r="B207" s="14">
        <v>-6.27</v>
      </c>
      <c r="C207" s="15">
        <v>0</v>
      </c>
      <c r="D207" s="15">
        <v>7031.93</v>
      </c>
      <c r="E207" s="15">
        <v>-2.2599999999999998</v>
      </c>
      <c r="F207" s="15">
        <v>450.83</v>
      </c>
      <c r="G207" s="15">
        <v>1037.17</v>
      </c>
      <c r="H207" s="15">
        <v>115.27</v>
      </c>
      <c r="I207" s="15">
        <v>1339.39</v>
      </c>
      <c r="J207" s="15">
        <v>1239.46</v>
      </c>
      <c r="K207" s="15">
        <v>0.03</v>
      </c>
      <c r="L207" s="15">
        <v>0</v>
      </c>
      <c r="M207" s="16">
        <v>153.72</v>
      </c>
      <c r="N207" s="25" t="str">
        <f t="shared" si="3"/>
        <v/>
      </c>
      <c r="O207"/>
    </row>
    <row r="208" spans="1:15">
      <c r="A208" s="13">
        <v>45853.8125</v>
      </c>
      <c r="B208" s="14">
        <v>-17.82</v>
      </c>
      <c r="C208" s="15">
        <v>0</v>
      </c>
      <c r="D208" s="15">
        <v>7010.03</v>
      </c>
      <c r="E208" s="15">
        <v>-1.56</v>
      </c>
      <c r="F208" s="15">
        <v>450.83</v>
      </c>
      <c r="G208" s="15">
        <v>1036</v>
      </c>
      <c r="H208" s="15">
        <v>26.49</v>
      </c>
      <c r="I208" s="15">
        <v>1225.48</v>
      </c>
      <c r="J208" s="15">
        <v>1337.7</v>
      </c>
      <c r="K208" s="15">
        <v>0.03</v>
      </c>
      <c r="L208" s="15">
        <v>0</v>
      </c>
      <c r="M208" s="16">
        <v>193.27</v>
      </c>
      <c r="N208" s="25" t="str">
        <f t="shared" si="3"/>
        <v/>
      </c>
      <c r="O208"/>
    </row>
    <row r="209" spans="1:15">
      <c r="A209" s="13">
        <v>45853.833333333336</v>
      </c>
      <c r="B209" s="14">
        <v>-12.74</v>
      </c>
      <c r="C209" s="15">
        <v>0</v>
      </c>
      <c r="D209" s="15">
        <v>6974.25</v>
      </c>
      <c r="E209" s="15">
        <v>-2.63</v>
      </c>
      <c r="F209" s="15">
        <v>453</v>
      </c>
      <c r="G209" s="15">
        <v>1028.56</v>
      </c>
      <c r="H209" s="15">
        <v>2.1800000000000002</v>
      </c>
      <c r="I209" s="15">
        <v>1143.6500000000001</v>
      </c>
      <c r="J209" s="15">
        <v>1383.15</v>
      </c>
      <c r="K209" s="15">
        <v>0.03</v>
      </c>
      <c r="L209" s="15">
        <v>0</v>
      </c>
      <c r="M209" s="16">
        <v>146.05000000000001</v>
      </c>
      <c r="N209" s="25" t="str">
        <f t="shared" si="3"/>
        <v/>
      </c>
      <c r="O209"/>
    </row>
    <row r="210" spans="1:15">
      <c r="A210" s="13">
        <v>45853.854166666664</v>
      </c>
      <c r="B210" s="14">
        <v>-8.18</v>
      </c>
      <c r="C210" s="15">
        <v>0</v>
      </c>
      <c r="D210" s="15">
        <v>7001.03</v>
      </c>
      <c r="E210" s="15">
        <v>-2.11</v>
      </c>
      <c r="F210" s="15">
        <v>454.33</v>
      </c>
      <c r="G210" s="15">
        <v>1028.19</v>
      </c>
      <c r="H210" s="15">
        <v>51.99</v>
      </c>
      <c r="I210" s="15">
        <v>1059.47</v>
      </c>
      <c r="J210" s="15">
        <v>1214.76</v>
      </c>
      <c r="K210" s="15">
        <v>0.03</v>
      </c>
      <c r="L210" s="15">
        <v>0</v>
      </c>
      <c r="M210" s="16">
        <v>128.78</v>
      </c>
      <c r="N210" s="25" t="str">
        <f t="shared" si="3"/>
        <v/>
      </c>
      <c r="O210"/>
    </row>
    <row r="211" spans="1:15">
      <c r="A211" s="13">
        <v>45853.875</v>
      </c>
      <c r="B211" s="14">
        <v>-6.76</v>
      </c>
      <c r="C211" s="15">
        <v>0</v>
      </c>
      <c r="D211" s="15">
        <v>6981.95</v>
      </c>
      <c r="E211" s="15">
        <v>-2.66</v>
      </c>
      <c r="F211" s="15">
        <v>454.33</v>
      </c>
      <c r="G211" s="15">
        <v>998.64</v>
      </c>
      <c r="H211" s="15">
        <v>38.4</v>
      </c>
      <c r="I211" s="15">
        <v>927.6</v>
      </c>
      <c r="J211" s="15">
        <v>1100</v>
      </c>
      <c r="K211" s="15">
        <v>0.03</v>
      </c>
      <c r="L211" s="15">
        <v>0</v>
      </c>
      <c r="M211" s="16">
        <v>153.12</v>
      </c>
      <c r="N211" s="25" t="str">
        <f t="shared" si="3"/>
        <v/>
      </c>
      <c r="O211"/>
    </row>
    <row r="212" spans="1:15">
      <c r="A212" s="13">
        <v>45853.895833333336</v>
      </c>
      <c r="B212" s="14">
        <v>-13.72</v>
      </c>
      <c r="C212" s="15">
        <v>0</v>
      </c>
      <c r="D212" s="15">
        <v>6969.56</v>
      </c>
      <c r="E212" s="15">
        <v>-2.46</v>
      </c>
      <c r="F212" s="15">
        <v>453</v>
      </c>
      <c r="G212" s="15">
        <v>656.22</v>
      </c>
      <c r="H212" s="15">
        <v>9.33</v>
      </c>
      <c r="I212" s="15">
        <v>870.78</v>
      </c>
      <c r="J212" s="15">
        <v>983.93</v>
      </c>
      <c r="K212" s="15">
        <v>0.03</v>
      </c>
      <c r="L212" s="15">
        <v>0</v>
      </c>
      <c r="M212" s="16">
        <v>163.04</v>
      </c>
      <c r="N212" s="25" t="str">
        <f t="shared" si="3"/>
        <v/>
      </c>
      <c r="O212"/>
    </row>
    <row r="213" spans="1:15">
      <c r="A213" s="13">
        <v>45853.916666666664</v>
      </c>
      <c r="B213" s="14">
        <v>-14.12</v>
      </c>
      <c r="C213" s="15">
        <v>0</v>
      </c>
      <c r="D213" s="15">
        <v>6924.38</v>
      </c>
      <c r="E213" s="15">
        <v>-1.59</v>
      </c>
      <c r="F213" s="15">
        <v>430.83</v>
      </c>
      <c r="G213" s="15">
        <v>551.91999999999996</v>
      </c>
      <c r="H213" s="15">
        <v>0.96</v>
      </c>
      <c r="I213" s="15">
        <v>623.46</v>
      </c>
      <c r="J213" s="15">
        <v>917.71</v>
      </c>
      <c r="K213" s="15">
        <v>0.03</v>
      </c>
      <c r="L213" s="15">
        <v>0</v>
      </c>
      <c r="M213" s="16">
        <v>119.99</v>
      </c>
      <c r="N213" s="25" t="str">
        <f t="shared" si="3"/>
        <v/>
      </c>
      <c r="O213"/>
    </row>
    <row r="214" spans="1:15">
      <c r="A214" s="13">
        <v>45853.9375</v>
      </c>
      <c r="B214" s="14">
        <v>-7.64</v>
      </c>
      <c r="C214" s="15">
        <v>0</v>
      </c>
      <c r="D214" s="15">
        <v>6895.02</v>
      </c>
      <c r="E214" s="15">
        <v>-2.08</v>
      </c>
      <c r="F214" s="15">
        <v>455</v>
      </c>
      <c r="G214" s="15">
        <v>334.57</v>
      </c>
      <c r="H214" s="15">
        <v>88.99</v>
      </c>
      <c r="I214" s="15">
        <v>600.72</v>
      </c>
      <c r="J214" s="15">
        <v>828.47</v>
      </c>
      <c r="K214" s="15">
        <v>0.03</v>
      </c>
      <c r="L214" s="15">
        <v>0</v>
      </c>
      <c r="M214" s="16">
        <v>158.80000000000001</v>
      </c>
      <c r="N214" s="25" t="str">
        <f t="shared" si="3"/>
        <v/>
      </c>
      <c r="O214"/>
    </row>
    <row r="215" spans="1:15">
      <c r="A215" s="13">
        <v>45853.958333333336</v>
      </c>
      <c r="B215" s="14">
        <v>-11.04</v>
      </c>
      <c r="C215" s="15">
        <v>0</v>
      </c>
      <c r="D215" s="15">
        <v>6891.76</v>
      </c>
      <c r="E215" s="15">
        <v>-1.45</v>
      </c>
      <c r="F215" s="15">
        <v>422.83</v>
      </c>
      <c r="G215" s="15">
        <v>67.81</v>
      </c>
      <c r="H215" s="15">
        <v>19.87</v>
      </c>
      <c r="I215" s="15">
        <v>538.44000000000005</v>
      </c>
      <c r="J215" s="15">
        <v>879.75</v>
      </c>
      <c r="K215" s="15">
        <v>0.03</v>
      </c>
      <c r="L215" s="15">
        <v>0</v>
      </c>
      <c r="M215" s="16">
        <v>142</v>
      </c>
      <c r="N215" s="25" t="str">
        <f t="shared" si="3"/>
        <v/>
      </c>
      <c r="O215"/>
    </row>
    <row r="216" spans="1:15">
      <c r="A216" s="13">
        <v>45853.979166666664</v>
      </c>
      <c r="B216" s="14">
        <v>-8.8000000000000007</v>
      </c>
      <c r="C216" s="15">
        <v>0</v>
      </c>
      <c r="D216" s="15">
        <v>6848.61</v>
      </c>
      <c r="E216" s="15">
        <v>-2.06</v>
      </c>
      <c r="F216" s="15">
        <v>302.17</v>
      </c>
      <c r="G216" s="15">
        <v>45.33</v>
      </c>
      <c r="H216" s="15">
        <v>0.57999999999999996</v>
      </c>
      <c r="I216" s="15">
        <v>372.84</v>
      </c>
      <c r="J216" s="15">
        <v>979.2</v>
      </c>
      <c r="K216" s="15">
        <v>0.03</v>
      </c>
      <c r="L216" s="15">
        <v>0</v>
      </c>
      <c r="M216" s="16">
        <v>87.28</v>
      </c>
      <c r="N216" s="25" t="str">
        <f t="shared" si="3"/>
        <v/>
      </c>
      <c r="O216"/>
    </row>
    <row r="217" spans="1:15">
      <c r="A217" s="13">
        <v>45854</v>
      </c>
      <c r="B217" s="14">
        <v>-48.46</v>
      </c>
      <c r="C217" s="15">
        <v>0</v>
      </c>
      <c r="D217" s="15">
        <v>6764.92</v>
      </c>
      <c r="E217" s="15">
        <v>-2.4500000000000002</v>
      </c>
      <c r="F217" s="15">
        <v>291</v>
      </c>
      <c r="G217" s="15">
        <v>45.1</v>
      </c>
      <c r="H217" s="15">
        <v>1.87</v>
      </c>
      <c r="I217" s="15">
        <v>302.93</v>
      </c>
      <c r="J217" s="15">
        <v>933.73</v>
      </c>
      <c r="K217" s="15">
        <v>0.03</v>
      </c>
      <c r="L217" s="15">
        <v>0</v>
      </c>
      <c r="M217" s="16">
        <v>80.03</v>
      </c>
      <c r="N217" s="25" t="str">
        <f t="shared" si="3"/>
        <v>16 Jul</v>
      </c>
      <c r="O217"/>
    </row>
    <row r="218" spans="1:15">
      <c r="A218" s="13">
        <v>45854.020833333336</v>
      </c>
      <c r="B218" s="14">
        <v>-11.98</v>
      </c>
      <c r="C218" s="15">
        <v>-67.36</v>
      </c>
      <c r="D218" s="15">
        <v>6589.13</v>
      </c>
      <c r="E218" s="15">
        <v>-0.92</v>
      </c>
      <c r="F218" s="15">
        <v>194</v>
      </c>
      <c r="G218" s="15">
        <v>44.54</v>
      </c>
      <c r="H218" s="15">
        <v>0.11</v>
      </c>
      <c r="I218" s="15">
        <v>226.89</v>
      </c>
      <c r="J218" s="15">
        <v>954.46</v>
      </c>
      <c r="K218" s="15">
        <v>0.03</v>
      </c>
      <c r="L218" s="15">
        <v>0</v>
      </c>
      <c r="M218" s="16">
        <v>83.72</v>
      </c>
      <c r="N218" s="25" t="str">
        <f t="shared" si="3"/>
        <v/>
      </c>
      <c r="O218"/>
    </row>
    <row r="219" spans="1:15">
      <c r="A219" s="13">
        <v>45854.041666666664</v>
      </c>
      <c r="B219" s="14">
        <v>-43.37</v>
      </c>
      <c r="C219" s="15">
        <v>-80.8</v>
      </c>
      <c r="D219" s="15">
        <v>6365.28</v>
      </c>
      <c r="E219" s="15">
        <v>-0.75</v>
      </c>
      <c r="F219" s="15">
        <v>190</v>
      </c>
      <c r="G219" s="15">
        <v>44.21</v>
      </c>
      <c r="H219" s="15">
        <v>1.17</v>
      </c>
      <c r="I219" s="15">
        <v>74.290000000000006</v>
      </c>
      <c r="J219" s="15">
        <v>985.39</v>
      </c>
      <c r="K219" s="15">
        <v>0.03</v>
      </c>
      <c r="L219" s="15">
        <v>0</v>
      </c>
      <c r="M219" s="16">
        <v>75.25</v>
      </c>
      <c r="N219" s="25" t="str">
        <f t="shared" si="3"/>
        <v/>
      </c>
      <c r="O219"/>
    </row>
    <row r="220" spans="1:15">
      <c r="A220" s="13">
        <v>45854.0625</v>
      </c>
      <c r="B220" s="14">
        <v>-106.28</v>
      </c>
      <c r="C220" s="15">
        <v>-80.760000000000005</v>
      </c>
      <c r="D220" s="15">
        <v>6234.07</v>
      </c>
      <c r="E220" s="15">
        <v>-2.37</v>
      </c>
      <c r="F220" s="15">
        <v>189.83</v>
      </c>
      <c r="G220" s="15">
        <v>42.96</v>
      </c>
      <c r="H220" s="15">
        <v>3.33</v>
      </c>
      <c r="I220" s="15">
        <v>76.22</v>
      </c>
      <c r="J220" s="15">
        <v>1041.4000000000001</v>
      </c>
      <c r="K220" s="15">
        <v>0.03</v>
      </c>
      <c r="L220" s="15">
        <v>0</v>
      </c>
      <c r="M220" s="16">
        <v>76.58</v>
      </c>
      <c r="N220" s="25" t="str">
        <f t="shared" si="3"/>
        <v/>
      </c>
      <c r="O220"/>
    </row>
    <row r="221" spans="1:15">
      <c r="A221" s="13">
        <v>45854.083333333336</v>
      </c>
      <c r="B221" s="14">
        <v>-123.26</v>
      </c>
      <c r="C221" s="15">
        <v>-80.78</v>
      </c>
      <c r="D221" s="15">
        <v>6096.22</v>
      </c>
      <c r="E221" s="15">
        <v>-4.2699999999999996</v>
      </c>
      <c r="F221" s="15">
        <v>190</v>
      </c>
      <c r="G221" s="15">
        <v>43</v>
      </c>
      <c r="H221" s="15">
        <v>3.31</v>
      </c>
      <c r="I221" s="15">
        <v>59.41</v>
      </c>
      <c r="J221" s="15">
        <v>1014.4</v>
      </c>
      <c r="K221" s="15">
        <v>0.03</v>
      </c>
      <c r="L221" s="15">
        <v>0</v>
      </c>
      <c r="M221" s="16">
        <v>60.26</v>
      </c>
      <c r="N221" s="25" t="str">
        <f t="shared" si="3"/>
        <v/>
      </c>
      <c r="O221"/>
    </row>
    <row r="222" spans="1:15">
      <c r="A222" s="13">
        <v>45854.104166666664</v>
      </c>
      <c r="B222" s="14">
        <v>-90.15</v>
      </c>
      <c r="C222" s="15">
        <v>-80.78</v>
      </c>
      <c r="D222" s="15">
        <v>6098.62</v>
      </c>
      <c r="E222" s="15">
        <v>-4.49</v>
      </c>
      <c r="F222" s="15">
        <v>190.33</v>
      </c>
      <c r="G222" s="15">
        <v>43.36</v>
      </c>
      <c r="H222" s="15">
        <v>3.86</v>
      </c>
      <c r="I222" s="15">
        <v>27.58</v>
      </c>
      <c r="J222" s="15">
        <v>918.22</v>
      </c>
      <c r="K222" s="15">
        <v>0.03</v>
      </c>
      <c r="L222" s="15">
        <v>0</v>
      </c>
      <c r="M222" s="16">
        <v>76.8</v>
      </c>
      <c r="N222" s="25" t="str">
        <f t="shared" si="3"/>
        <v/>
      </c>
      <c r="O222"/>
    </row>
    <row r="223" spans="1:15">
      <c r="A223" s="13">
        <v>45854.125</v>
      </c>
      <c r="B223" s="14">
        <v>-112.17</v>
      </c>
      <c r="C223" s="15">
        <v>-80.75</v>
      </c>
      <c r="D223" s="15">
        <v>5986.73</v>
      </c>
      <c r="E223" s="15">
        <v>-4.3600000000000003</v>
      </c>
      <c r="F223" s="15">
        <v>190</v>
      </c>
      <c r="G223" s="15">
        <v>43.2</v>
      </c>
      <c r="H223" s="15">
        <v>3.74</v>
      </c>
      <c r="I223" s="15">
        <v>4.97</v>
      </c>
      <c r="J223" s="15">
        <v>822.27</v>
      </c>
      <c r="K223" s="15">
        <v>0.03</v>
      </c>
      <c r="L223" s="15">
        <v>0</v>
      </c>
      <c r="M223" s="16">
        <v>76.8</v>
      </c>
      <c r="N223" s="25" t="str">
        <f t="shared" si="3"/>
        <v/>
      </c>
      <c r="O223"/>
    </row>
    <row r="224" spans="1:15">
      <c r="A224" s="13">
        <v>45854.145833333336</v>
      </c>
      <c r="B224" s="14">
        <v>-121.77</v>
      </c>
      <c r="C224" s="15">
        <v>-80.75</v>
      </c>
      <c r="D224" s="15">
        <v>5813.57</v>
      </c>
      <c r="E224" s="15">
        <v>-4.25</v>
      </c>
      <c r="F224" s="15">
        <v>190</v>
      </c>
      <c r="G224" s="15">
        <v>43.31</v>
      </c>
      <c r="H224" s="15">
        <v>0.05</v>
      </c>
      <c r="I224" s="15">
        <v>0.28000000000000003</v>
      </c>
      <c r="J224" s="15">
        <v>831.72</v>
      </c>
      <c r="K224" s="15">
        <v>0.03</v>
      </c>
      <c r="L224" s="15">
        <v>0</v>
      </c>
      <c r="M224" s="16">
        <v>64.89</v>
      </c>
      <c r="N224" s="25" t="str">
        <f t="shared" si="3"/>
        <v/>
      </c>
      <c r="O224"/>
    </row>
    <row r="225" spans="1:15">
      <c r="A225" s="13">
        <v>45854.166666666664</v>
      </c>
      <c r="B225" s="14">
        <v>-130.87</v>
      </c>
      <c r="C225" s="15">
        <v>-80.61</v>
      </c>
      <c r="D225" s="15">
        <v>5836.79</v>
      </c>
      <c r="E225" s="15">
        <v>5.95</v>
      </c>
      <c r="F225" s="15">
        <v>190.33</v>
      </c>
      <c r="G225" s="15">
        <v>42.78</v>
      </c>
      <c r="H225" s="15">
        <v>0.6</v>
      </c>
      <c r="I225" s="15">
        <v>39.700000000000003</v>
      </c>
      <c r="J225" s="15">
        <v>880.97</v>
      </c>
      <c r="K225" s="15">
        <v>0.03</v>
      </c>
      <c r="L225" s="15">
        <v>0</v>
      </c>
      <c r="M225" s="16">
        <v>77.97</v>
      </c>
      <c r="N225" s="25" t="str">
        <f t="shared" si="3"/>
        <v/>
      </c>
      <c r="O225"/>
    </row>
    <row r="226" spans="1:15">
      <c r="A226" s="13">
        <v>45854.1875</v>
      </c>
      <c r="B226" s="14">
        <v>-100.34</v>
      </c>
      <c r="C226" s="15">
        <v>-80.64</v>
      </c>
      <c r="D226" s="15">
        <v>5783.17</v>
      </c>
      <c r="E226" s="15">
        <v>21.02</v>
      </c>
      <c r="F226" s="15">
        <v>189.83</v>
      </c>
      <c r="G226" s="15">
        <v>42.48</v>
      </c>
      <c r="H226" s="15">
        <v>0.59</v>
      </c>
      <c r="I226" s="15">
        <v>50.75</v>
      </c>
      <c r="J226" s="15">
        <v>947.86</v>
      </c>
      <c r="K226" s="15">
        <v>0.03</v>
      </c>
      <c r="L226" s="15">
        <v>0</v>
      </c>
      <c r="M226" s="16">
        <v>76.58</v>
      </c>
      <c r="N226" s="25" t="str">
        <f t="shared" si="3"/>
        <v/>
      </c>
      <c r="O226"/>
    </row>
    <row r="227" spans="1:15">
      <c r="A227" s="13">
        <v>45854.208333333336</v>
      </c>
      <c r="B227" s="14">
        <v>-42.13</v>
      </c>
      <c r="C227" s="15">
        <v>-67.17</v>
      </c>
      <c r="D227" s="15">
        <v>5928.17</v>
      </c>
      <c r="E227" s="15">
        <v>20.59</v>
      </c>
      <c r="F227" s="15">
        <v>190.33</v>
      </c>
      <c r="G227" s="15">
        <v>41.28</v>
      </c>
      <c r="H227" s="15">
        <v>1.36</v>
      </c>
      <c r="I227" s="15">
        <v>74.22</v>
      </c>
      <c r="J227" s="15">
        <v>980.55</v>
      </c>
      <c r="K227" s="15">
        <v>0.03</v>
      </c>
      <c r="L227" s="15">
        <v>0</v>
      </c>
      <c r="M227" s="16">
        <v>76.58</v>
      </c>
      <c r="N227" s="25" t="str">
        <f t="shared" si="3"/>
        <v/>
      </c>
      <c r="O227"/>
    </row>
    <row r="228" spans="1:15">
      <c r="A228" s="13">
        <v>45854.229166666664</v>
      </c>
      <c r="B228" s="14">
        <v>-8.7799999999999994</v>
      </c>
      <c r="C228" s="15">
        <v>0</v>
      </c>
      <c r="D228" s="15">
        <v>6183.11</v>
      </c>
      <c r="E228" s="15">
        <v>20.440000000000001</v>
      </c>
      <c r="F228" s="15">
        <v>198.33</v>
      </c>
      <c r="G228" s="15">
        <v>40.58</v>
      </c>
      <c r="H228" s="15">
        <v>2.0299999999999998</v>
      </c>
      <c r="I228" s="15">
        <v>221.8</v>
      </c>
      <c r="J228" s="15">
        <v>995.76</v>
      </c>
      <c r="K228" s="15">
        <v>0.03</v>
      </c>
      <c r="L228" s="15">
        <v>0</v>
      </c>
      <c r="M228" s="16">
        <v>80.010000000000005</v>
      </c>
      <c r="N228" s="25" t="str">
        <f t="shared" si="3"/>
        <v/>
      </c>
      <c r="O228"/>
    </row>
    <row r="229" spans="1:15">
      <c r="A229" s="13">
        <v>45854.25</v>
      </c>
      <c r="B229" s="14">
        <v>-6.42</v>
      </c>
      <c r="C229" s="15">
        <v>0</v>
      </c>
      <c r="D229" s="15">
        <v>6584.98</v>
      </c>
      <c r="E229" s="15">
        <v>21.97</v>
      </c>
      <c r="F229" s="15">
        <v>400.33</v>
      </c>
      <c r="G229" s="15">
        <v>62.36</v>
      </c>
      <c r="H229" s="15">
        <v>19.12</v>
      </c>
      <c r="I229" s="15">
        <v>478.8</v>
      </c>
      <c r="J229" s="15">
        <v>991.43</v>
      </c>
      <c r="K229" s="15">
        <v>0.03</v>
      </c>
      <c r="L229" s="15">
        <v>0</v>
      </c>
      <c r="M229" s="16">
        <v>118.95</v>
      </c>
      <c r="N229" s="25" t="str">
        <f t="shared" si="3"/>
        <v/>
      </c>
      <c r="O229"/>
    </row>
    <row r="230" spans="1:15">
      <c r="A230" s="13">
        <v>45854.270833333336</v>
      </c>
      <c r="B230" s="14">
        <v>-6.26</v>
      </c>
      <c r="C230" s="15">
        <v>0</v>
      </c>
      <c r="D230" s="15">
        <v>6800.91</v>
      </c>
      <c r="E230" s="15">
        <v>22.15</v>
      </c>
      <c r="F230" s="15">
        <v>450.5</v>
      </c>
      <c r="G230" s="15">
        <v>353.98</v>
      </c>
      <c r="H230" s="15">
        <v>96.17</v>
      </c>
      <c r="I230" s="15">
        <v>789.86</v>
      </c>
      <c r="J230" s="15">
        <v>984.67</v>
      </c>
      <c r="K230" s="15">
        <v>0.03</v>
      </c>
      <c r="L230" s="15">
        <v>0.12</v>
      </c>
      <c r="M230" s="16">
        <v>120.01</v>
      </c>
      <c r="N230" s="25" t="str">
        <f t="shared" si="3"/>
        <v/>
      </c>
      <c r="O230"/>
    </row>
    <row r="231" spans="1:15">
      <c r="A231" s="13">
        <v>45854.291666666664</v>
      </c>
      <c r="B231" s="14">
        <v>-6.04</v>
      </c>
      <c r="C231" s="15">
        <v>0</v>
      </c>
      <c r="D231" s="15">
        <v>6816.89</v>
      </c>
      <c r="E231" s="15">
        <v>23.93</v>
      </c>
      <c r="F231" s="15">
        <v>451</v>
      </c>
      <c r="G231" s="15">
        <v>795.02</v>
      </c>
      <c r="H231" s="15">
        <v>167.76</v>
      </c>
      <c r="I231" s="15">
        <v>983.02</v>
      </c>
      <c r="J231" s="15">
        <v>904.96</v>
      </c>
      <c r="K231" s="15">
        <v>1.18</v>
      </c>
      <c r="L231" s="15">
        <v>7.98</v>
      </c>
      <c r="M231" s="16">
        <v>150.07</v>
      </c>
      <c r="N231" s="25" t="str">
        <f t="shared" si="3"/>
        <v/>
      </c>
      <c r="O231"/>
    </row>
    <row r="232" spans="1:15">
      <c r="A232" s="13">
        <v>45854.3125</v>
      </c>
      <c r="B232" s="14">
        <v>-22.83</v>
      </c>
      <c r="C232" s="15">
        <v>0</v>
      </c>
      <c r="D232" s="15">
        <v>6875.66</v>
      </c>
      <c r="E232" s="15">
        <v>26.83</v>
      </c>
      <c r="F232" s="15">
        <v>451.5</v>
      </c>
      <c r="G232" s="15">
        <v>871.8</v>
      </c>
      <c r="H232" s="15">
        <v>125.37</v>
      </c>
      <c r="I232" s="15">
        <v>1089.02</v>
      </c>
      <c r="J232" s="15">
        <v>842.58</v>
      </c>
      <c r="K232" s="15">
        <v>67.34</v>
      </c>
      <c r="L232" s="15">
        <v>96.5</v>
      </c>
      <c r="M232" s="16">
        <v>176.21</v>
      </c>
      <c r="N232" s="25" t="str">
        <f t="shared" si="3"/>
        <v/>
      </c>
      <c r="O232"/>
    </row>
    <row r="233" spans="1:15">
      <c r="A233" s="13">
        <v>45854.333333333336</v>
      </c>
      <c r="B233" s="14">
        <v>-7.13</v>
      </c>
      <c r="C233" s="15">
        <v>0</v>
      </c>
      <c r="D233" s="15">
        <v>6884.99</v>
      </c>
      <c r="E233" s="15">
        <v>28.03</v>
      </c>
      <c r="F233" s="15">
        <v>451.33</v>
      </c>
      <c r="G233" s="15">
        <v>852.25</v>
      </c>
      <c r="H233" s="15">
        <v>133.88999999999999</v>
      </c>
      <c r="I233" s="15">
        <v>843.08</v>
      </c>
      <c r="J233" s="15">
        <v>786.68</v>
      </c>
      <c r="K233" s="15">
        <v>434.25</v>
      </c>
      <c r="L233" s="15">
        <v>401.36</v>
      </c>
      <c r="M233" s="16">
        <v>143.37</v>
      </c>
      <c r="N233" s="25" t="str">
        <f t="shared" si="3"/>
        <v/>
      </c>
      <c r="O233"/>
    </row>
    <row r="234" spans="1:15">
      <c r="A234" s="13">
        <v>45854.354166666664</v>
      </c>
      <c r="B234" s="14">
        <v>-7.14</v>
      </c>
      <c r="C234" s="15">
        <v>0</v>
      </c>
      <c r="D234" s="15">
        <v>6740.14</v>
      </c>
      <c r="E234" s="15">
        <v>28.17</v>
      </c>
      <c r="F234" s="15">
        <v>380.33</v>
      </c>
      <c r="G234" s="15">
        <v>609.87</v>
      </c>
      <c r="H234" s="15">
        <v>77.94</v>
      </c>
      <c r="I234" s="15">
        <v>243.18</v>
      </c>
      <c r="J234" s="15">
        <v>728.07</v>
      </c>
      <c r="K234" s="15">
        <v>1038.1199999999999</v>
      </c>
      <c r="L234" s="15">
        <v>889.76</v>
      </c>
      <c r="M234" s="16">
        <v>134.05000000000001</v>
      </c>
      <c r="N234" s="25" t="str">
        <f t="shared" si="3"/>
        <v/>
      </c>
      <c r="O234"/>
    </row>
    <row r="235" spans="1:15">
      <c r="A235" s="13">
        <v>45854.375</v>
      </c>
      <c r="B235" s="14">
        <v>-6.88</v>
      </c>
      <c r="C235" s="15">
        <v>0</v>
      </c>
      <c r="D235" s="15">
        <v>6353.45</v>
      </c>
      <c r="E235" s="15">
        <v>26.62</v>
      </c>
      <c r="F235" s="15">
        <v>120.67</v>
      </c>
      <c r="G235" s="15">
        <v>370.52</v>
      </c>
      <c r="H235" s="15">
        <v>37.97</v>
      </c>
      <c r="I235" s="15">
        <v>80</v>
      </c>
      <c r="J235" s="15">
        <v>577.47</v>
      </c>
      <c r="K235" s="15">
        <v>1505.56</v>
      </c>
      <c r="L235" s="15">
        <v>1469.23</v>
      </c>
      <c r="M235" s="16">
        <v>76.8</v>
      </c>
      <c r="N235" s="25" t="str">
        <f t="shared" si="3"/>
        <v/>
      </c>
      <c r="O235"/>
    </row>
    <row r="236" spans="1:15">
      <c r="A236" s="13">
        <v>45854.395833333336</v>
      </c>
      <c r="B236" s="14">
        <v>-6.98</v>
      </c>
      <c r="C236" s="15">
        <v>0</v>
      </c>
      <c r="D236" s="15">
        <v>6027.26</v>
      </c>
      <c r="E236" s="15">
        <v>7.14</v>
      </c>
      <c r="F236" s="15">
        <v>0</v>
      </c>
      <c r="G236" s="15">
        <v>71.680000000000007</v>
      </c>
      <c r="H236" s="15">
        <v>6.25</v>
      </c>
      <c r="I236" s="15">
        <v>32.31</v>
      </c>
      <c r="J236" s="15">
        <v>520.59</v>
      </c>
      <c r="K236" s="15">
        <v>1840.47</v>
      </c>
      <c r="L236" s="15">
        <v>2052.06</v>
      </c>
      <c r="M236" s="16">
        <v>63.76</v>
      </c>
      <c r="N236" s="25" t="str">
        <f t="shared" si="3"/>
        <v/>
      </c>
      <c r="O236"/>
    </row>
    <row r="237" spans="1:15">
      <c r="A237" s="13">
        <v>45854.416666666664</v>
      </c>
      <c r="B237" s="14">
        <v>-77.48</v>
      </c>
      <c r="C237" s="15">
        <v>0</v>
      </c>
      <c r="D237" s="15">
        <v>5381.56</v>
      </c>
      <c r="E237" s="15">
        <v>-0.23</v>
      </c>
      <c r="F237" s="15">
        <v>0</v>
      </c>
      <c r="G237" s="15">
        <v>36.799999999999997</v>
      </c>
      <c r="H237" s="15">
        <v>0.53</v>
      </c>
      <c r="I237" s="15">
        <v>34.25</v>
      </c>
      <c r="J237" s="15">
        <v>506.81</v>
      </c>
      <c r="K237" s="15">
        <v>2087.0500000000002</v>
      </c>
      <c r="L237" s="15">
        <v>2591.34</v>
      </c>
      <c r="M237" s="16">
        <v>-0.01</v>
      </c>
      <c r="N237" s="25" t="str">
        <f t="shared" si="3"/>
        <v/>
      </c>
      <c r="O237"/>
    </row>
    <row r="238" spans="1:15">
      <c r="A238" s="13">
        <v>45854.4375</v>
      </c>
      <c r="B238" s="14">
        <v>-111.94</v>
      </c>
      <c r="C238" s="15">
        <v>0</v>
      </c>
      <c r="D238" s="15">
        <v>4791.59</v>
      </c>
      <c r="E238" s="15">
        <v>-0.13</v>
      </c>
      <c r="F238" s="15">
        <v>0</v>
      </c>
      <c r="G238" s="15">
        <v>36.56</v>
      </c>
      <c r="H238" s="15">
        <v>0.03</v>
      </c>
      <c r="I238" s="15">
        <v>0</v>
      </c>
      <c r="J238" s="15">
        <v>457.49</v>
      </c>
      <c r="K238" s="15">
        <v>2175.84</v>
      </c>
      <c r="L238" s="15">
        <v>3025.77</v>
      </c>
      <c r="M238" s="16">
        <v>56.98</v>
      </c>
      <c r="N238" s="25" t="str">
        <f t="shared" si="3"/>
        <v/>
      </c>
      <c r="O238"/>
    </row>
    <row r="239" spans="1:15">
      <c r="A239" s="13">
        <v>45854.458333333336</v>
      </c>
      <c r="B239" s="14">
        <v>-75.11</v>
      </c>
      <c r="C239" s="15">
        <v>-67.3</v>
      </c>
      <c r="D239" s="15">
        <v>4094.45</v>
      </c>
      <c r="E239" s="15">
        <v>-0.03</v>
      </c>
      <c r="F239" s="15">
        <v>0</v>
      </c>
      <c r="G239" s="15">
        <v>36.17</v>
      </c>
      <c r="H239" s="15">
        <v>137.94999999999999</v>
      </c>
      <c r="I239" s="15">
        <v>0</v>
      </c>
      <c r="J239" s="15">
        <v>466.01</v>
      </c>
      <c r="K239" s="15">
        <v>2357.94</v>
      </c>
      <c r="L239" s="15">
        <v>3358.54</v>
      </c>
      <c r="M239" s="16">
        <v>-14.01</v>
      </c>
      <c r="N239" s="25" t="str">
        <f t="shared" si="3"/>
        <v/>
      </c>
      <c r="O239"/>
    </row>
    <row r="240" spans="1:15">
      <c r="A240" s="13">
        <v>45854.479166666664</v>
      </c>
      <c r="B240" s="14">
        <v>-105.88</v>
      </c>
      <c r="C240" s="15">
        <v>-256.69</v>
      </c>
      <c r="D240" s="15">
        <v>3594.12</v>
      </c>
      <c r="E240" s="15">
        <v>-0.05</v>
      </c>
      <c r="F240" s="15">
        <v>0</v>
      </c>
      <c r="G240" s="15">
        <v>35.770000000000003</v>
      </c>
      <c r="H240" s="15">
        <v>129.59</v>
      </c>
      <c r="I240" s="15">
        <v>0</v>
      </c>
      <c r="J240" s="15">
        <v>437.97</v>
      </c>
      <c r="K240" s="15">
        <v>2518.3200000000002</v>
      </c>
      <c r="L240" s="15">
        <v>3578.98</v>
      </c>
      <c r="M240" s="16">
        <v>35.880000000000003</v>
      </c>
      <c r="N240" s="25" t="str">
        <f t="shared" si="3"/>
        <v/>
      </c>
      <c r="O240"/>
    </row>
    <row r="241" spans="1:15">
      <c r="A241" s="13">
        <v>45854.5</v>
      </c>
      <c r="B241" s="14">
        <v>-92.17</v>
      </c>
      <c r="C241" s="15">
        <v>-271.67</v>
      </c>
      <c r="D241" s="15">
        <v>3480.66</v>
      </c>
      <c r="E241" s="15">
        <v>-0.81</v>
      </c>
      <c r="F241" s="15">
        <v>0</v>
      </c>
      <c r="G241" s="15">
        <v>35.65</v>
      </c>
      <c r="H241" s="15">
        <v>0.75</v>
      </c>
      <c r="I241" s="15">
        <v>0</v>
      </c>
      <c r="J241" s="15">
        <v>394.03</v>
      </c>
      <c r="K241" s="15">
        <v>2607.6</v>
      </c>
      <c r="L241" s="15">
        <v>3698.06</v>
      </c>
      <c r="M241" s="16">
        <v>-9.5</v>
      </c>
      <c r="N241" s="25" t="str">
        <f t="shared" si="3"/>
        <v/>
      </c>
      <c r="O241"/>
    </row>
    <row r="242" spans="1:15">
      <c r="A242" s="13">
        <v>45854.520833333336</v>
      </c>
      <c r="B242" s="14">
        <v>-92.57</v>
      </c>
      <c r="C242" s="15">
        <v>-271.18</v>
      </c>
      <c r="D242" s="15">
        <v>3401.49</v>
      </c>
      <c r="E242" s="15">
        <v>-0.89</v>
      </c>
      <c r="F242" s="15">
        <v>0</v>
      </c>
      <c r="G242" s="15">
        <v>36.44</v>
      </c>
      <c r="H242" s="15">
        <v>1.18</v>
      </c>
      <c r="I242" s="15">
        <v>0</v>
      </c>
      <c r="J242" s="15">
        <v>418.58</v>
      </c>
      <c r="K242" s="15">
        <v>2571.08</v>
      </c>
      <c r="L242" s="15">
        <v>3708.24</v>
      </c>
      <c r="M242" s="16">
        <v>56.98</v>
      </c>
      <c r="N242" s="25" t="str">
        <f t="shared" si="3"/>
        <v/>
      </c>
      <c r="O242"/>
    </row>
    <row r="243" spans="1:15">
      <c r="A243" s="13">
        <v>45854.541666666664</v>
      </c>
      <c r="B243" s="14">
        <v>-213.99</v>
      </c>
      <c r="C243" s="15">
        <v>-271.22000000000003</v>
      </c>
      <c r="D243" s="15">
        <v>3382.89</v>
      </c>
      <c r="E243" s="15">
        <v>5.98</v>
      </c>
      <c r="F243" s="15">
        <v>0</v>
      </c>
      <c r="G243" s="15">
        <v>37.31</v>
      </c>
      <c r="H243" s="15">
        <v>0.42</v>
      </c>
      <c r="I243" s="15">
        <v>0</v>
      </c>
      <c r="J243" s="15">
        <v>507.13</v>
      </c>
      <c r="K243" s="15">
        <v>2446.92</v>
      </c>
      <c r="L243" s="15">
        <v>3593.2</v>
      </c>
      <c r="M243" s="16">
        <v>-14.99</v>
      </c>
      <c r="N243" s="25" t="str">
        <f t="shared" si="3"/>
        <v/>
      </c>
      <c r="O243"/>
    </row>
    <row r="244" spans="1:15">
      <c r="A244" s="13">
        <v>45854.5625</v>
      </c>
      <c r="B244" s="14">
        <v>-154.68</v>
      </c>
      <c r="C244" s="15">
        <v>-270.79000000000002</v>
      </c>
      <c r="D244" s="15">
        <v>3391.47</v>
      </c>
      <c r="E244" s="15">
        <v>17.32</v>
      </c>
      <c r="F244" s="15">
        <v>0</v>
      </c>
      <c r="G244" s="15">
        <v>36.93</v>
      </c>
      <c r="H244" s="15">
        <v>17.059999999999999</v>
      </c>
      <c r="I244" s="15">
        <v>0</v>
      </c>
      <c r="J244" s="15">
        <v>550.49</v>
      </c>
      <c r="K244" s="15">
        <v>2344.6</v>
      </c>
      <c r="L244" s="15">
        <v>3386.53</v>
      </c>
      <c r="M244" s="16">
        <v>-18</v>
      </c>
      <c r="N244" s="25" t="str">
        <f t="shared" si="3"/>
        <v/>
      </c>
      <c r="O244"/>
    </row>
    <row r="245" spans="1:15">
      <c r="A245" s="13">
        <v>45854.583333333336</v>
      </c>
      <c r="B245" s="14">
        <v>-57.89</v>
      </c>
      <c r="C245" s="15">
        <v>-271.17</v>
      </c>
      <c r="D245" s="15">
        <v>3393.65</v>
      </c>
      <c r="E245" s="15">
        <v>16.13</v>
      </c>
      <c r="F245" s="15">
        <v>0</v>
      </c>
      <c r="G245" s="15">
        <v>36.880000000000003</v>
      </c>
      <c r="H245" s="15">
        <v>1.87</v>
      </c>
      <c r="I245" s="15">
        <v>0</v>
      </c>
      <c r="J245" s="15">
        <v>618.38</v>
      </c>
      <c r="K245" s="15">
        <v>2393.77</v>
      </c>
      <c r="L245" s="15">
        <v>3096.16</v>
      </c>
      <c r="M245" s="16">
        <v>-9.5</v>
      </c>
      <c r="N245" s="25" t="str">
        <f t="shared" si="3"/>
        <v/>
      </c>
      <c r="O245"/>
    </row>
    <row r="246" spans="1:15">
      <c r="A246" s="13">
        <v>45854.604166666664</v>
      </c>
      <c r="B246" s="14">
        <v>-116.89</v>
      </c>
      <c r="C246" s="15">
        <v>-271.07</v>
      </c>
      <c r="D246" s="15">
        <v>3576.46</v>
      </c>
      <c r="E246" s="15">
        <v>14.86</v>
      </c>
      <c r="F246" s="15">
        <v>0</v>
      </c>
      <c r="G246" s="15">
        <v>37.08</v>
      </c>
      <c r="H246" s="15">
        <v>1.87</v>
      </c>
      <c r="I246" s="15">
        <v>0</v>
      </c>
      <c r="J246" s="15">
        <v>660.47</v>
      </c>
      <c r="K246" s="15">
        <v>2390.09</v>
      </c>
      <c r="L246" s="15">
        <v>2720.09</v>
      </c>
      <c r="M246" s="16">
        <v>-14.99</v>
      </c>
      <c r="N246" s="25" t="str">
        <f t="shared" si="3"/>
        <v/>
      </c>
      <c r="O246"/>
    </row>
    <row r="247" spans="1:15">
      <c r="A247" s="13">
        <v>45854.625</v>
      </c>
      <c r="B247" s="14">
        <v>-5.53</v>
      </c>
      <c r="C247" s="15">
        <v>-271.54000000000002</v>
      </c>
      <c r="D247" s="15">
        <v>3890.8</v>
      </c>
      <c r="E247" s="15">
        <v>14.82</v>
      </c>
      <c r="F247" s="15">
        <v>3.83</v>
      </c>
      <c r="G247" s="15">
        <v>37.17</v>
      </c>
      <c r="H247" s="15">
        <v>6.61</v>
      </c>
      <c r="I247" s="15">
        <v>0</v>
      </c>
      <c r="J247" s="15">
        <v>663.22</v>
      </c>
      <c r="K247" s="15">
        <v>2312.6</v>
      </c>
      <c r="L247" s="15">
        <v>2242.0500000000002</v>
      </c>
      <c r="M247" s="16">
        <v>35.880000000000003</v>
      </c>
      <c r="N247" s="25" t="str">
        <f t="shared" si="3"/>
        <v/>
      </c>
      <c r="O247"/>
    </row>
    <row r="248" spans="1:15">
      <c r="A248" s="13">
        <v>45854.645833333336</v>
      </c>
      <c r="B248" s="14">
        <v>-17.36</v>
      </c>
      <c r="C248" s="15">
        <v>-58.45</v>
      </c>
      <c r="D248" s="15">
        <v>4338.79</v>
      </c>
      <c r="E248" s="15">
        <v>15.96</v>
      </c>
      <c r="F248" s="15">
        <v>101.33</v>
      </c>
      <c r="G248" s="15">
        <v>37.840000000000003</v>
      </c>
      <c r="H248" s="15">
        <v>32.04</v>
      </c>
      <c r="I248" s="15">
        <v>0</v>
      </c>
      <c r="J248" s="15">
        <v>642.19000000000005</v>
      </c>
      <c r="K248" s="15">
        <v>2153.73</v>
      </c>
      <c r="L248" s="15">
        <v>1667.16</v>
      </c>
      <c r="M248" s="16">
        <v>0</v>
      </c>
      <c r="N248" s="25" t="str">
        <f t="shared" si="3"/>
        <v/>
      </c>
      <c r="O248"/>
    </row>
    <row r="249" spans="1:15">
      <c r="A249" s="13">
        <v>45854.666666666664</v>
      </c>
      <c r="B249" s="14">
        <v>-16.07</v>
      </c>
      <c r="C249" s="15">
        <v>0</v>
      </c>
      <c r="D249" s="15">
        <v>5004.04</v>
      </c>
      <c r="E249" s="15">
        <v>15.33</v>
      </c>
      <c r="F249" s="15">
        <v>233.17</v>
      </c>
      <c r="G249" s="15">
        <v>103.98</v>
      </c>
      <c r="H249" s="15">
        <v>46.69</v>
      </c>
      <c r="I249" s="15">
        <v>0</v>
      </c>
      <c r="J249" s="15">
        <v>613.4</v>
      </c>
      <c r="K249" s="15">
        <v>1732.88</v>
      </c>
      <c r="L249" s="15">
        <v>1077.18</v>
      </c>
      <c r="M249" s="16">
        <v>102.78</v>
      </c>
      <c r="N249" s="25" t="str">
        <f t="shared" si="3"/>
        <v/>
      </c>
      <c r="O249"/>
    </row>
    <row r="250" spans="1:15">
      <c r="A250" s="13">
        <v>45854.6875</v>
      </c>
      <c r="B250" s="14">
        <v>-155.34</v>
      </c>
      <c r="C250" s="15">
        <v>0</v>
      </c>
      <c r="D250" s="15">
        <v>6023.8</v>
      </c>
      <c r="E250" s="15">
        <v>5.85</v>
      </c>
      <c r="F250" s="15">
        <v>401.83</v>
      </c>
      <c r="G250" s="15">
        <v>544.23</v>
      </c>
      <c r="H250" s="15">
        <v>117.61</v>
      </c>
      <c r="I250" s="15">
        <v>360.59</v>
      </c>
      <c r="J250" s="15">
        <v>600.11</v>
      </c>
      <c r="K250" s="15">
        <v>1049.21</v>
      </c>
      <c r="L250" s="15">
        <v>544.84</v>
      </c>
      <c r="M250" s="16">
        <v>97.87</v>
      </c>
      <c r="N250" s="25" t="str">
        <f t="shared" si="3"/>
        <v/>
      </c>
      <c r="O250"/>
    </row>
    <row r="251" spans="1:15">
      <c r="A251" s="13">
        <v>45854.708333333336</v>
      </c>
      <c r="B251" s="14">
        <v>-8.01</v>
      </c>
      <c r="C251" s="15">
        <v>0</v>
      </c>
      <c r="D251" s="15">
        <v>6450.83</v>
      </c>
      <c r="E251" s="15">
        <v>-4.87</v>
      </c>
      <c r="F251" s="15">
        <v>441.5</v>
      </c>
      <c r="G251" s="15">
        <v>727.54</v>
      </c>
      <c r="H251" s="15">
        <v>269.66000000000003</v>
      </c>
      <c r="I251" s="15">
        <v>873.38</v>
      </c>
      <c r="J251" s="15">
        <v>555.47</v>
      </c>
      <c r="K251" s="15">
        <v>294.99</v>
      </c>
      <c r="L251" s="15">
        <v>161.56</v>
      </c>
      <c r="M251" s="16">
        <v>173.64</v>
      </c>
      <c r="N251" s="25" t="str">
        <f t="shared" si="3"/>
        <v/>
      </c>
      <c r="O251"/>
    </row>
    <row r="252" spans="1:15">
      <c r="A252" s="13">
        <v>45854.729166666664</v>
      </c>
      <c r="B252" s="14">
        <v>-1.68</v>
      </c>
      <c r="C252" s="15">
        <v>0</v>
      </c>
      <c r="D252" s="15">
        <v>6796.95</v>
      </c>
      <c r="E252" s="15">
        <v>-6.02</v>
      </c>
      <c r="F252" s="15">
        <v>449</v>
      </c>
      <c r="G252" s="15">
        <v>1026.98</v>
      </c>
      <c r="H252" s="15">
        <v>307.17</v>
      </c>
      <c r="I252" s="15">
        <v>1086.53</v>
      </c>
      <c r="J252" s="15">
        <v>513.66999999999996</v>
      </c>
      <c r="K252" s="15">
        <v>12.64</v>
      </c>
      <c r="L252" s="15">
        <v>18.989999999999998</v>
      </c>
      <c r="M252" s="16">
        <v>158.97999999999999</v>
      </c>
      <c r="N252" s="25" t="str">
        <f t="shared" si="3"/>
        <v/>
      </c>
      <c r="O252"/>
    </row>
    <row r="253" spans="1:15">
      <c r="A253" s="13">
        <v>45854.75</v>
      </c>
      <c r="B253" s="14">
        <v>-2.61</v>
      </c>
      <c r="C253" s="15">
        <v>0</v>
      </c>
      <c r="D253" s="15">
        <v>6879</v>
      </c>
      <c r="E253" s="15">
        <v>-4.0199999999999996</v>
      </c>
      <c r="F253" s="15">
        <v>476.23</v>
      </c>
      <c r="G253" s="15">
        <v>1039.6400000000001</v>
      </c>
      <c r="H253" s="15">
        <v>253.76</v>
      </c>
      <c r="I253" s="15">
        <v>1265.21</v>
      </c>
      <c r="J253" s="15">
        <v>530.42999999999995</v>
      </c>
      <c r="K253" s="15">
        <v>0.05</v>
      </c>
      <c r="L253" s="15">
        <v>0.26</v>
      </c>
      <c r="M253" s="16">
        <v>277.92</v>
      </c>
      <c r="N253" s="25" t="str">
        <f t="shared" si="3"/>
        <v/>
      </c>
      <c r="O253"/>
    </row>
    <row r="254" spans="1:15">
      <c r="A254" s="13">
        <v>45854.770833333336</v>
      </c>
      <c r="B254" s="14">
        <v>-1.85</v>
      </c>
      <c r="C254" s="15">
        <v>0</v>
      </c>
      <c r="D254" s="15">
        <v>6902.17</v>
      </c>
      <c r="E254" s="15">
        <v>-2.09</v>
      </c>
      <c r="F254" s="15">
        <v>529.34</v>
      </c>
      <c r="G254" s="15">
        <v>1032.6600000000001</v>
      </c>
      <c r="H254" s="15">
        <v>241.43</v>
      </c>
      <c r="I254" s="15">
        <v>1389.06</v>
      </c>
      <c r="J254" s="15">
        <v>528.08000000000004</v>
      </c>
      <c r="K254" s="15">
        <v>0.05</v>
      </c>
      <c r="L254" s="15">
        <v>0</v>
      </c>
      <c r="M254" s="16">
        <v>261.18</v>
      </c>
      <c r="N254" s="25" t="str">
        <f t="shared" si="3"/>
        <v/>
      </c>
      <c r="O254"/>
    </row>
    <row r="255" spans="1:15">
      <c r="A255" s="13">
        <v>45854.791666666664</v>
      </c>
      <c r="B255" s="14">
        <v>-1.62</v>
      </c>
      <c r="C255" s="15">
        <v>0</v>
      </c>
      <c r="D255" s="15">
        <v>6929.51</v>
      </c>
      <c r="E255" s="15">
        <v>-2.2000000000000002</v>
      </c>
      <c r="F255" s="15">
        <v>530.91999999999996</v>
      </c>
      <c r="G255" s="15">
        <v>1023.79</v>
      </c>
      <c r="H255" s="15">
        <v>186.71</v>
      </c>
      <c r="I255" s="15">
        <v>1433.19</v>
      </c>
      <c r="J255" s="15">
        <v>540.27</v>
      </c>
      <c r="K255" s="15">
        <v>0.05</v>
      </c>
      <c r="L255" s="15">
        <v>0</v>
      </c>
      <c r="M255" s="16">
        <v>299.99</v>
      </c>
      <c r="N255" s="25" t="str">
        <f t="shared" si="3"/>
        <v/>
      </c>
      <c r="O255"/>
    </row>
    <row r="256" spans="1:15">
      <c r="A256" s="13">
        <v>45854.8125</v>
      </c>
      <c r="B256" s="14">
        <v>-4.66</v>
      </c>
      <c r="C256" s="15">
        <v>0</v>
      </c>
      <c r="D256" s="15">
        <v>6949.18</v>
      </c>
      <c r="E256" s="15">
        <v>-0.41</v>
      </c>
      <c r="F256" s="15">
        <v>530.16999999999996</v>
      </c>
      <c r="G256" s="15">
        <v>1042.5</v>
      </c>
      <c r="H256" s="15">
        <v>65.61</v>
      </c>
      <c r="I256" s="15">
        <v>1398.95</v>
      </c>
      <c r="J256" s="15">
        <v>466.98</v>
      </c>
      <c r="K256" s="15">
        <v>0.05</v>
      </c>
      <c r="L256" s="15">
        <v>0</v>
      </c>
      <c r="M256" s="16">
        <v>240.57</v>
      </c>
      <c r="N256" s="25" t="str">
        <f t="shared" si="3"/>
        <v/>
      </c>
      <c r="O256"/>
    </row>
    <row r="257" spans="1:15">
      <c r="A257" s="13">
        <v>45854.833333333336</v>
      </c>
      <c r="B257" s="14">
        <v>-2.19</v>
      </c>
      <c r="C257" s="15">
        <v>0</v>
      </c>
      <c r="D257" s="15">
        <v>6958.2</v>
      </c>
      <c r="E257" s="15">
        <v>-1.6</v>
      </c>
      <c r="F257" s="15">
        <v>531.04999999999995</v>
      </c>
      <c r="G257" s="15">
        <v>1036.0999999999999</v>
      </c>
      <c r="H257" s="15">
        <v>38.51</v>
      </c>
      <c r="I257" s="15">
        <v>1178.3399999999999</v>
      </c>
      <c r="J257" s="15">
        <v>444.76</v>
      </c>
      <c r="K257" s="15">
        <v>0.05</v>
      </c>
      <c r="L257" s="15">
        <v>0</v>
      </c>
      <c r="M257" s="16">
        <v>207.34</v>
      </c>
      <c r="N257" s="25" t="str">
        <f t="shared" si="3"/>
        <v/>
      </c>
      <c r="O257"/>
    </row>
    <row r="258" spans="1:15">
      <c r="A258" s="13">
        <v>45854.854166666664</v>
      </c>
      <c r="B258" s="14">
        <v>-3.13</v>
      </c>
      <c r="C258" s="15">
        <v>0</v>
      </c>
      <c r="D258" s="15">
        <v>6928.49</v>
      </c>
      <c r="E258" s="15">
        <v>-1.25</v>
      </c>
      <c r="F258" s="15">
        <v>517.71</v>
      </c>
      <c r="G258" s="15">
        <v>1030.04</v>
      </c>
      <c r="H258" s="15">
        <v>19.989999999999998</v>
      </c>
      <c r="I258" s="15">
        <v>1096.73</v>
      </c>
      <c r="J258" s="15">
        <v>427.13</v>
      </c>
      <c r="K258" s="15">
        <v>0.05</v>
      </c>
      <c r="L258" s="15">
        <v>0</v>
      </c>
      <c r="M258" s="16">
        <v>175.46</v>
      </c>
      <c r="N258" s="25" t="str">
        <f t="shared" ref="N258:N321" si="4">IF(AND(HOUR(A258)=0,MINUTE(A258)=0),TEXT(A258,"d mmm"),"")</f>
        <v/>
      </c>
      <c r="O258"/>
    </row>
    <row r="259" spans="1:15">
      <c r="A259" s="13">
        <v>45854.875</v>
      </c>
      <c r="B259" s="14">
        <v>-3.06</v>
      </c>
      <c r="C259" s="15">
        <v>0</v>
      </c>
      <c r="D259" s="15">
        <v>6979.48</v>
      </c>
      <c r="E259" s="15">
        <v>-0.04</v>
      </c>
      <c r="F259" s="15">
        <v>450</v>
      </c>
      <c r="G259" s="15">
        <v>855.34</v>
      </c>
      <c r="H259" s="15">
        <v>4.79</v>
      </c>
      <c r="I259" s="15">
        <v>1021.54</v>
      </c>
      <c r="J259" s="15">
        <v>419.54</v>
      </c>
      <c r="K259" s="15">
        <v>0.05</v>
      </c>
      <c r="L259" s="15">
        <v>0</v>
      </c>
      <c r="M259" s="16">
        <v>158.97999999999999</v>
      </c>
      <c r="N259" s="25" t="str">
        <f t="shared" si="4"/>
        <v/>
      </c>
      <c r="O259"/>
    </row>
    <row r="260" spans="1:15">
      <c r="A260" s="13">
        <v>45854.895833333336</v>
      </c>
      <c r="B260" s="14">
        <v>-9.59</v>
      </c>
      <c r="C260" s="15">
        <v>0</v>
      </c>
      <c r="D260" s="15">
        <v>7052.77</v>
      </c>
      <c r="E260" s="15">
        <v>-1.1499999999999999</v>
      </c>
      <c r="F260" s="15">
        <v>451.33</v>
      </c>
      <c r="G260" s="15">
        <v>687.79</v>
      </c>
      <c r="H260" s="15">
        <v>0.43</v>
      </c>
      <c r="I260" s="15">
        <v>819.09</v>
      </c>
      <c r="J260" s="15">
        <v>389.36</v>
      </c>
      <c r="K260" s="15">
        <v>0.05</v>
      </c>
      <c r="L260" s="15">
        <v>0</v>
      </c>
      <c r="M260" s="16">
        <v>158.99</v>
      </c>
      <c r="N260" s="25" t="str">
        <f t="shared" si="4"/>
        <v/>
      </c>
      <c r="O260"/>
    </row>
    <row r="261" spans="1:15">
      <c r="A261" s="13">
        <v>45854.916666666664</v>
      </c>
      <c r="B261" s="14">
        <v>-4.28</v>
      </c>
      <c r="C261" s="15">
        <v>0</v>
      </c>
      <c r="D261" s="15">
        <v>7089.3</v>
      </c>
      <c r="E261" s="15">
        <v>-0.57999999999999996</v>
      </c>
      <c r="F261" s="15">
        <v>449.17</v>
      </c>
      <c r="G261" s="15">
        <v>359.53</v>
      </c>
      <c r="H261" s="15">
        <v>5.94</v>
      </c>
      <c r="I261" s="15">
        <v>540.91</v>
      </c>
      <c r="J261" s="15">
        <v>384.31</v>
      </c>
      <c r="K261" s="15">
        <v>0.05</v>
      </c>
      <c r="L261" s="15">
        <v>0</v>
      </c>
      <c r="M261" s="16">
        <v>149.99</v>
      </c>
      <c r="N261" s="25" t="str">
        <f t="shared" si="4"/>
        <v/>
      </c>
      <c r="O261"/>
    </row>
    <row r="262" spans="1:15">
      <c r="A262" s="13">
        <v>45854.9375</v>
      </c>
      <c r="B262" s="14">
        <v>-5.45</v>
      </c>
      <c r="C262" s="15">
        <v>0</v>
      </c>
      <c r="D262" s="15">
        <v>7103.07</v>
      </c>
      <c r="E262" s="15">
        <v>0.47</v>
      </c>
      <c r="F262" s="15">
        <v>451.83</v>
      </c>
      <c r="G262" s="15">
        <v>155.96</v>
      </c>
      <c r="H262" s="15">
        <v>6.51</v>
      </c>
      <c r="I262" s="15">
        <v>506.52</v>
      </c>
      <c r="J262" s="15">
        <v>350.06</v>
      </c>
      <c r="K262" s="15">
        <v>0.05</v>
      </c>
      <c r="L262" s="15">
        <v>0</v>
      </c>
      <c r="M262" s="16">
        <v>158.97999999999999</v>
      </c>
      <c r="N262" s="25" t="str">
        <f t="shared" si="4"/>
        <v/>
      </c>
      <c r="O262"/>
    </row>
    <row r="263" spans="1:15">
      <c r="A263" s="13">
        <v>45854.958333333336</v>
      </c>
      <c r="B263" s="14">
        <v>-7.99</v>
      </c>
      <c r="C263" s="15">
        <v>0</v>
      </c>
      <c r="D263" s="15">
        <v>7103.03</v>
      </c>
      <c r="E263" s="15">
        <v>3.5</v>
      </c>
      <c r="F263" s="15">
        <v>451.5</v>
      </c>
      <c r="G263" s="15">
        <v>46.71</v>
      </c>
      <c r="H263" s="15">
        <v>0.17</v>
      </c>
      <c r="I263" s="15">
        <v>346.11</v>
      </c>
      <c r="J263" s="15">
        <v>323.37</v>
      </c>
      <c r="K263" s="15">
        <v>0.05</v>
      </c>
      <c r="L263" s="15">
        <v>0</v>
      </c>
      <c r="M263" s="16">
        <v>120.01</v>
      </c>
      <c r="N263" s="25" t="str">
        <f t="shared" si="4"/>
        <v/>
      </c>
      <c r="O263"/>
    </row>
    <row r="264" spans="1:15">
      <c r="A264" s="13">
        <v>45854.979166666664</v>
      </c>
      <c r="B264" s="14">
        <v>-21.5</v>
      </c>
      <c r="C264" s="15">
        <v>0</v>
      </c>
      <c r="D264" s="15">
        <v>7075.44</v>
      </c>
      <c r="E264" s="15">
        <v>4.43</v>
      </c>
      <c r="F264" s="15">
        <v>409.5</v>
      </c>
      <c r="G264" s="15">
        <v>41.68</v>
      </c>
      <c r="H264" s="15">
        <v>0.15</v>
      </c>
      <c r="I264" s="15">
        <v>280.95999999999998</v>
      </c>
      <c r="J264" s="15">
        <v>322.82</v>
      </c>
      <c r="K264" s="15">
        <v>0.05</v>
      </c>
      <c r="L264" s="15">
        <v>0</v>
      </c>
      <c r="M264" s="16">
        <v>101.36</v>
      </c>
      <c r="N264" s="25" t="str">
        <f t="shared" si="4"/>
        <v/>
      </c>
      <c r="O264"/>
    </row>
    <row r="265" spans="1:15">
      <c r="A265" s="13">
        <v>45855</v>
      </c>
      <c r="B265" s="14">
        <v>-24.29</v>
      </c>
      <c r="C265" s="15">
        <v>0</v>
      </c>
      <c r="D265" s="15">
        <v>6928.5</v>
      </c>
      <c r="E265" s="15">
        <v>3.16</v>
      </c>
      <c r="F265" s="15">
        <v>253.83</v>
      </c>
      <c r="G265" s="15">
        <v>41.52</v>
      </c>
      <c r="H265" s="15">
        <v>1.59</v>
      </c>
      <c r="I265" s="15">
        <v>258.74</v>
      </c>
      <c r="J265" s="15">
        <v>381.32</v>
      </c>
      <c r="K265" s="15">
        <v>0.05</v>
      </c>
      <c r="L265" s="15">
        <v>0</v>
      </c>
      <c r="M265" s="16">
        <v>80.760000000000005</v>
      </c>
      <c r="N265" s="25" t="str">
        <f t="shared" si="4"/>
        <v>17 Jul</v>
      </c>
      <c r="O265"/>
    </row>
    <row r="266" spans="1:15">
      <c r="A266" s="13">
        <v>45855.020833333336</v>
      </c>
      <c r="B266" s="14">
        <v>-53.84</v>
      </c>
      <c r="C266" s="15">
        <v>0</v>
      </c>
      <c r="D266" s="15">
        <v>6704.77</v>
      </c>
      <c r="E266" s="15">
        <v>0.84</v>
      </c>
      <c r="F266" s="15">
        <v>50.17</v>
      </c>
      <c r="G266" s="15">
        <v>41.75</v>
      </c>
      <c r="H266" s="15">
        <v>3.05</v>
      </c>
      <c r="I266" s="15">
        <v>255.46</v>
      </c>
      <c r="J266" s="15">
        <v>431.06</v>
      </c>
      <c r="K266" s="15">
        <v>0.05</v>
      </c>
      <c r="L266" s="15">
        <v>0</v>
      </c>
      <c r="M266" s="16">
        <v>80.02</v>
      </c>
      <c r="N266" s="25" t="str">
        <f t="shared" si="4"/>
        <v/>
      </c>
      <c r="O266"/>
    </row>
    <row r="267" spans="1:15">
      <c r="A267" s="13">
        <v>45855.041666666664</v>
      </c>
      <c r="B267" s="14">
        <v>-7.03</v>
      </c>
      <c r="C267" s="15">
        <v>0</v>
      </c>
      <c r="D267" s="15">
        <v>6563.28</v>
      </c>
      <c r="E267" s="15">
        <v>-1.02</v>
      </c>
      <c r="F267" s="15">
        <v>0</v>
      </c>
      <c r="G267" s="15">
        <v>41.97</v>
      </c>
      <c r="H267" s="15">
        <v>0.6</v>
      </c>
      <c r="I267" s="15">
        <v>244.72</v>
      </c>
      <c r="J267" s="15">
        <v>373.11</v>
      </c>
      <c r="K267" s="15">
        <v>0.05</v>
      </c>
      <c r="L267" s="15">
        <v>0</v>
      </c>
      <c r="M267" s="16">
        <v>84.19</v>
      </c>
      <c r="N267" s="25" t="str">
        <f t="shared" si="4"/>
        <v/>
      </c>
      <c r="O267"/>
    </row>
    <row r="268" spans="1:15">
      <c r="A268" s="13">
        <v>45855.0625</v>
      </c>
      <c r="B268" s="14">
        <v>-9.25</v>
      </c>
      <c r="C268" s="15">
        <v>0</v>
      </c>
      <c r="D268" s="15">
        <v>6593.27</v>
      </c>
      <c r="E268" s="15">
        <v>-0.79</v>
      </c>
      <c r="F268" s="15">
        <v>0</v>
      </c>
      <c r="G268" s="15">
        <v>42.18</v>
      </c>
      <c r="H268" s="15">
        <v>1.62</v>
      </c>
      <c r="I268" s="15">
        <v>179.58</v>
      </c>
      <c r="J268" s="15">
        <v>327.67</v>
      </c>
      <c r="K268" s="15">
        <v>0.05</v>
      </c>
      <c r="L268" s="15">
        <v>0</v>
      </c>
      <c r="M268" s="16">
        <v>80.02</v>
      </c>
      <c r="N268" s="25" t="str">
        <f t="shared" si="4"/>
        <v/>
      </c>
      <c r="O268"/>
    </row>
    <row r="269" spans="1:15">
      <c r="A269" s="13">
        <v>45855.083333333336</v>
      </c>
      <c r="B269" s="14">
        <v>-80.16</v>
      </c>
      <c r="C269" s="15">
        <v>0</v>
      </c>
      <c r="D269" s="15">
        <v>6335.81</v>
      </c>
      <c r="E269" s="15">
        <v>-1.03</v>
      </c>
      <c r="F269" s="15">
        <v>0</v>
      </c>
      <c r="G269" s="15">
        <v>41.86</v>
      </c>
      <c r="H269" s="15">
        <v>0.28999999999999998</v>
      </c>
      <c r="I269" s="15">
        <v>106.65</v>
      </c>
      <c r="J269" s="15">
        <v>358.86</v>
      </c>
      <c r="K269" s="15">
        <v>0.05</v>
      </c>
      <c r="L269" s="15">
        <v>0</v>
      </c>
      <c r="M269" s="16">
        <v>76.8</v>
      </c>
      <c r="N269" s="25" t="str">
        <f t="shared" si="4"/>
        <v/>
      </c>
      <c r="O269"/>
    </row>
    <row r="270" spans="1:15">
      <c r="A270" s="13">
        <v>45855.104166666664</v>
      </c>
      <c r="B270" s="14">
        <v>-61.47</v>
      </c>
      <c r="C270" s="15">
        <v>0</v>
      </c>
      <c r="D270" s="15">
        <v>6186.98</v>
      </c>
      <c r="E270" s="15">
        <v>-0.9</v>
      </c>
      <c r="F270" s="15">
        <v>0</v>
      </c>
      <c r="G270" s="15">
        <v>41.82</v>
      </c>
      <c r="H270" s="15">
        <v>0.19</v>
      </c>
      <c r="I270" s="15">
        <v>99.53</v>
      </c>
      <c r="J270" s="15">
        <v>398.15</v>
      </c>
      <c r="K270" s="15">
        <v>0.05</v>
      </c>
      <c r="L270" s="15">
        <v>0</v>
      </c>
      <c r="M270" s="16">
        <v>76.8</v>
      </c>
      <c r="N270" s="25" t="str">
        <f t="shared" si="4"/>
        <v/>
      </c>
      <c r="O270"/>
    </row>
    <row r="271" spans="1:15">
      <c r="A271" s="13">
        <v>45855.125</v>
      </c>
      <c r="B271" s="14">
        <v>-37.4</v>
      </c>
      <c r="C271" s="15">
        <v>0</v>
      </c>
      <c r="D271" s="15">
        <v>6094.46</v>
      </c>
      <c r="E271" s="15">
        <v>-0.59</v>
      </c>
      <c r="F271" s="15">
        <v>0</v>
      </c>
      <c r="G271" s="15">
        <v>41.55</v>
      </c>
      <c r="H271" s="15">
        <v>0.42</v>
      </c>
      <c r="I271" s="15">
        <v>113.11</v>
      </c>
      <c r="J271" s="15">
        <v>366.58</v>
      </c>
      <c r="K271" s="15">
        <v>0.05</v>
      </c>
      <c r="L271" s="15">
        <v>0</v>
      </c>
      <c r="M271" s="16">
        <v>80.02</v>
      </c>
      <c r="N271" s="25" t="str">
        <f t="shared" si="4"/>
        <v/>
      </c>
      <c r="O271"/>
    </row>
    <row r="272" spans="1:15">
      <c r="A272" s="13">
        <v>45855.145833333336</v>
      </c>
      <c r="B272" s="14">
        <v>-72.31</v>
      </c>
      <c r="C272" s="15">
        <v>0</v>
      </c>
      <c r="D272" s="15">
        <v>6042.81</v>
      </c>
      <c r="E272" s="15">
        <v>-0.97</v>
      </c>
      <c r="F272" s="15">
        <v>0</v>
      </c>
      <c r="G272" s="15">
        <v>41.79</v>
      </c>
      <c r="H272" s="15">
        <v>0.71</v>
      </c>
      <c r="I272" s="15">
        <v>85.95</v>
      </c>
      <c r="J272" s="15">
        <v>315.26</v>
      </c>
      <c r="K272" s="15">
        <v>0.05</v>
      </c>
      <c r="L272" s="15">
        <v>0</v>
      </c>
      <c r="M272" s="16">
        <v>80.02</v>
      </c>
      <c r="N272" s="25" t="str">
        <f t="shared" si="4"/>
        <v/>
      </c>
      <c r="O272"/>
    </row>
    <row r="273" spans="1:15">
      <c r="A273" s="13">
        <v>45855.166666666664</v>
      </c>
      <c r="B273" s="14">
        <v>-76.900000000000006</v>
      </c>
      <c r="C273" s="15">
        <v>0</v>
      </c>
      <c r="D273" s="15">
        <v>6084.84</v>
      </c>
      <c r="E273" s="15">
        <v>-0.6</v>
      </c>
      <c r="F273" s="15">
        <v>0</v>
      </c>
      <c r="G273" s="15">
        <v>41.67</v>
      </c>
      <c r="H273" s="15">
        <v>0.53</v>
      </c>
      <c r="I273" s="15">
        <v>67.39</v>
      </c>
      <c r="J273" s="15">
        <v>346.46</v>
      </c>
      <c r="K273" s="15">
        <v>0.05</v>
      </c>
      <c r="L273" s="15">
        <v>0</v>
      </c>
      <c r="M273" s="16">
        <v>80.02</v>
      </c>
      <c r="N273" s="25" t="str">
        <f t="shared" si="4"/>
        <v/>
      </c>
      <c r="O273"/>
    </row>
    <row r="274" spans="1:15">
      <c r="A274" s="13">
        <v>45855.1875</v>
      </c>
      <c r="B274" s="14">
        <v>-114.78</v>
      </c>
      <c r="C274" s="15">
        <v>0</v>
      </c>
      <c r="D274" s="15">
        <v>6235.52</v>
      </c>
      <c r="E274" s="15">
        <v>-1.36</v>
      </c>
      <c r="F274" s="15">
        <v>0</v>
      </c>
      <c r="G274" s="15">
        <v>41.39</v>
      </c>
      <c r="H274" s="15">
        <v>0.45</v>
      </c>
      <c r="I274" s="15">
        <v>181.98</v>
      </c>
      <c r="J274" s="15">
        <v>326.74</v>
      </c>
      <c r="K274" s="15">
        <v>0.05</v>
      </c>
      <c r="L274" s="15">
        <v>0</v>
      </c>
      <c r="M274" s="16">
        <v>84.85</v>
      </c>
      <c r="N274" s="25" t="str">
        <f t="shared" si="4"/>
        <v/>
      </c>
      <c r="O274"/>
    </row>
    <row r="275" spans="1:15">
      <c r="A275" s="13">
        <v>45855.208333333336</v>
      </c>
      <c r="B275" s="14">
        <v>-111.86</v>
      </c>
      <c r="C275" s="15">
        <v>0</v>
      </c>
      <c r="D275" s="15">
        <v>6404.62</v>
      </c>
      <c r="E275" s="15">
        <v>-0.95</v>
      </c>
      <c r="F275" s="15">
        <v>0</v>
      </c>
      <c r="G275" s="15">
        <v>41.15</v>
      </c>
      <c r="H275" s="15">
        <v>0.62</v>
      </c>
      <c r="I275" s="15">
        <v>175.05</v>
      </c>
      <c r="J275" s="15">
        <v>315.12</v>
      </c>
      <c r="K275" s="15">
        <v>0.05</v>
      </c>
      <c r="L275" s="15">
        <v>0</v>
      </c>
      <c r="M275" s="16">
        <v>78.47</v>
      </c>
      <c r="N275" s="25" t="str">
        <f t="shared" si="4"/>
        <v/>
      </c>
      <c r="O275"/>
    </row>
    <row r="276" spans="1:15">
      <c r="A276" s="13">
        <v>45855.229166666664</v>
      </c>
      <c r="B276" s="14">
        <v>-78.739999999999995</v>
      </c>
      <c r="C276" s="15">
        <v>0</v>
      </c>
      <c r="D276" s="15">
        <v>6728.24</v>
      </c>
      <c r="E276" s="15">
        <v>-1.57</v>
      </c>
      <c r="F276" s="15">
        <v>0</v>
      </c>
      <c r="G276" s="15">
        <v>41.32</v>
      </c>
      <c r="H276" s="15">
        <v>0.39</v>
      </c>
      <c r="I276" s="15">
        <v>195.19</v>
      </c>
      <c r="J276" s="15">
        <v>314.33</v>
      </c>
      <c r="K276" s="15">
        <v>0.05</v>
      </c>
      <c r="L276" s="15">
        <v>0</v>
      </c>
      <c r="M276" s="16">
        <v>80.010000000000005</v>
      </c>
      <c r="N276" s="25" t="str">
        <f t="shared" si="4"/>
        <v/>
      </c>
      <c r="O276"/>
    </row>
    <row r="277" spans="1:15">
      <c r="A277" s="13">
        <v>45855.25</v>
      </c>
      <c r="B277" s="14">
        <v>-36.92</v>
      </c>
      <c r="C277" s="15">
        <v>0</v>
      </c>
      <c r="D277" s="15">
        <v>7186.1</v>
      </c>
      <c r="E277" s="15">
        <v>-0.95</v>
      </c>
      <c r="F277" s="15">
        <v>0</v>
      </c>
      <c r="G277" s="15">
        <v>40.590000000000003</v>
      </c>
      <c r="H277" s="15">
        <v>6.89</v>
      </c>
      <c r="I277" s="15">
        <v>246.57</v>
      </c>
      <c r="J277" s="15">
        <v>354.1</v>
      </c>
      <c r="K277" s="15">
        <v>0.05</v>
      </c>
      <c r="L277" s="15">
        <v>0</v>
      </c>
      <c r="M277" s="16">
        <v>80.010000000000005</v>
      </c>
      <c r="N277" s="25" t="str">
        <f t="shared" si="4"/>
        <v/>
      </c>
      <c r="O277"/>
    </row>
    <row r="278" spans="1:15">
      <c r="A278" s="13">
        <v>45855.270833333336</v>
      </c>
      <c r="B278" s="14">
        <v>-21.25</v>
      </c>
      <c r="C278" s="15">
        <v>0</v>
      </c>
      <c r="D278" s="15">
        <v>7720.06</v>
      </c>
      <c r="E278" s="15">
        <v>0.36</v>
      </c>
      <c r="F278" s="15">
        <v>0</v>
      </c>
      <c r="G278" s="15">
        <v>136.79</v>
      </c>
      <c r="H278" s="15">
        <v>40.200000000000003</v>
      </c>
      <c r="I278" s="15">
        <v>397.02</v>
      </c>
      <c r="J278" s="15">
        <v>374.29</v>
      </c>
      <c r="K278" s="15">
        <v>0.05</v>
      </c>
      <c r="L278" s="15">
        <v>0.09</v>
      </c>
      <c r="M278" s="16">
        <v>96.96</v>
      </c>
      <c r="N278" s="25" t="str">
        <f t="shared" si="4"/>
        <v/>
      </c>
      <c r="O278"/>
    </row>
    <row r="279" spans="1:15">
      <c r="A279" s="13">
        <v>45855.291666666664</v>
      </c>
      <c r="B279" s="14">
        <v>-6.31</v>
      </c>
      <c r="C279" s="15">
        <v>0</v>
      </c>
      <c r="D279" s="15">
        <v>7916.34</v>
      </c>
      <c r="E279" s="15">
        <v>3.42</v>
      </c>
      <c r="F279" s="15">
        <v>0</v>
      </c>
      <c r="G279" s="15">
        <v>388.59</v>
      </c>
      <c r="H279" s="15">
        <v>114.13</v>
      </c>
      <c r="I279" s="15">
        <v>557.1</v>
      </c>
      <c r="J279" s="15">
        <v>393.91</v>
      </c>
      <c r="K279" s="15">
        <v>7.53</v>
      </c>
      <c r="L279" s="15">
        <v>9.4600000000000009</v>
      </c>
      <c r="M279" s="16">
        <v>158.97999999999999</v>
      </c>
      <c r="N279" s="25" t="str">
        <f t="shared" si="4"/>
        <v/>
      </c>
      <c r="O279"/>
    </row>
    <row r="280" spans="1:15">
      <c r="A280" s="13">
        <v>45855.3125</v>
      </c>
      <c r="B280" s="14">
        <v>-8.93</v>
      </c>
      <c r="C280" s="15">
        <v>0</v>
      </c>
      <c r="D280" s="15">
        <v>7991.77</v>
      </c>
      <c r="E280" s="15">
        <v>1.62</v>
      </c>
      <c r="F280" s="15">
        <v>0</v>
      </c>
      <c r="G280" s="15">
        <v>374.39</v>
      </c>
      <c r="H280" s="15">
        <v>41.37</v>
      </c>
      <c r="I280" s="15">
        <v>679.26</v>
      </c>
      <c r="J280" s="15">
        <v>442.05</v>
      </c>
      <c r="K280" s="15">
        <v>167.44</v>
      </c>
      <c r="L280" s="15">
        <v>114.83</v>
      </c>
      <c r="M280" s="16">
        <v>107.41</v>
      </c>
      <c r="N280" s="25" t="str">
        <f t="shared" si="4"/>
        <v/>
      </c>
      <c r="O280"/>
    </row>
    <row r="281" spans="1:15">
      <c r="A281" s="13">
        <v>45855.333333333336</v>
      </c>
      <c r="B281" s="14">
        <v>-4.79</v>
      </c>
      <c r="C281" s="15">
        <v>0</v>
      </c>
      <c r="D281" s="15">
        <v>7934.04</v>
      </c>
      <c r="E281" s="15">
        <v>-0.55000000000000004</v>
      </c>
      <c r="F281" s="15">
        <v>0</v>
      </c>
      <c r="G281" s="15">
        <v>374.46</v>
      </c>
      <c r="H281" s="15">
        <v>130</v>
      </c>
      <c r="I281" s="15">
        <v>395.6</v>
      </c>
      <c r="J281" s="15">
        <v>491.51</v>
      </c>
      <c r="K281" s="15">
        <v>626.09</v>
      </c>
      <c r="L281" s="15">
        <v>422.41</v>
      </c>
      <c r="M281" s="16">
        <v>105.89</v>
      </c>
      <c r="N281" s="25" t="str">
        <f t="shared" si="4"/>
        <v/>
      </c>
      <c r="O281"/>
    </row>
    <row r="282" spans="1:15">
      <c r="A282" s="13">
        <v>45855.354166666664</v>
      </c>
      <c r="B282" s="14">
        <v>-1.91</v>
      </c>
      <c r="C282" s="15">
        <v>0</v>
      </c>
      <c r="D282" s="15">
        <v>7701.28</v>
      </c>
      <c r="E282" s="15">
        <v>1.71</v>
      </c>
      <c r="F282" s="15">
        <v>0</v>
      </c>
      <c r="G282" s="15">
        <v>256.95</v>
      </c>
      <c r="H282" s="15">
        <v>68.739999999999995</v>
      </c>
      <c r="I282" s="15">
        <v>218.88</v>
      </c>
      <c r="J282" s="15">
        <v>487.72</v>
      </c>
      <c r="K282" s="15">
        <v>1178.45</v>
      </c>
      <c r="L282" s="15">
        <v>822.95</v>
      </c>
      <c r="M282" s="16">
        <v>52.14</v>
      </c>
      <c r="N282" s="25" t="str">
        <f t="shared" si="4"/>
        <v/>
      </c>
      <c r="O282"/>
    </row>
    <row r="283" spans="1:15">
      <c r="A283" s="13">
        <v>45855.375</v>
      </c>
      <c r="B283" s="14">
        <v>-5.2</v>
      </c>
      <c r="C283" s="15">
        <v>0</v>
      </c>
      <c r="D283" s="15">
        <v>7238.66</v>
      </c>
      <c r="E283" s="15">
        <v>12.53</v>
      </c>
      <c r="F283" s="15">
        <v>0</v>
      </c>
      <c r="G283" s="15">
        <v>41.48</v>
      </c>
      <c r="H283" s="15">
        <v>240</v>
      </c>
      <c r="I283" s="15">
        <v>101.15</v>
      </c>
      <c r="J283" s="15">
        <v>463.52</v>
      </c>
      <c r="K283" s="15">
        <v>1704.69</v>
      </c>
      <c r="L283" s="15">
        <v>1286.24</v>
      </c>
      <c r="M283" s="16">
        <v>76.8</v>
      </c>
      <c r="N283" s="25" t="str">
        <f t="shared" si="4"/>
        <v/>
      </c>
      <c r="O283"/>
    </row>
    <row r="284" spans="1:15">
      <c r="A284" s="13">
        <v>45855.395833333336</v>
      </c>
      <c r="B284" s="14">
        <v>-7.06</v>
      </c>
      <c r="C284" s="15">
        <v>0</v>
      </c>
      <c r="D284" s="15">
        <v>6365.08</v>
      </c>
      <c r="E284" s="15">
        <v>10.27</v>
      </c>
      <c r="F284" s="15">
        <v>0</v>
      </c>
      <c r="G284" s="15">
        <v>41.56</v>
      </c>
      <c r="H284" s="15">
        <v>278.85000000000002</v>
      </c>
      <c r="I284" s="15">
        <v>11.25</v>
      </c>
      <c r="J284" s="15">
        <v>423.89</v>
      </c>
      <c r="K284" s="15">
        <v>2013.7</v>
      </c>
      <c r="L284" s="15">
        <v>1870.36</v>
      </c>
      <c r="M284" s="16">
        <v>76.8</v>
      </c>
      <c r="N284" s="25" t="str">
        <f t="shared" si="4"/>
        <v/>
      </c>
      <c r="O284"/>
    </row>
    <row r="285" spans="1:15">
      <c r="A285" s="13">
        <v>45855.416666666664</v>
      </c>
      <c r="B285" s="14">
        <v>-2.8</v>
      </c>
      <c r="C285" s="15">
        <v>0</v>
      </c>
      <c r="D285" s="15">
        <v>5709.09</v>
      </c>
      <c r="E285" s="15">
        <v>5.35</v>
      </c>
      <c r="F285" s="15">
        <v>0</v>
      </c>
      <c r="G285" s="15">
        <v>41.74</v>
      </c>
      <c r="H285" s="15">
        <v>37.770000000000003</v>
      </c>
      <c r="I285" s="15">
        <v>29.64</v>
      </c>
      <c r="J285" s="15">
        <v>343.03</v>
      </c>
      <c r="K285" s="15">
        <v>2277.38</v>
      </c>
      <c r="L285" s="15">
        <v>2385.1</v>
      </c>
      <c r="M285" s="16">
        <v>44.76</v>
      </c>
      <c r="N285" s="25" t="str">
        <f t="shared" si="4"/>
        <v/>
      </c>
      <c r="O285"/>
    </row>
    <row r="286" spans="1:15">
      <c r="A286" s="13">
        <v>45855.4375</v>
      </c>
      <c r="B286" s="14">
        <v>-10.07</v>
      </c>
      <c r="C286" s="15">
        <v>0</v>
      </c>
      <c r="D286" s="15">
        <v>5334.09</v>
      </c>
      <c r="E286" s="15">
        <v>6.48</v>
      </c>
      <c r="F286" s="15">
        <v>0</v>
      </c>
      <c r="G286" s="15">
        <v>40.880000000000003</v>
      </c>
      <c r="H286" s="15">
        <v>2.42</v>
      </c>
      <c r="I286" s="15">
        <v>0</v>
      </c>
      <c r="J286" s="15">
        <v>299.51</v>
      </c>
      <c r="K286" s="15">
        <v>2201.2199999999998</v>
      </c>
      <c r="L286" s="15">
        <v>2805.63</v>
      </c>
      <c r="M286" s="16">
        <v>84.85</v>
      </c>
      <c r="N286" s="25" t="str">
        <f t="shared" si="4"/>
        <v/>
      </c>
      <c r="O286"/>
    </row>
    <row r="287" spans="1:15">
      <c r="A287" s="13">
        <v>45855.458333333336</v>
      </c>
      <c r="B287" s="14">
        <v>-38.36</v>
      </c>
      <c r="C287" s="15">
        <v>0</v>
      </c>
      <c r="D287" s="15">
        <v>4956.08</v>
      </c>
      <c r="E287" s="15">
        <v>9.8800000000000008</v>
      </c>
      <c r="F287" s="15">
        <v>0</v>
      </c>
      <c r="G287" s="15">
        <v>40.71</v>
      </c>
      <c r="H287" s="15">
        <v>0.64</v>
      </c>
      <c r="I287" s="15">
        <v>0</v>
      </c>
      <c r="J287" s="15">
        <v>330.91</v>
      </c>
      <c r="K287" s="15">
        <v>2164.7600000000002</v>
      </c>
      <c r="L287" s="15">
        <v>3092</v>
      </c>
      <c r="M287" s="16">
        <v>57.01</v>
      </c>
      <c r="N287" s="25" t="str">
        <f t="shared" si="4"/>
        <v/>
      </c>
      <c r="O287"/>
    </row>
    <row r="288" spans="1:15">
      <c r="A288" s="13">
        <v>45855.479166666664</v>
      </c>
      <c r="B288" s="14">
        <v>-123.22</v>
      </c>
      <c r="C288" s="15">
        <v>0</v>
      </c>
      <c r="D288" s="15">
        <v>4581.97</v>
      </c>
      <c r="E288" s="15">
        <v>9.6</v>
      </c>
      <c r="F288" s="15">
        <v>0</v>
      </c>
      <c r="G288" s="15">
        <v>39.68</v>
      </c>
      <c r="H288" s="15">
        <v>36.93</v>
      </c>
      <c r="I288" s="15">
        <v>0</v>
      </c>
      <c r="J288" s="15">
        <v>436.13</v>
      </c>
      <c r="K288" s="15">
        <v>2313.7600000000002</v>
      </c>
      <c r="L288" s="15">
        <v>3264.92</v>
      </c>
      <c r="M288" s="16">
        <v>0</v>
      </c>
      <c r="N288" s="25" t="str">
        <f t="shared" si="4"/>
        <v/>
      </c>
      <c r="O288"/>
    </row>
    <row r="289" spans="1:15">
      <c r="A289" s="13">
        <v>45855.5</v>
      </c>
      <c r="B289" s="14">
        <v>-224.54</v>
      </c>
      <c r="C289" s="15">
        <v>-15.55</v>
      </c>
      <c r="D289" s="15">
        <v>4220.4799999999996</v>
      </c>
      <c r="E289" s="15">
        <v>9.5399999999999991</v>
      </c>
      <c r="F289" s="15">
        <v>0</v>
      </c>
      <c r="G289" s="15">
        <v>37.090000000000003</v>
      </c>
      <c r="H289" s="15">
        <v>9.25</v>
      </c>
      <c r="I289" s="15">
        <v>0</v>
      </c>
      <c r="J289" s="15">
        <v>535.34</v>
      </c>
      <c r="K289" s="15">
        <v>2350.3200000000002</v>
      </c>
      <c r="L289" s="15">
        <v>3402.32</v>
      </c>
      <c r="M289" s="16">
        <v>48.23</v>
      </c>
      <c r="N289" s="25" t="str">
        <f t="shared" si="4"/>
        <v/>
      </c>
      <c r="O289"/>
    </row>
    <row r="290" spans="1:15">
      <c r="A290" s="13">
        <v>45855.520833333336</v>
      </c>
      <c r="B290" s="14">
        <v>-156.88</v>
      </c>
      <c r="C290" s="15">
        <v>-205.37</v>
      </c>
      <c r="D290" s="15">
        <v>3998.16</v>
      </c>
      <c r="E290" s="15">
        <v>9.18</v>
      </c>
      <c r="F290" s="15">
        <v>0</v>
      </c>
      <c r="G290" s="15">
        <v>34.85</v>
      </c>
      <c r="H290" s="15">
        <v>0.38</v>
      </c>
      <c r="I290" s="15">
        <v>20.54</v>
      </c>
      <c r="J290" s="15">
        <v>600.41</v>
      </c>
      <c r="K290" s="15">
        <v>2352.5700000000002</v>
      </c>
      <c r="L290" s="15">
        <v>3411.24</v>
      </c>
      <c r="M290" s="16">
        <v>40.119999999999997</v>
      </c>
      <c r="N290" s="25" t="str">
        <f t="shared" si="4"/>
        <v/>
      </c>
      <c r="O290"/>
    </row>
    <row r="291" spans="1:15">
      <c r="A291" s="13">
        <v>45855.541666666664</v>
      </c>
      <c r="B291" s="14">
        <v>-214.46</v>
      </c>
      <c r="C291" s="15">
        <v>-454.87</v>
      </c>
      <c r="D291" s="15">
        <v>4020.32</v>
      </c>
      <c r="E291" s="15">
        <v>8.73</v>
      </c>
      <c r="F291" s="15">
        <v>0</v>
      </c>
      <c r="G291" s="15">
        <v>34.19</v>
      </c>
      <c r="H291" s="15">
        <v>0.51</v>
      </c>
      <c r="I291" s="15">
        <v>0</v>
      </c>
      <c r="J291" s="15">
        <v>595.41999999999996</v>
      </c>
      <c r="K291" s="15">
        <v>2336.7399999999998</v>
      </c>
      <c r="L291" s="15">
        <v>3346.16</v>
      </c>
      <c r="M291" s="16">
        <v>20.43</v>
      </c>
      <c r="N291" s="25" t="str">
        <f t="shared" si="4"/>
        <v/>
      </c>
      <c r="O291"/>
    </row>
    <row r="292" spans="1:15">
      <c r="A292" s="13">
        <v>45855.5625</v>
      </c>
      <c r="B292" s="14">
        <v>-199.66</v>
      </c>
      <c r="C292" s="15">
        <v>-470.54</v>
      </c>
      <c r="D292" s="15">
        <v>4073.91</v>
      </c>
      <c r="E292" s="15">
        <v>8.4</v>
      </c>
      <c r="F292" s="15">
        <v>0</v>
      </c>
      <c r="G292" s="15">
        <v>32.159999999999997</v>
      </c>
      <c r="H292" s="15">
        <v>4.05</v>
      </c>
      <c r="I292" s="15">
        <v>0</v>
      </c>
      <c r="J292" s="15">
        <v>541.29999999999995</v>
      </c>
      <c r="K292" s="15">
        <v>2308.9299999999998</v>
      </c>
      <c r="L292" s="15">
        <v>3132.37</v>
      </c>
      <c r="M292" s="16">
        <v>57.01</v>
      </c>
      <c r="N292" s="25" t="str">
        <f t="shared" si="4"/>
        <v/>
      </c>
      <c r="O292"/>
    </row>
    <row r="293" spans="1:15">
      <c r="A293" s="13">
        <v>45855.583333333336</v>
      </c>
      <c r="B293" s="14">
        <v>-111.6</v>
      </c>
      <c r="C293" s="15">
        <v>-470.43</v>
      </c>
      <c r="D293" s="15">
        <v>4130.7700000000004</v>
      </c>
      <c r="E293" s="15">
        <v>8.9700000000000006</v>
      </c>
      <c r="F293" s="15">
        <v>0</v>
      </c>
      <c r="G293" s="15">
        <v>30.94</v>
      </c>
      <c r="H293" s="15">
        <v>2.91</v>
      </c>
      <c r="I293" s="15">
        <v>0</v>
      </c>
      <c r="J293" s="15">
        <v>519.39</v>
      </c>
      <c r="K293" s="15">
        <v>2385.1</v>
      </c>
      <c r="L293" s="15">
        <v>2826.82</v>
      </c>
      <c r="M293" s="16">
        <v>1.65</v>
      </c>
      <c r="N293" s="25" t="str">
        <f t="shared" si="4"/>
        <v/>
      </c>
      <c r="O293"/>
    </row>
    <row r="294" spans="1:15">
      <c r="A294" s="13">
        <v>45855.604166666664</v>
      </c>
      <c r="B294" s="14">
        <v>-25.92</v>
      </c>
      <c r="C294" s="15">
        <v>-470.54</v>
      </c>
      <c r="D294" s="15">
        <v>4290.54</v>
      </c>
      <c r="E294" s="15">
        <v>9.51</v>
      </c>
      <c r="F294" s="15">
        <v>0</v>
      </c>
      <c r="G294" s="15">
        <v>32.28</v>
      </c>
      <c r="H294" s="15">
        <v>19.100000000000001</v>
      </c>
      <c r="I294" s="15">
        <v>0</v>
      </c>
      <c r="J294" s="15">
        <v>540.59</v>
      </c>
      <c r="K294" s="15">
        <v>2378.4299999999998</v>
      </c>
      <c r="L294" s="15">
        <v>2414.62</v>
      </c>
      <c r="M294" s="16">
        <v>57.01</v>
      </c>
      <c r="N294" s="25" t="str">
        <f t="shared" si="4"/>
        <v/>
      </c>
      <c r="O294"/>
    </row>
    <row r="295" spans="1:15">
      <c r="A295" s="13">
        <v>45855.625</v>
      </c>
      <c r="B295" s="14">
        <v>-27.79</v>
      </c>
      <c r="C295" s="15">
        <v>-241.81</v>
      </c>
      <c r="D295" s="15">
        <v>4915.79</v>
      </c>
      <c r="E295" s="15">
        <v>9.5399999999999991</v>
      </c>
      <c r="F295" s="15">
        <v>0</v>
      </c>
      <c r="G295" s="15">
        <v>33.39</v>
      </c>
      <c r="H295" s="15">
        <v>5.82</v>
      </c>
      <c r="I295" s="15">
        <v>0</v>
      </c>
      <c r="J295" s="15">
        <v>524.08000000000004</v>
      </c>
      <c r="K295" s="15">
        <v>1984.17</v>
      </c>
      <c r="L295" s="15">
        <v>1945.37</v>
      </c>
      <c r="M295" s="16">
        <v>140.36000000000001</v>
      </c>
      <c r="N295" s="25" t="str">
        <f t="shared" si="4"/>
        <v/>
      </c>
      <c r="O295"/>
    </row>
    <row r="296" spans="1:15">
      <c r="A296" s="13">
        <v>45855.645833333336</v>
      </c>
      <c r="B296" s="14">
        <v>-79.58</v>
      </c>
      <c r="C296" s="15">
        <v>-80.64</v>
      </c>
      <c r="D296" s="15">
        <v>5674.82</v>
      </c>
      <c r="E296" s="15">
        <v>10.43</v>
      </c>
      <c r="F296" s="15">
        <v>1</v>
      </c>
      <c r="G296" s="15">
        <v>34.92</v>
      </c>
      <c r="H296" s="15">
        <v>6.11</v>
      </c>
      <c r="I296" s="15">
        <v>0</v>
      </c>
      <c r="J296" s="15">
        <v>492.07</v>
      </c>
      <c r="K296" s="15">
        <v>1801.47</v>
      </c>
      <c r="L296" s="15">
        <v>1469.53</v>
      </c>
      <c r="M296" s="16">
        <v>0</v>
      </c>
      <c r="N296" s="25" t="str">
        <f t="shared" si="4"/>
        <v/>
      </c>
      <c r="O296"/>
    </row>
    <row r="297" spans="1:15">
      <c r="A297" s="13">
        <v>45855.666666666664</v>
      </c>
      <c r="B297" s="14">
        <v>-105.3</v>
      </c>
      <c r="C297" s="15">
        <v>-67.239999999999995</v>
      </c>
      <c r="D297" s="15">
        <v>6816.53</v>
      </c>
      <c r="E297" s="15">
        <v>9.0299999999999994</v>
      </c>
      <c r="F297" s="15">
        <v>52.17</v>
      </c>
      <c r="G297" s="15">
        <v>36.58</v>
      </c>
      <c r="H297" s="15">
        <v>6.49</v>
      </c>
      <c r="I297" s="15">
        <v>0</v>
      </c>
      <c r="J297" s="15">
        <v>425.11</v>
      </c>
      <c r="K297" s="15">
        <v>1142.27</v>
      </c>
      <c r="L297" s="15">
        <v>1000.25</v>
      </c>
      <c r="M297" s="16">
        <v>106.28</v>
      </c>
      <c r="N297" s="25" t="str">
        <f t="shared" si="4"/>
        <v/>
      </c>
      <c r="O297"/>
    </row>
    <row r="298" spans="1:15">
      <c r="A298" s="13">
        <v>45855.6875</v>
      </c>
      <c r="B298" s="14">
        <v>-26.84</v>
      </c>
      <c r="C298" s="15">
        <v>0</v>
      </c>
      <c r="D298" s="15">
        <v>7710.41</v>
      </c>
      <c r="E298" s="15">
        <v>-0.04</v>
      </c>
      <c r="F298" s="15">
        <v>189.67</v>
      </c>
      <c r="G298" s="15">
        <v>36.67</v>
      </c>
      <c r="H298" s="15">
        <v>0.78</v>
      </c>
      <c r="I298" s="15">
        <v>62.31</v>
      </c>
      <c r="J298" s="15">
        <v>383.55</v>
      </c>
      <c r="K298" s="15">
        <v>459.69</v>
      </c>
      <c r="L298" s="15">
        <v>542.21</v>
      </c>
      <c r="M298" s="16">
        <v>84.7</v>
      </c>
      <c r="N298" s="25" t="str">
        <f t="shared" si="4"/>
        <v/>
      </c>
      <c r="O298"/>
    </row>
    <row r="299" spans="1:15">
      <c r="A299" s="13">
        <v>45855.708333333336</v>
      </c>
      <c r="B299" s="14">
        <v>-6.92</v>
      </c>
      <c r="C299" s="15">
        <v>0</v>
      </c>
      <c r="D299" s="15">
        <v>7965.6</v>
      </c>
      <c r="E299" s="15">
        <v>-0.95</v>
      </c>
      <c r="F299" s="15">
        <v>308.83</v>
      </c>
      <c r="G299" s="15">
        <v>163.5</v>
      </c>
      <c r="H299" s="15">
        <v>48.3</v>
      </c>
      <c r="I299" s="15">
        <v>528.14</v>
      </c>
      <c r="J299" s="15">
        <v>489.01</v>
      </c>
      <c r="K299" s="15">
        <v>115.34</v>
      </c>
      <c r="L299" s="15">
        <v>173.77</v>
      </c>
      <c r="M299" s="16">
        <v>165.24</v>
      </c>
      <c r="N299" s="25" t="str">
        <f t="shared" si="4"/>
        <v/>
      </c>
      <c r="O299"/>
    </row>
    <row r="300" spans="1:15">
      <c r="A300" s="13">
        <v>45855.729166666664</v>
      </c>
      <c r="B300" s="14">
        <v>-2.33</v>
      </c>
      <c r="C300" s="15">
        <v>0</v>
      </c>
      <c r="D300" s="15">
        <v>7969.07</v>
      </c>
      <c r="E300" s="15">
        <v>-0.15</v>
      </c>
      <c r="F300" s="15">
        <v>443.33</v>
      </c>
      <c r="G300" s="15">
        <v>500.54</v>
      </c>
      <c r="H300" s="15">
        <v>148.81</v>
      </c>
      <c r="I300" s="15">
        <v>781.62</v>
      </c>
      <c r="J300" s="15">
        <v>446.51</v>
      </c>
      <c r="K300" s="15">
        <v>10.119999999999999</v>
      </c>
      <c r="L300" s="15">
        <v>21.45</v>
      </c>
      <c r="M300" s="16">
        <v>202.35</v>
      </c>
      <c r="N300" s="25" t="str">
        <f t="shared" si="4"/>
        <v/>
      </c>
      <c r="O300"/>
    </row>
    <row r="301" spans="1:15">
      <c r="A301" s="13">
        <v>45855.75</v>
      </c>
      <c r="B301" s="14">
        <v>-2.59</v>
      </c>
      <c r="C301" s="15">
        <v>0</v>
      </c>
      <c r="D301" s="15">
        <v>7997.94</v>
      </c>
      <c r="E301" s="15">
        <v>0.25</v>
      </c>
      <c r="F301" s="15">
        <v>441.67</v>
      </c>
      <c r="G301" s="15">
        <v>699.88</v>
      </c>
      <c r="H301" s="15">
        <v>225.61</v>
      </c>
      <c r="I301" s="15">
        <v>839.56</v>
      </c>
      <c r="J301" s="15">
        <v>463.5</v>
      </c>
      <c r="K301" s="15">
        <v>0.05</v>
      </c>
      <c r="L301" s="15">
        <v>0.27</v>
      </c>
      <c r="M301" s="16">
        <v>254.96</v>
      </c>
      <c r="N301" s="25" t="str">
        <f t="shared" si="4"/>
        <v/>
      </c>
      <c r="O301"/>
    </row>
    <row r="302" spans="1:15">
      <c r="A302" s="13">
        <v>45855.770833333336</v>
      </c>
      <c r="B302" s="14">
        <v>-3.52</v>
      </c>
      <c r="C302" s="15">
        <v>0</v>
      </c>
      <c r="D302" s="15">
        <v>8078.78</v>
      </c>
      <c r="E302" s="15">
        <v>-0.3</v>
      </c>
      <c r="F302" s="15">
        <v>443.5</v>
      </c>
      <c r="G302" s="15">
        <v>701.87</v>
      </c>
      <c r="H302" s="15">
        <v>194.77</v>
      </c>
      <c r="I302" s="15">
        <v>863.3</v>
      </c>
      <c r="J302" s="15">
        <v>379.57</v>
      </c>
      <c r="K302" s="15">
        <v>0.05</v>
      </c>
      <c r="L302" s="15">
        <v>0</v>
      </c>
      <c r="M302" s="16">
        <v>186.83</v>
      </c>
      <c r="N302" s="25" t="str">
        <f t="shared" si="4"/>
        <v/>
      </c>
      <c r="O302"/>
    </row>
    <row r="303" spans="1:15">
      <c r="A303" s="13">
        <v>45855.791666666664</v>
      </c>
      <c r="B303" s="14">
        <v>-4.9400000000000004</v>
      </c>
      <c r="C303" s="15">
        <v>0</v>
      </c>
      <c r="D303" s="15">
        <v>8130.66</v>
      </c>
      <c r="E303" s="15">
        <v>-0.02</v>
      </c>
      <c r="F303" s="15">
        <v>450.33</v>
      </c>
      <c r="G303" s="15">
        <v>704.97</v>
      </c>
      <c r="H303" s="15">
        <v>175.64</v>
      </c>
      <c r="I303" s="15">
        <v>876.02</v>
      </c>
      <c r="J303" s="15">
        <v>361.17</v>
      </c>
      <c r="K303" s="15">
        <v>0.05</v>
      </c>
      <c r="L303" s="15">
        <v>0</v>
      </c>
      <c r="M303" s="16">
        <v>185.72</v>
      </c>
      <c r="N303" s="25" t="str">
        <f t="shared" si="4"/>
        <v/>
      </c>
      <c r="O303"/>
    </row>
    <row r="304" spans="1:15">
      <c r="A304" s="13">
        <v>45855.8125</v>
      </c>
      <c r="B304" s="14">
        <v>-5.38</v>
      </c>
      <c r="C304" s="15">
        <v>0</v>
      </c>
      <c r="D304" s="15">
        <v>8129.35</v>
      </c>
      <c r="E304" s="15">
        <v>-0.18</v>
      </c>
      <c r="F304" s="15">
        <v>450.83</v>
      </c>
      <c r="G304" s="15">
        <v>703.35</v>
      </c>
      <c r="H304" s="15">
        <v>50.57</v>
      </c>
      <c r="I304" s="15">
        <v>876.66</v>
      </c>
      <c r="J304" s="15">
        <v>395.45</v>
      </c>
      <c r="K304" s="15">
        <v>0.05</v>
      </c>
      <c r="L304" s="15">
        <v>0</v>
      </c>
      <c r="M304" s="16">
        <v>239.65</v>
      </c>
      <c r="N304" s="25" t="str">
        <f t="shared" si="4"/>
        <v/>
      </c>
      <c r="O304"/>
    </row>
    <row r="305" spans="1:15">
      <c r="A305" s="13">
        <v>45855.833333333336</v>
      </c>
      <c r="B305" s="14">
        <v>-13.84</v>
      </c>
      <c r="C305" s="15">
        <v>0</v>
      </c>
      <c r="D305" s="15">
        <v>8134.41</v>
      </c>
      <c r="E305" s="15">
        <v>0.51</v>
      </c>
      <c r="F305" s="15">
        <v>451.5</v>
      </c>
      <c r="G305" s="15">
        <v>703.88</v>
      </c>
      <c r="H305" s="15">
        <v>59.39</v>
      </c>
      <c r="I305" s="15">
        <v>866.48</v>
      </c>
      <c r="J305" s="15">
        <v>441.89</v>
      </c>
      <c r="K305" s="15">
        <v>0.05</v>
      </c>
      <c r="L305" s="15">
        <v>0</v>
      </c>
      <c r="M305" s="16">
        <v>154.57</v>
      </c>
      <c r="N305" s="25" t="str">
        <f t="shared" si="4"/>
        <v/>
      </c>
      <c r="O305"/>
    </row>
    <row r="306" spans="1:15">
      <c r="A306" s="13">
        <v>45855.854166666664</v>
      </c>
      <c r="B306" s="14">
        <v>-3.69</v>
      </c>
      <c r="C306" s="15">
        <v>0</v>
      </c>
      <c r="D306" s="15">
        <v>8147.78</v>
      </c>
      <c r="E306" s="15">
        <v>0.03</v>
      </c>
      <c r="F306" s="15">
        <v>451.5</v>
      </c>
      <c r="G306" s="15">
        <v>704.96</v>
      </c>
      <c r="H306" s="15">
        <v>21.79</v>
      </c>
      <c r="I306" s="15">
        <v>837.13</v>
      </c>
      <c r="J306" s="15">
        <v>426.13</v>
      </c>
      <c r="K306" s="15">
        <v>0.05</v>
      </c>
      <c r="L306" s="15">
        <v>0</v>
      </c>
      <c r="M306" s="16">
        <v>163.07</v>
      </c>
      <c r="N306" s="25" t="str">
        <f t="shared" si="4"/>
        <v/>
      </c>
      <c r="O306"/>
    </row>
    <row r="307" spans="1:15">
      <c r="A307" s="13">
        <v>45855.875</v>
      </c>
      <c r="B307" s="14">
        <v>-10.78</v>
      </c>
      <c r="C307" s="15">
        <v>0</v>
      </c>
      <c r="D307" s="15">
        <v>8145.84</v>
      </c>
      <c r="E307" s="15">
        <v>-0.2</v>
      </c>
      <c r="F307" s="15">
        <v>450.17</v>
      </c>
      <c r="G307" s="15">
        <v>621.1</v>
      </c>
      <c r="H307" s="15">
        <v>44.87</v>
      </c>
      <c r="I307" s="15">
        <v>621.15</v>
      </c>
      <c r="J307" s="15">
        <v>441.88</v>
      </c>
      <c r="K307" s="15">
        <v>0.05</v>
      </c>
      <c r="L307" s="15">
        <v>0</v>
      </c>
      <c r="M307" s="16">
        <v>234.56</v>
      </c>
      <c r="N307" s="25" t="str">
        <f t="shared" si="4"/>
        <v/>
      </c>
      <c r="O307"/>
    </row>
    <row r="308" spans="1:15">
      <c r="A308" s="13">
        <v>45855.895833333336</v>
      </c>
      <c r="B308" s="14">
        <v>-14.03</v>
      </c>
      <c r="C308" s="15">
        <v>0</v>
      </c>
      <c r="D308" s="15">
        <v>8129.83</v>
      </c>
      <c r="E308" s="15">
        <v>0.27</v>
      </c>
      <c r="F308" s="15">
        <v>450.67</v>
      </c>
      <c r="G308" s="15">
        <v>350.09</v>
      </c>
      <c r="H308" s="15">
        <v>18.8</v>
      </c>
      <c r="I308" s="15">
        <v>560</v>
      </c>
      <c r="J308" s="15">
        <v>434.36</v>
      </c>
      <c r="K308" s="15">
        <v>0.05</v>
      </c>
      <c r="L308" s="15">
        <v>0</v>
      </c>
      <c r="M308" s="16">
        <v>134.12</v>
      </c>
      <c r="N308" s="25" t="str">
        <f t="shared" si="4"/>
        <v/>
      </c>
      <c r="O308"/>
    </row>
    <row r="309" spans="1:15">
      <c r="A309" s="13">
        <v>45855.916666666664</v>
      </c>
      <c r="B309" s="14">
        <v>-13.46</v>
      </c>
      <c r="C309" s="15">
        <v>0</v>
      </c>
      <c r="D309" s="15">
        <v>8061.09</v>
      </c>
      <c r="E309" s="15">
        <v>-2.5499999999999998</v>
      </c>
      <c r="F309" s="15">
        <v>449.83</v>
      </c>
      <c r="G309" s="15">
        <v>195.03</v>
      </c>
      <c r="H309" s="15">
        <v>5.35</v>
      </c>
      <c r="I309" s="15">
        <v>238.7</v>
      </c>
      <c r="J309" s="15">
        <v>457.35</v>
      </c>
      <c r="K309" s="15">
        <v>0.05</v>
      </c>
      <c r="L309" s="15">
        <v>0</v>
      </c>
      <c r="M309" s="16">
        <v>134.53</v>
      </c>
      <c r="N309" s="25" t="str">
        <f t="shared" si="4"/>
        <v/>
      </c>
      <c r="O309"/>
    </row>
    <row r="310" spans="1:15">
      <c r="A310" s="13">
        <v>45855.9375</v>
      </c>
      <c r="B310" s="14">
        <v>-12.4</v>
      </c>
      <c r="C310" s="15">
        <v>0</v>
      </c>
      <c r="D310" s="15">
        <v>8073.74</v>
      </c>
      <c r="E310" s="15">
        <v>-2.5099999999999998</v>
      </c>
      <c r="F310" s="15">
        <v>453.17</v>
      </c>
      <c r="G310" s="15">
        <v>52.8</v>
      </c>
      <c r="H310" s="15">
        <v>3.78</v>
      </c>
      <c r="I310" s="15">
        <v>25.97</v>
      </c>
      <c r="J310" s="15">
        <v>522.1</v>
      </c>
      <c r="K310" s="15">
        <v>0.05</v>
      </c>
      <c r="L310" s="15">
        <v>0</v>
      </c>
      <c r="M310" s="16">
        <v>171.65</v>
      </c>
      <c r="N310" s="25" t="str">
        <f t="shared" si="4"/>
        <v/>
      </c>
      <c r="O310"/>
    </row>
    <row r="311" spans="1:15">
      <c r="A311" s="13">
        <v>45855.958333333336</v>
      </c>
      <c r="B311" s="14">
        <v>-11.46</v>
      </c>
      <c r="C311" s="15">
        <v>0</v>
      </c>
      <c r="D311" s="15">
        <v>8119.62</v>
      </c>
      <c r="E311" s="15">
        <v>-0.33</v>
      </c>
      <c r="F311" s="15">
        <v>444.17</v>
      </c>
      <c r="G311" s="15">
        <v>42.55</v>
      </c>
      <c r="H311" s="15">
        <v>0.21</v>
      </c>
      <c r="I311" s="15">
        <v>0</v>
      </c>
      <c r="J311" s="15">
        <v>506.45</v>
      </c>
      <c r="K311" s="15">
        <v>0.05</v>
      </c>
      <c r="L311" s="15">
        <v>0</v>
      </c>
      <c r="M311" s="16">
        <v>140.94</v>
      </c>
      <c r="N311" s="25" t="str">
        <f t="shared" si="4"/>
        <v/>
      </c>
      <c r="O311"/>
    </row>
    <row r="312" spans="1:15">
      <c r="A312" s="13">
        <v>45855.979166666664</v>
      </c>
      <c r="B312" s="14">
        <v>-10.81</v>
      </c>
      <c r="C312" s="15">
        <v>0</v>
      </c>
      <c r="D312" s="15">
        <v>8122.02</v>
      </c>
      <c r="E312" s="15">
        <v>-0.5</v>
      </c>
      <c r="F312" s="15">
        <v>305.17</v>
      </c>
      <c r="G312" s="15">
        <v>42.53</v>
      </c>
      <c r="H312" s="15">
        <v>0.72</v>
      </c>
      <c r="I312" s="15">
        <v>0</v>
      </c>
      <c r="J312" s="15">
        <v>421.67</v>
      </c>
      <c r="K312" s="15">
        <v>0.05</v>
      </c>
      <c r="L312" s="15">
        <v>0</v>
      </c>
      <c r="M312" s="16">
        <v>109.92</v>
      </c>
      <c r="N312" s="25" t="str">
        <f t="shared" si="4"/>
        <v/>
      </c>
      <c r="O312"/>
    </row>
    <row r="313" spans="1:15">
      <c r="A313" s="13">
        <v>45856</v>
      </c>
      <c r="B313" s="14">
        <v>-12.24</v>
      </c>
      <c r="C313" s="15">
        <v>0</v>
      </c>
      <c r="D313" s="15">
        <v>8067.67</v>
      </c>
      <c r="E313" s="15">
        <v>-0.74</v>
      </c>
      <c r="F313" s="15">
        <v>194.33</v>
      </c>
      <c r="G313" s="15">
        <v>42.68</v>
      </c>
      <c r="H313" s="15">
        <v>0.13</v>
      </c>
      <c r="I313" s="15">
        <v>0</v>
      </c>
      <c r="J313" s="15">
        <v>261.79000000000002</v>
      </c>
      <c r="K313" s="15">
        <v>0.05</v>
      </c>
      <c r="L313" s="15">
        <v>0</v>
      </c>
      <c r="M313" s="16">
        <v>127.6</v>
      </c>
      <c r="N313" s="25" t="str">
        <f t="shared" si="4"/>
        <v>18 Jul</v>
      </c>
      <c r="O313"/>
    </row>
    <row r="314" spans="1:15">
      <c r="A314" s="13">
        <v>45856.020833333336</v>
      </c>
      <c r="B314" s="14">
        <v>-20.67</v>
      </c>
      <c r="C314" s="15">
        <v>0</v>
      </c>
      <c r="D314" s="15">
        <v>7973.44</v>
      </c>
      <c r="E314" s="15">
        <v>-2.65</v>
      </c>
      <c r="F314" s="15">
        <v>190</v>
      </c>
      <c r="G314" s="15">
        <v>42.71</v>
      </c>
      <c r="H314" s="15">
        <v>0.28999999999999998</v>
      </c>
      <c r="I314" s="15">
        <v>0</v>
      </c>
      <c r="J314" s="15">
        <v>298.75</v>
      </c>
      <c r="K314" s="15">
        <v>0.05</v>
      </c>
      <c r="L314" s="15">
        <v>0</v>
      </c>
      <c r="M314" s="16">
        <v>98.1</v>
      </c>
      <c r="N314" s="25" t="str">
        <f t="shared" si="4"/>
        <v/>
      </c>
      <c r="O314"/>
    </row>
    <row r="315" spans="1:15">
      <c r="A315" s="13">
        <v>45856.041666666664</v>
      </c>
      <c r="B315" s="14">
        <v>-59.56</v>
      </c>
      <c r="C315" s="15">
        <v>0</v>
      </c>
      <c r="D315" s="15">
        <v>7814.07</v>
      </c>
      <c r="E315" s="15">
        <v>-1.69</v>
      </c>
      <c r="F315" s="15">
        <v>189.83</v>
      </c>
      <c r="G315" s="15">
        <v>42.84</v>
      </c>
      <c r="H315" s="15">
        <v>0.1</v>
      </c>
      <c r="I315" s="15">
        <v>0</v>
      </c>
      <c r="J315" s="15">
        <v>353.75</v>
      </c>
      <c r="K315" s="15">
        <v>0.05</v>
      </c>
      <c r="L315" s="15">
        <v>0</v>
      </c>
      <c r="M315" s="16">
        <v>96.55</v>
      </c>
      <c r="N315" s="25" t="str">
        <f t="shared" si="4"/>
        <v/>
      </c>
      <c r="O315"/>
    </row>
    <row r="316" spans="1:15">
      <c r="A316" s="13">
        <v>45856.0625</v>
      </c>
      <c r="B316" s="14">
        <v>-16.57</v>
      </c>
      <c r="C316" s="15">
        <v>-67.48</v>
      </c>
      <c r="D316" s="15">
        <v>7627.58</v>
      </c>
      <c r="E316" s="15">
        <v>-1.04</v>
      </c>
      <c r="F316" s="15">
        <v>189.67</v>
      </c>
      <c r="G316" s="15">
        <v>42.78</v>
      </c>
      <c r="H316" s="15">
        <v>0.06</v>
      </c>
      <c r="I316" s="15">
        <v>0</v>
      </c>
      <c r="J316" s="15">
        <v>376.66</v>
      </c>
      <c r="K316" s="15">
        <v>0.05</v>
      </c>
      <c r="L316" s="15">
        <v>0</v>
      </c>
      <c r="M316" s="16">
        <v>90.63</v>
      </c>
      <c r="N316" s="25" t="str">
        <f t="shared" si="4"/>
        <v/>
      </c>
      <c r="O316"/>
    </row>
    <row r="317" spans="1:15">
      <c r="A317" s="13">
        <v>45856.083333333336</v>
      </c>
      <c r="B317" s="14">
        <v>-16.52</v>
      </c>
      <c r="C317" s="15">
        <v>-80.81</v>
      </c>
      <c r="D317" s="15">
        <v>7425.33</v>
      </c>
      <c r="E317" s="15">
        <v>-1.43</v>
      </c>
      <c r="F317" s="15">
        <v>190</v>
      </c>
      <c r="G317" s="15">
        <v>42.9</v>
      </c>
      <c r="H317" s="15">
        <v>0.16</v>
      </c>
      <c r="I317" s="15">
        <v>0</v>
      </c>
      <c r="J317" s="15">
        <v>465.77</v>
      </c>
      <c r="K317" s="15">
        <v>0.05</v>
      </c>
      <c r="L317" s="15">
        <v>0</v>
      </c>
      <c r="M317" s="16">
        <v>84.85</v>
      </c>
      <c r="N317" s="25" t="str">
        <f t="shared" si="4"/>
        <v/>
      </c>
      <c r="O317"/>
    </row>
    <row r="318" spans="1:15">
      <c r="A318" s="13">
        <v>45856.104166666664</v>
      </c>
      <c r="B318" s="14">
        <v>-50.46</v>
      </c>
      <c r="C318" s="15">
        <v>-80.709999999999994</v>
      </c>
      <c r="D318" s="15">
        <v>7290</v>
      </c>
      <c r="E318" s="15">
        <v>-2.1800000000000002</v>
      </c>
      <c r="F318" s="15">
        <v>190.17</v>
      </c>
      <c r="G318" s="15">
        <v>43.32</v>
      </c>
      <c r="H318" s="15">
        <v>0.13</v>
      </c>
      <c r="I318" s="15">
        <v>0</v>
      </c>
      <c r="J318" s="15">
        <v>453.06</v>
      </c>
      <c r="K318" s="15">
        <v>0.05</v>
      </c>
      <c r="L318" s="15">
        <v>0</v>
      </c>
      <c r="M318" s="16">
        <v>90.36</v>
      </c>
      <c r="N318" s="25" t="str">
        <f t="shared" si="4"/>
        <v/>
      </c>
      <c r="O318"/>
    </row>
    <row r="319" spans="1:15">
      <c r="A319" s="13">
        <v>45856.125</v>
      </c>
      <c r="B319" s="14">
        <v>-70.569999999999993</v>
      </c>
      <c r="C319" s="15">
        <v>-80.61</v>
      </c>
      <c r="D319" s="15">
        <v>7203.53</v>
      </c>
      <c r="E319" s="15">
        <v>-2.29</v>
      </c>
      <c r="F319" s="15">
        <v>189.83</v>
      </c>
      <c r="G319" s="15">
        <v>43</v>
      </c>
      <c r="H319" s="15">
        <v>0.42</v>
      </c>
      <c r="I319" s="15">
        <v>0</v>
      </c>
      <c r="J319" s="15">
        <v>404.65</v>
      </c>
      <c r="K319" s="15">
        <v>0.05</v>
      </c>
      <c r="L319" s="15">
        <v>0</v>
      </c>
      <c r="M319" s="16">
        <v>81.17</v>
      </c>
      <c r="N319" s="25" t="str">
        <f t="shared" si="4"/>
        <v/>
      </c>
      <c r="O319"/>
    </row>
    <row r="320" spans="1:15">
      <c r="A320" s="13">
        <v>45856.145833333336</v>
      </c>
      <c r="B320" s="14">
        <v>-67.290000000000006</v>
      </c>
      <c r="C320" s="15">
        <v>-80.709999999999994</v>
      </c>
      <c r="D320" s="15">
        <v>7227.16</v>
      </c>
      <c r="E320" s="15">
        <v>-2.92</v>
      </c>
      <c r="F320" s="15">
        <v>189.67</v>
      </c>
      <c r="G320" s="15">
        <v>42.73</v>
      </c>
      <c r="H320" s="15">
        <v>0.75</v>
      </c>
      <c r="I320" s="15">
        <v>0</v>
      </c>
      <c r="J320" s="15">
        <v>332.93</v>
      </c>
      <c r="K320" s="15">
        <v>0.05</v>
      </c>
      <c r="L320" s="15">
        <v>0</v>
      </c>
      <c r="M320" s="16">
        <v>102.32</v>
      </c>
      <c r="N320" s="25" t="str">
        <f t="shared" si="4"/>
        <v/>
      </c>
      <c r="O320"/>
    </row>
    <row r="321" spans="1:15">
      <c r="A321" s="13">
        <v>45856.166666666664</v>
      </c>
      <c r="B321" s="14">
        <v>-77.040000000000006</v>
      </c>
      <c r="C321" s="15">
        <v>-80.73</v>
      </c>
      <c r="D321" s="15">
        <v>7270.43</v>
      </c>
      <c r="E321" s="15">
        <v>-2.83</v>
      </c>
      <c r="F321" s="15">
        <v>190</v>
      </c>
      <c r="G321" s="15">
        <v>43.12</v>
      </c>
      <c r="H321" s="15">
        <v>0.44</v>
      </c>
      <c r="I321" s="15">
        <v>0</v>
      </c>
      <c r="J321" s="15">
        <v>337.84</v>
      </c>
      <c r="K321" s="15">
        <v>0.05</v>
      </c>
      <c r="L321" s="15">
        <v>0</v>
      </c>
      <c r="M321" s="16">
        <v>85.84</v>
      </c>
      <c r="N321" s="25" t="str">
        <f t="shared" si="4"/>
        <v/>
      </c>
      <c r="O321"/>
    </row>
    <row r="322" spans="1:15">
      <c r="A322" s="13">
        <v>45856.1875</v>
      </c>
      <c r="B322" s="14">
        <v>-76.790000000000006</v>
      </c>
      <c r="C322" s="15">
        <v>-80.75</v>
      </c>
      <c r="D322" s="15">
        <v>7289.57</v>
      </c>
      <c r="E322" s="15">
        <v>-2.35</v>
      </c>
      <c r="F322" s="15">
        <v>189.83</v>
      </c>
      <c r="G322" s="15">
        <v>43.54</v>
      </c>
      <c r="H322" s="15">
        <v>0.42</v>
      </c>
      <c r="I322" s="15">
        <v>0</v>
      </c>
      <c r="J322" s="15">
        <v>327.20999999999998</v>
      </c>
      <c r="K322" s="15">
        <v>0.05</v>
      </c>
      <c r="L322" s="15">
        <v>0</v>
      </c>
      <c r="M322" s="16">
        <v>100.25</v>
      </c>
      <c r="N322" s="25" t="str">
        <f t="shared" ref="N322:N338" si="5">IF(AND(HOUR(A322)=0,MINUTE(A322)=0),TEXT(A322,"d mmm"),"")</f>
        <v/>
      </c>
      <c r="O322"/>
    </row>
    <row r="323" spans="1:15">
      <c r="A323" s="13">
        <v>45856.208333333336</v>
      </c>
      <c r="B323" s="14">
        <v>-45.92</v>
      </c>
      <c r="C323" s="15">
        <v>-67.25</v>
      </c>
      <c r="D323" s="15">
        <v>7449.21</v>
      </c>
      <c r="E323" s="15">
        <v>-3.22</v>
      </c>
      <c r="F323" s="15">
        <v>190.17</v>
      </c>
      <c r="G323" s="15">
        <v>43.19</v>
      </c>
      <c r="H323" s="15">
        <v>3</v>
      </c>
      <c r="I323" s="15">
        <v>0</v>
      </c>
      <c r="J323" s="15">
        <v>307.83</v>
      </c>
      <c r="K323" s="15">
        <v>0.05</v>
      </c>
      <c r="L323" s="15">
        <v>0</v>
      </c>
      <c r="M323" s="16">
        <v>112.24</v>
      </c>
      <c r="N323" s="25" t="str">
        <f t="shared" si="5"/>
        <v/>
      </c>
      <c r="O323"/>
    </row>
    <row r="324" spans="1:15">
      <c r="A324" s="13">
        <v>45856.229166666664</v>
      </c>
      <c r="B324" s="14">
        <v>-78.44</v>
      </c>
      <c r="C324" s="15">
        <v>0</v>
      </c>
      <c r="D324" s="15">
        <v>7844.03</v>
      </c>
      <c r="E324" s="15">
        <v>-0.92</v>
      </c>
      <c r="F324" s="15">
        <v>208.17</v>
      </c>
      <c r="G324" s="15">
        <v>43.6</v>
      </c>
      <c r="H324" s="15">
        <v>0.28999999999999998</v>
      </c>
      <c r="I324" s="15">
        <v>43.07</v>
      </c>
      <c r="J324" s="15">
        <v>289.05</v>
      </c>
      <c r="K324" s="15">
        <v>0.05</v>
      </c>
      <c r="L324" s="15">
        <v>0</v>
      </c>
      <c r="M324" s="16">
        <v>122.82</v>
      </c>
      <c r="N324" s="25" t="str">
        <f t="shared" si="5"/>
        <v/>
      </c>
      <c r="O324"/>
    </row>
    <row r="325" spans="1:15">
      <c r="A325" s="13">
        <v>45856.25</v>
      </c>
      <c r="B325" s="14">
        <v>-95.53</v>
      </c>
      <c r="C325" s="15">
        <v>0</v>
      </c>
      <c r="D325" s="15">
        <v>8092.69</v>
      </c>
      <c r="E325" s="15">
        <v>-1.32</v>
      </c>
      <c r="F325" s="15">
        <v>376.17</v>
      </c>
      <c r="G325" s="15">
        <v>43.57</v>
      </c>
      <c r="H325" s="15">
        <v>6.73</v>
      </c>
      <c r="I325" s="15">
        <v>250.05</v>
      </c>
      <c r="J325" s="15">
        <v>281.88</v>
      </c>
      <c r="K325" s="15">
        <v>0.05</v>
      </c>
      <c r="L325" s="15">
        <v>0</v>
      </c>
      <c r="M325" s="16">
        <v>120.89</v>
      </c>
      <c r="N325" s="25" t="str">
        <f t="shared" si="5"/>
        <v/>
      </c>
      <c r="O325"/>
    </row>
    <row r="326" spans="1:15">
      <c r="A326" s="13">
        <v>45856.270833333336</v>
      </c>
      <c r="B326" s="14">
        <v>-32.76</v>
      </c>
      <c r="C326" s="15">
        <v>0</v>
      </c>
      <c r="D326" s="15">
        <v>8143.84</v>
      </c>
      <c r="E326" s="15">
        <v>0.45</v>
      </c>
      <c r="F326" s="15">
        <v>457.92</v>
      </c>
      <c r="G326" s="15">
        <v>43.84</v>
      </c>
      <c r="H326" s="15">
        <v>0.49</v>
      </c>
      <c r="I326" s="15">
        <v>288.27999999999997</v>
      </c>
      <c r="J326" s="15">
        <v>290.02999999999997</v>
      </c>
      <c r="K326" s="15">
        <v>0.05</v>
      </c>
      <c r="L326" s="15">
        <v>0.01</v>
      </c>
      <c r="M326" s="16">
        <v>162.19</v>
      </c>
      <c r="N326" s="25" t="str">
        <f t="shared" si="5"/>
        <v/>
      </c>
      <c r="O326"/>
    </row>
    <row r="327" spans="1:15">
      <c r="A327" s="13">
        <v>45856.291666666664</v>
      </c>
      <c r="B327" s="14">
        <v>-6.85</v>
      </c>
      <c r="C327" s="15">
        <v>0</v>
      </c>
      <c r="D327" s="15">
        <v>8100.52</v>
      </c>
      <c r="E327" s="15">
        <v>-0.76</v>
      </c>
      <c r="F327" s="15">
        <v>534.85</v>
      </c>
      <c r="G327" s="15">
        <v>43.74</v>
      </c>
      <c r="H327" s="15">
        <v>125</v>
      </c>
      <c r="I327" s="15">
        <v>328.44</v>
      </c>
      <c r="J327" s="15">
        <v>310.75</v>
      </c>
      <c r="K327" s="15">
        <v>1.51</v>
      </c>
      <c r="L327" s="15">
        <v>4.3099999999999996</v>
      </c>
      <c r="M327" s="16">
        <v>202.46</v>
      </c>
      <c r="N327" s="25" t="str">
        <f t="shared" si="5"/>
        <v/>
      </c>
      <c r="O327"/>
    </row>
    <row r="328" spans="1:15">
      <c r="A328" s="13">
        <v>45856.3125</v>
      </c>
      <c r="B328" s="14">
        <v>-6.86</v>
      </c>
      <c r="C328" s="15">
        <v>0</v>
      </c>
      <c r="D328" s="15">
        <v>8064.88</v>
      </c>
      <c r="E328" s="15">
        <v>-0.59</v>
      </c>
      <c r="F328" s="15">
        <v>576.74</v>
      </c>
      <c r="G328" s="15">
        <v>43.56</v>
      </c>
      <c r="H328" s="15">
        <v>159.91</v>
      </c>
      <c r="I328" s="15">
        <v>402.95</v>
      </c>
      <c r="J328" s="15">
        <v>309.8</v>
      </c>
      <c r="K328" s="15">
        <v>70.709999999999994</v>
      </c>
      <c r="L328" s="15">
        <v>62.82</v>
      </c>
      <c r="M328" s="16">
        <v>299.98</v>
      </c>
      <c r="N328" s="25" t="str">
        <f t="shared" si="5"/>
        <v/>
      </c>
      <c r="O328"/>
    </row>
    <row r="329" spans="1:15">
      <c r="A329" s="13">
        <v>45856.333333333336</v>
      </c>
      <c r="B329" s="14">
        <v>-7.68</v>
      </c>
      <c r="C329" s="15">
        <v>0</v>
      </c>
      <c r="D329" s="15">
        <v>8133.81</v>
      </c>
      <c r="E329" s="15">
        <v>-0.13</v>
      </c>
      <c r="F329" s="15">
        <v>568.51</v>
      </c>
      <c r="G329" s="15">
        <v>43.51</v>
      </c>
      <c r="H329" s="15">
        <v>118.35</v>
      </c>
      <c r="I329" s="15">
        <v>590.59</v>
      </c>
      <c r="J329" s="15">
        <v>331.23</v>
      </c>
      <c r="K329" s="15">
        <v>451.78</v>
      </c>
      <c r="L329" s="15">
        <v>284.2</v>
      </c>
      <c r="M329" s="16">
        <v>291.7</v>
      </c>
      <c r="N329" s="25" t="str">
        <f t="shared" si="5"/>
        <v/>
      </c>
      <c r="O329"/>
    </row>
    <row r="330" spans="1:15">
      <c r="A330" s="13">
        <v>45856.354166666664</v>
      </c>
      <c r="B330" s="14">
        <v>-6.08</v>
      </c>
      <c r="C330" s="15">
        <v>0</v>
      </c>
      <c r="D330" s="15">
        <v>8086.29</v>
      </c>
      <c r="E330" s="15">
        <v>2.06</v>
      </c>
      <c r="F330" s="15">
        <v>373.48</v>
      </c>
      <c r="G330" s="15">
        <v>43.92</v>
      </c>
      <c r="H330" s="15">
        <v>89.09</v>
      </c>
      <c r="I330" s="15">
        <v>483.07</v>
      </c>
      <c r="J330" s="15">
        <v>340.28</v>
      </c>
      <c r="K330" s="15">
        <v>1086.8599999999999</v>
      </c>
      <c r="L330" s="15">
        <v>607.22</v>
      </c>
      <c r="M330" s="16">
        <v>263.02</v>
      </c>
      <c r="N330" s="25" t="str">
        <f t="shared" si="5"/>
        <v/>
      </c>
      <c r="O330"/>
    </row>
    <row r="331" spans="1:15">
      <c r="A331" s="13">
        <v>45856.375</v>
      </c>
      <c r="B331" s="14">
        <v>-25.04</v>
      </c>
      <c r="C331" s="15">
        <v>0</v>
      </c>
      <c r="D331" s="15">
        <v>7942.53</v>
      </c>
      <c r="E331" s="15">
        <v>12.36</v>
      </c>
      <c r="F331" s="15">
        <v>9.67</v>
      </c>
      <c r="G331" s="15">
        <v>43.94</v>
      </c>
      <c r="H331" s="15">
        <v>41.4</v>
      </c>
      <c r="I331" s="15">
        <v>335.99</v>
      </c>
      <c r="J331" s="15">
        <v>293.14</v>
      </c>
      <c r="K331" s="15">
        <v>1599.19</v>
      </c>
      <c r="L331" s="15">
        <v>1041.28</v>
      </c>
      <c r="M331" s="16">
        <v>168.06</v>
      </c>
      <c r="N331" s="25" t="str">
        <f t="shared" si="5"/>
        <v/>
      </c>
      <c r="O331"/>
    </row>
    <row r="332" spans="1:15">
      <c r="A332" s="13">
        <v>45856.395833333336</v>
      </c>
      <c r="B332" s="14">
        <v>-15.09</v>
      </c>
      <c r="C332" s="15">
        <v>0</v>
      </c>
      <c r="D332" s="15">
        <v>7744.28</v>
      </c>
      <c r="E332" s="15">
        <v>12.89</v>
      </c>
      <c r="F332" s="15">
        <v>0</v>
      </c>
      <c r="G332" s="15">
        <v>43.91</v>
      </c>
      <c r="H332" s="15">
        <v>0.19</v>
      </c>
      <c r="I332" s="15">
        <v>0.08</v>
      </c>
      <c r="J332" s="15">
        <v>251.66</v>
      </c>
      <c r="K332" s="15">
        <v>1745.82</v>
      </c>
      <c r="L332" s="15">
        <v>1387.69</v>
      </c>
      <c r="M332" s="16">
        <v>122.8</v>
      </c>
      <c r="N332" s="25" t="str">
        <f t="shared" si="5"/>
        <v/>
      </c>
      <c r="O332"/>
    </row>
    <row r="333" spans="1:15">
      <c r="A333" s="13">
        <v>45856.416666666664</v>
      </c>
      <c r="B333" s="14">
        <v>-232.19</v>
      </c>
      <c r="C333" s="15">
        <v>0</v>
      </c>
      <c r="D333" s="15">
        <v>7298.85</v>
      </c>
      <c r="E333" s="15">
        <v>10.83</v>
      </c>
      <c r="F333" s="15">
        <v>0</v>
      </c>
      <c r="G333" s="15">
        <v>43.76</v>
      </c>
      <c r="H333" s="15">
        <v>2.9</v>
      </c>
      <c r="I333" s="15">
        <v>0</v>
      </c>
      <c r="J333" s="15">
        <v>209.68</v>
      </c>
      <c r="K333" s="15">
        <v>1869.52</v>
      </c>
      <c r="L333" s="15">
        <v>1629.2</v>
      </c>
      <c r="M333" s="16">
        <v>128.81</v>
      </c>
      <c r="N333" s="25" t="str">
        <f t="shared" si="5"/>
        <v/>
      </c>
      <c r="O333"/>
    </row>
    <row r="334" spans="1:15">
      <c r="A334" s="13">
        <v>45856.4375</v>
      </c>
      <c r="B334" s="14">
        <v>-140.24</v>
      </c>
      <c r="C334" s="15">
        <v>0</v>
      </c>
      <c r="D334" s="15">
        <v>6846.27</v>
      </c>
      <c r="E334" s="15">
        <v>10.45</v>
      </c>
      <c r="F334" s="15">
        <v>0</v>
      </c>
      <c r="G334" s="15">
        <v>42.91</v>
      </c>
      <c r="H334" s="15">
        <v>1.58</v>
      </c>
      <c r="I334" s="15">
        <v>0</v>
      </c>
      <c r="J334" s="15">
        <v>172.27</v>
      </c>
      <c r="K334" s="15">
        <v>1960.16</v>
      </c>
      <c r="L334" s="15">
        <v>1810</v>
      </c>
      <c r="M334" s="16">
        <v>123.83</v>
      </c>
      <c r="N334" s="25" t="str">
        <f t="shared" si="5"/>
        <v/>
      </c>
      <c r="O334"/>
    </row>
    <row r="335" spans="1:15">
      <c r="A335" s="13">
        <v>45856.458333333336</v>
      </c>
      <c r="B335" s="14">
        <v>-31.11</v>
      </c>
      <c r="C335" s="15">
        <v>-67.319999999999993</v>
      </c>
      <c r="D335" s="15">
        <v>6486.45</v>
      </c>
      <c r="E335" s="15">
        <v>10.32</v>
      </c>
      <c r="F335" s="15">
        <v>0</v>
      </c>
      <c r="G335" s="15">
        <v>42.78</v>
      </c>
      <c r="H335" s="15">
        <v>30.87</v>
      </c>
      <c r="I335" s="15">
        <v>0</v>
      </c>
      <c r="J335" s="15">
        <v>131.25</v>
      </c>
      <c r="K335" s="15">
        <v>2070.46</v>
      </c>
      <c r="L335" s="15">
        <v>1888.35</v>
      </c>
      <c r="M335" s="16">
        <v>94.8</v>
      </c>
      <c r="N335" s="25" t="str">
        <f t="shared" si="5"/>
        <v/>
      </c>
      <c r="O335"/>
    </row>
    <row r="336" spans="1:15">
      <c r="A336" s="13">
        <v>45856.479166666664</v>
      </c>
      <c r="B336" s="14">
        <v>-134.41</v>
      </c>
      <c r="C336" s="15">
        <v>-80.92</v>
      </c>
      <c r="D336" s="15">
        <v>5928.26</v>
      </c>
      <c r="E336" s="15">
        <v>10.49</v>
      </c>
      <c r="F336" s="15">
        <v>0</v>
      </c>
      <c r="G336" s="15">
        <v>43.28</v>
      </c>
      <c r="H336" s="15">
        <v>0.2</v>
      </c>
      <c r="I336" s="15">
        <v>0</v>
      </c>
      <c r="J336" s="15">
        <v>108.99</v>
      </c>
      <c r="K336" s="15">
        <v>2085.91</v>
      </c>
      <c r="L336" s="15">
        <v>2083.17</v>
      </c>
      <c r="M336" s="16">
        <v>91.02</v>
      </c>
      <c r="N336" s="25" t="str">
        <f t="shared" si="5"/>
        <v/>
      </c>
      <c r="O336"/>
    </row>
    <row r="337" spans="1:15">
      <c r="A337" s="13">
        <v>45856.5</v>
      </c>
      <c r="B337" s="14">
        <v>-217.25</v>
      </c>
      <c r="C337" s="15">
        <v>-80.709999999999994</v>
      </c>
      <c r="D337" s="15">
        <v>5705.43</v>
      </c>
      <c r="E337" s="15">
        <v>10.53</v>
      </c>
      <c r="F337" s="15">
        <v>0</v>
      </c>
      <c r="G337" s="15">
        <v>43.43</v>
      </c>
      <c r="H337" s="15">
        <v>65.849999999999994</v>
      </c>
      <c r="I337" s="15">
        <v>0</v>
      </c>
      <c r="J337" s="15">
        <v>84.04</v>
      </c>
      <c r="K337" s="15">
        <v>2225.7800000000002</v>
      </c>
      <c r="L337" s="15">
        <v>2323.2600000000002</v>
      </c>
      <c r="M337" s="16">
        <v>88.28</v>
      </c>
      <c r="N337" s="25" t="str">
        <f t="shared" si="5"/>
        <v/>
      </c>
      <c r="O337"/>
    </row>
    <row r="338" spans="1:15">
      <c r="A338" s="17">
        <v>45856.520833333336</v>
      </c>
      <c r="B338" s="18">
        <v>-224.94</v>
      </c>
      <c r="C338" s="19">
        <v>-80.709999999999994</v>
      </c>
      <c r="D338" s="19">
        <v>5653.77</v>
      </c>
      <c r="E338" s="19">
        <v>9.66</v>
      </c>
      <c r="F338" s="19">
        <v>0</v>
      </c>
      <c r="G338" s="19">
        <v>43.58</v>
      </c>
      <c r="H338" s="19">
        <v>67.41</v>
      </c>
      <c r="I338" s="19">
        <v>0</v>
      </c>
      <c r="J338" s="19">
        <v>40.29</v>
      </c>
      <c r="K338" s="19">
        <v>2169.0700000000002</v>
      </c>
      <c r="L338" s="19">
        <v>2342.9499999999998</v>
      </c>
      <c r="M338" s="8">
        <v>59.52</v>
      </c>
      <c r="N338" s="25" t="str">
        <f t="shared" si="5"/>
        <v/>
      </c>
      <c r="O33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2DE0-17F2-B440-8B43-7E8D66E54172}">
  <dimension ref="A1:R391"/>
  <sheetViews>
    <sheetView zoomScale="63" zoomScaleNormal="90" workbookViewId="0">
      <selection activeCell="AG33" sqref="AG33"/>
    </sheetView>
  </sheetViews>
  <sheetFormatPr baseColWidth="10" defaultRowHeight="13"/>
  <cols>
    <col min="1" max="1" width="17.19921875" bestFit="1" customWidth="1"/>
    <col min="2" max="2" width="29.796875" bestFit="1" customWidth="1"/>
    <col min="3" max="3" width="27.3984375" bestFit="1" customWidth="1"/>
    <col min="4" max="4" width="31.19921875" customWidth="1"/>
    <col min="5" max="5" width="16.796875" customWidth="1"/>
    <col min="6" max="6" width="21.796875" customWidth="1"/>
    <col min="7" max="7" width="37.59765625" customWidth="1"/>
    <col min="8" max="8" width="15.3984375" style="26" customWidth="1"/>
  </cols>
  <sheetData>
    <row r="1" spans="1:9" ht="28">
      <c r="A1" s="20" t="s">
        <v>2</v>
      </c>
      <c r="B1" s="20" t="s">
        <v>3</v>
      </c>
      <c r="C1" s="20" t="s">
        <v>4</v>
      </c>
      <c r="D1" s="20" t="s">
        <v>11</v>
      </c>
      <c r="E1" s="20" t="s">
        <v>12</v>
      </c>
      <c r="F1" s="21" t="s">
        <v>24</v>
      </c>
      <c r="G1" s="21" t="s">
        <v>27</v>
      </c>
      <c r="H1" s="24" t="s">
        <v>77</v>
      </c>
      <c r="I1" s="21" t="s">
        <v>79</v>
      </c>
    </row>
    <row r="2" spans="1:9">
      <c r="A2" s="9">
        <v>45849.520833333336</v>
      </c>
      <c r="B2" s="10">
        <v>-190.82</v>
      </c>
      <c r="C2" s="11">
        <v>-469.14</v>
      </c>
      <c r="D2" s="11">
        <v>353.88</v>
      </c>
      <c r="E2" s="11">
        <v>0</v>
      </c>
      <c r="F2" s="12">
        <v>-22.01</v>
      </c>
      <c r="G2" s="22" t="str">
        <f>TEXT(Table4_137[[#This Row],[date]], "hh:mm")</f>
        <v>12:30</v>
      </c>
      <c r="H2" s="25" t="str">
        <f t="shared" ref="H2:H65" si="0">IF(AND(HOUR(A2)=0,MINUTE(A2)=0),TEXT(A2,"d mmm"),"")</f>
        <v/>
      </c>
      <c r="I2" s="22"/>
    </row>
    <row r="3" spans="1:9">
      <c r="A3" s="13">
        <v>45849.541666666664</v>
      </c>
      <c r="B3" s="14">
        <v>-401.87</v>
      </c>
      <c r="C3" s="15">
        <v>-468.66</v>
      </c>
      <c r="D3" s="15">
        <v>152.37</v>
      </c>
      <c r="E3" s="15">
        <v>0</v>
      </c>
      <c r="F3" s="16">
        <v>-14.01</v>
      </c>
      <c r="G3" s="19" t="str">
        <f>TEXT(Table4_137[[#This Row],[date]], "hh:mm")</f>
        <v>13:00</v>
      </c>
      <c r="H3" s="25" t="str">
        <f t="shared" si="0"/>
        <v/>
      </c>
      <c r="I3" s="22"/>
    </row>
    <row r="4" spans="1:9">
      <c r="A4" s="13">
        <v>45849.5625</v>
      </c>
      <c r="B4" s="14">
        <v>-649.61</v>
      </c>
      <c r="C4" s="15">
        <v>-468.04</v>
      </c>
      <c r="D4" s="15">
        <v>1.82</v>
      </c>
      <c r="E4" s="15">
        <v>0</v>
      </c>
      <c r="F4" s="16">
        <v>13.96</v>
      </c>
      <c r="G4" s="19" t="str">
        <f>TEXT(Table4_137[[#This Row],[date]], "hh:mm")</f>
        <v>13:30</v>
      </c>
      <c r="H4" s="25" t="str">
        <f t="shared" si="0"/>
        <v/>
      </c>
      <c r="I4" s="22"/>
    </row>
    <row r="5" spans="1:9">
      <c r="A5" s="13">
        <v>45849.583333333336</v>
      </c>
      <c r="B5" s="14">
        <v>-162.4</v>
      </c>
      <c r="C5" s="15">
        <v>-467.76</v>
      </c>
      <c r="D5" s="15">
        <v>97.38</v>
      </c>
      <c r="E5" s="15">
        <v>0</v>
      </c>
      <c r="F5" s="16">
        <v>0.04</v>
      </c>
      <c r="G5" s="19" t="str">
        <f>TEXT(Table4_137[[#This Row],[date]], "hh:mm")</f>
        <v>14:00</v>
      </c>
      <c r="H5" s="25" t="str">
        <f t="shared" si="0"/>
        <v/>
      </c>
      <c r="I5" s="22"/>
    </row>
    <row r="6" spans="1:9">
      <c r="A6" s="13">
        <v>45849.604166666664</v>
      </c>
      <c r="B6" s="14">
        <v>-22.51</v>
      </c>
      <c r="C6" s="15">
        <v>-468.28</v>
      </c>
      <c r="D6" s="15">
        <v>241.68</v>
      </c>
      <c r="E6" s="15">
        <v>0</v>
      </c>
      <c r="F6" s="16">
        <v>20.3</v>
      </c>
      <c r="G6" s="19" t="str">
        <f>TEXT(Table4_137[[#This Row],[date]], "hh:mm")</f>
        <v>14:30</v>
      </c>
      <c r="H6" s="25" t="str">
        <f t="shared" si="0"/>
        <v/>
      </c>
      <c r="I6" s="22"/>
    </row>
    <row r="7" spans="1:9">
      <c r="A7" s="13">
        <v>45849.625</v>
      </c>
      <c r="B7" s="14">
        <v>-379.85</v>
      </c>
      <c r="C7" s="15">
        <v>-467.17</v>
      </c>
      <c r="D7" s="15">
        <v>78.8</v>
      </c>
      <c r="E7" s="15">
        <v>0</v>
      </c>
      <c r="F7" s="16">
        <v>46.74</v>
      </c>
      <c r="G7" s="19" t="str">
        <f>TEXT(Table4_137[[#This Row],[date]], "hh:mm")</f>
        <v>15:00</v>
      </c>
      <c r="H7" s="25" t="str">
        <f t="shared" si="0"/>
        <v/>
      </c>
      <c r="I7" s="22"/>
    </row>
    <row r="8" spans="1:9">
      <c r="A8" s="13">
        <v>45849.645833333336</v>
      </c>
      <c r="B8" s="14">
        <v>-100.81</v>
      </c>
      <c r="C8" s="15">
        <v>-436.42</v>
      </c>
      <c r="D8" s="15">
        <v>235.41</v>
      </c>
      <c r="E8" s="15">
        <v>0</v>
      </c>
      <c r="F8" s="16">
        <v>-11.05</v>
      </c>
      <c r="G8" s="19" t="str">
        <f>TEXT(Table4_137[[#This Row],[date]], "hh:mm")</f>
        <v>15:30</v>
      </c>
      <c r="H8" s="25" t="str">
        <f t="shared" si="0"/>
        <v/>
      </c>
      <c r="I8" s="22"/>
    </row>
    <row r="9" spans="1:9">
      <c r="A9" s="13">
        <v>45849.666666666664</v>
      </c>
      <c r="B9" s="14">
        <v>-84.16</v>
      </c>
      <c r="C9" s="15">
        <v>-230.55</v>
      </c>
      <c r="D9" s="15">
        <v>60.13</v>
      </c>
      <c r="E9" s="15">
        <v>11.96</v>
      </c>
      <c r="F9" s="16">
        <v>37.74</v>
      </c>
      <c r="G9" s="19" t="str">
        <f>TEXT(Table4_137[[#This Row],[date]], "hh:mm")</f>
        <v>16:00</v>
      </c>
      <c r="H9" s="25" t="str">
        <f t="shared" si="0"/>
        <v/>
      </c>
      <c r="I9" s="22"/>
    </row>
    <row r="10" spans="1:9">
      <c r="A10" s="13">
        <v>45849.6875</v>
      </c>
      <c r="B10" s="14">
        <v>-307.23</v>
      </c>
      <c r="C10" s="15">
        <v>0</v>
      </c>
      <c r="D10" s="15">
        <v>186.7</v>
      </c>
      <c r="E10" s="15">
        <v>76.8</v>
      </c>
      <c r="F10" s="16">
        <v>63.4</v>
      </c>
      <c r="G10" s="19" t="str">
        <f>TEXT(Table4_137[[#This Row],[date]], "hh:mm")</f>
        <v>16:30</v>
      </c>
      <c r="H10" s="25" t="str">
        <f t="shared" si="0"/>
        <v/>
      </c>
      <c r="I10" s="22"/>
    </row>
    <row r="11" spans="1:9">
      <c r="A11" s="13">
        <v>45849.708333333336</v>
      </c>
      <c r="B11" s="14">
        <v>-300.85000000000002</v>
      </c>
      <c r="C11" s="15">
        <v>0</v>
      </c>
      <c r="D11" s="15">
        <v>279.3</v>
      </c>
      <c r="E11" s="15">
        <v>506.54</v>
      </c>
      <c r="F11" s="16">
        <v>100.59</v>
      </c>
      <c r="G11" s="19" t="str">
        <f>TEXT(Table4_137[[#This Row],[date]], "hh:mm")</f>
        <v>17:00</v>
      </c>
      <c r="H11" s="25" t="str">
        <f t="shared" si="0"/>
        <v/>
      </c>
      <c r="I11" s="22"/>
    </row>
    <row r="12" spans="1:9">
      <c r="A12" s="13">
        <v>45849.729166666664</v>
      </c>
      <c r="B12" s="14">
        <v>-60.4</v>
      </c>
      <c r="C12" s="15">
        <v>0</v>
      </c>
      <c r="D12" s="15">
        <v>202.42</v>
      </c>
      <c r="E12" s="15">
        <v>692.02</v>
      </c>
      <c r="F12" s="16">
        <v>135.19999999999999</v>
      </c>
      <c r="G12" s="19" t="str">
        <f>TEXT(Table4_137[[#This Row],[date]], "hh:mm")</f>
        <v>17:30</v>
      </c>
      <c r="H12" s="25" t="str">
        <f t="shared" si="0"/>
        <v/>
      </c>
      <c r="I12" s="22"/>
    </row>
    <row r="13" spans="1:9">
      <c r="A13" s="13">
        <v>45849.75</v>
      </c>
      <c r="B13" s="14">
        <v>-2.2799999999999998</v>
      </c>
      <c r="C13" s="15">
        <v>0</v>
      </c>
      <c r="D13" s="15">
        <v>204.59</v>
      </c>
      <c r="E13" s="15">
        <v>993.21</v>
      </c>
      <c r="F13" s="16">
        <v>163.44999999999999</v>
      </c>
      <c r="G13" s="19" t="str">
        <f>TEXT(Table4_137[[#This Row],[date]], "hh:mm")</f>
        <v>18:00</v>
      </c>
      <c r="H13" s="25" t="str">
        <f t="shared" si="0"/>
        <v/>
      </c>
      <c r="I13" s="22"/>
    </row>
    <row r="14" spans="1:9">
      <c r="A14" s="13">
        <v>45849.770833333336</v>
      </c>
      <c r="B14" s="14">
        <v>-2.2000000000000002</v>
      </c>
      <c r="C14" s="15">
        <v>0</v>
      </c>
      <c r="D14" s="15">
        <v>254.8</v>
      </c>
      <c r="E14" s="15">
        <v>941.37</v>
      </c>
      <c r="F14" s="16">
        <v>129.05000000000001</v>
      </c>
      <c r="G14" s="19" t="str">
        <f>TEXT(Table4_137[[#This Row],[date]], "hh:mm")</f>
        <v>18:30</v>
      </c>
      <c r="H14" s="25" t="str">
        <f t="shared" si="0"/>
        <v/>
      </c>
      <c r="I14" s="22"/>
    </row>
    <row r="15" spans="1:9">
      <c r="A15" s="13">
        <v>45849.791666666664</v>
      </c>
      <c r="B15" s="14">
        <v>-3.18</v>
      </c>
      <c r="C15" s="15">
        <v>0</v>
      </c>
      <c r="D15" s="15">
        <v>132.97999999999999</v>
      </c>
      <c r="E15" s="15">
        <v>961.9</v>
      </c>
      <c r="F15" s="16">
        <v>133.6</v>
      </c>
      <c r="G15" s="19" t="str">
        <f>TEXT(Table4_137[[#This Row],[date]], "hh:mm")</f>
        <v>19:00</v>
      </c>
      <c r="H15" s="25" t="str">
        <f t="shared" si="0"/>
        <v/>
      </c>
      <c r="I15" s="22"/>
    </row>
    <row r="16" spans="1:9">
      <c r="A16" s="13">
        <v>45849.8125</v>
      </c>
      <c r="B16" s="14">
        <v>-4.08</v>
      </c>
      <c r="C16" s="15">
        <v>0</v>
      </c>
      <c r="D16" s="15">
        <v>61.78</v>
      </c>
      <c r="E16" s="15">
        <v>967.99</v>
      </c>
      <c r="F16" s="16">
        <v>123.74</v>
      </c>
      <c r="G16" s="19" t="str">
        <f>TEXT(Table4_137[[#This Row],[date]], "hh:mm")</f>
        <v>19:30</v>
      </c>
      <c r="H16" s="25" t="str">
        <f t="shared" si="0"/>
        <v/>
      </c>
      <c r="I16" s="22"/>
    </row>
    <row r="17" spans="1:9">
      <c r="A17" s="13">
        <v>45849.833333333336</v>
      </c>
      <c r="B17" s="14">
        <v>-1.94</v>
      </c>
      <c r="C17" s="15">
        <v>0</v>
      </c>
      <c r="D17" s="15">
        <v>51.27</v>
      </c>
      <c r="E17" s="15">
        <v>963.75</v>
      </c>
      <c r="F17" s="16">
        <v>111.94</v>
      </c>
      <c r="G17" s="19" t="str">
        <f>TEXT(Table4_137[[#This Row],[date]], "hh:mm")</f>
        <v>20:00</v>
      </c>
      <c r="H17" s="25" t="str">
        <f t="shared" si="0"/>
        <v/>
      </c>
      <c r="I17" s="22"/>
    </row>
    <row r="18" spans="1:9">
      <c r="A18" s="13">
        <v>45849.854166666664</v>
      </c>
      <c r="B18" s="14">
        <v>-3.76</v>
      </c>
      <c r="C18" s="15">
        <v>0</v>
      </c>
      <c r="D18" s="15">
        <v>4.51</v>
      </c>
      <c r="E18" s="15">
        <v>940.19</v>
      </c>
      <c r="F18" s="16">
        <v>96.23</v>
      </c>
      <c r="G18" s="19" t="str">
        <f>TEXT(Table4_137[[#This Row],[date]], "hh:mm")</f>
        <v>20:30</v>
      </c>
      <c r="H18" s="25" t="str">
        <f t="shared" si="0"/>
        <v/>
      </c>
      <c r="I18" s="22"/>
    </row>
    <row r="19" spans="1:9">
      <c r="A19" s="13">
        <v>45849.875</v>
      </c>
      <c r="B19" s="14">
        <v>-4.08</v>
      </c>
      <c r="C19" s="15">
        <v>0</v>
      </c>
      <c r="D19" s="15">
        <v>6.95</v>
      </c>
      <c r="E19" s="15">
        <v>890.52</v>
      </c>
      <c r="F19" s="16">
        <v>96.52</v>
      </c>
      <c r="G19" s="19" t="str">
        <f>TEXT(Table4_137[[#This Row],[date]], "hh:mm")</f>
        <v>21:00</v>
      </c>
      <c r="H19" s="25" t="str">
        <f t="shared" si="0"/>
        <v/>
      </c>
      <c r="I19" s="22"/>
    </row>
    <row r="20" spans="1:9">
      <c r="A20" s="13">
        <v>45849.895833333336</v>
      </c>
      <c r="B20" s="14">
        <v>-4.13</v>
      </c>
      <c r="C20" s="15">
        <v>0</v>
      </c>
      <c r="D20" s="15">
        <v>2.73</v>
      </c>
      <c r="E20" s="15">
        <v>579.07000000000005</v>
      </c>
      <c r="F20" s="16">
        <v>106.16</v>
      </c>
      <c r="G20" s="19" t="str">
        <f>TEXT(Table4_137[[#This Row],[date]], "hh:mm")</f>
        <v>21:30</v>
      </c>
      <c r="H20" s="25" t="str">
        <f t="shared" si="0"/>
        <v/>
      </c>
      <c r="I20" s="22"/>
    </row>
    <row r="21" spans="1:9">
      <c r="A21" s="13">
        <v>45849.916666666664</v>
      </c>
      <c r="B21" s="14">
        <v>-3.78</v>
      </c>
      <c r="C21" s="15">
        <v>0</v>
      </c>
      <c r="D21" s="15">
        <v>0.04</v>
      </c>
      <c r="E21" s="15">
        <v>453.65</v>
      </c>
      <c r="F21" s="16">
        <v>100.01</v>
      </c>
      <c r="G21" s="19" t="str">
        <f>TEXT(Table4_137[[#This Row],[date]], "hh:mm")</f>
        <v>22:00</v>
      </c>
      <c r="H21" s="25" t="str">
        <f t="shared" si="0"/>
        <v/>
      </c>
      <c r="I21" s="22"/>
    </row>
    <row r="22" spans="1:9">
      <c r="A22" s="13">
        <v>45849.9375</v>
      </c>
      <c r="B22" s="14">
        <v>-3.23</v>
      </c>
      <c r="C22" s="15">
        <v>0</v>
      </c>
      <c r="D22" s="15">
        <v>13.33</v>
      </c>
      <c r="E22" s="15">
        <v>419</v>
      </c>
      <c r="F22" s="16">
        <v>100.01</v>
      </c>
      <c r="G22" s="19" t="str">
        <f>TEXT(Table4_137[[#This Row],[date]], "hh:mm")</f>
        <v>22:30</v>
      </c>
      <c r="H22" s="25" t="str">
        <f t="shared" si="0"/>
        <v/>
      </c>
      <c r="I22" s="22"/>
    </row>
    <row r="23" spans="1:9">
      <c r="A23" s="13">
        <v>45849.958333333336</v>
      </c>
      <c r="B23" s="14">
        <v>-3.47</v>
      </c>
      <c r="C23" s="15">
        <v>0</v>
      </c>
      <c r="D23" s="15">
        <v>8.36</v>
      </c>
      <c r="E23" s="15">
        <v>426.01</v>
      </c>
      <c r="F23" s="16">
        <v>100.01</v>
      </c>
      <c r="G23" s="19" t="str">
        <f>TEXT(Table4_137[[#This Row],[date]], "hh:mm")</f>
        <v>23:00</v>
      </c>
      <c r="H23" s="25" t="str">
        <f t="shared" si="0"/>
        <v/>
      </c>
      <c r="I23" s="22"/>
    </row>
    <row r="24" spans="1:9">
      <c r="A24" s="13">
        <v>45849.979166666664</v>
      </c>
      <c r="B24" s="14">
        <v>-8.66</v>
      </c>
      <c r="C24" s="15">
        <v>0</v>
      </c>
      <c r="D24" s="15">
        <v>4.6500000000000004</v>
      </c>
      <c r="E24" s="15">
        <v>266.63</v>
      </c>
      <c r="F24" s="16">
        <v>99.24</v>
      </c>
      <c r="G24" s="19" t="str">
        <f>TEXT(Table4_137[[#This Row],[date]], "hh:mm")</f>
        <v>23:30</v>
      </c>
      <c r="H24" s="25" t="str">
        <f t="shared" si="0"/>
        <v/>
      </c>
      <c r="I24" s="22"/>
    </row>
    <row r="25" spans="1:9">
      <c r="A25" s="13">
        <v>45850</v>
      </c>
      <c r="B25" s="14">
        <v>-5.73</v>
      </c>
      <c r="C25" s="15">
        <v>0</v>
      </c>
      <c r="D25" s="15">
        <v>5.28</v>
      </c>
      <c r="E25" s="15">
        <v>368.5</v>
      </c>
      <c r="F25" s="16">
        <v>88.25</v>
      </c>
      <c r="G25" s="19" t="str">
        <f>TEXT(Table4_137[[#This Row],[date]], "hh:mm")</f>
        <v>00:00</v>
      </c>
      <c r="H25" s="25" t="str">
        <f t="shared" si="0"/>
        <v>12 Jul</v>
      </c>
      <c r="I25" s="22"/>
    </row>
    <row r="26" spans="1:9">
      <c r="A26" s="13">
        <v>45850.020833333336</v>
      </c>
      <c r="B26" s="14">
        <v>-2.97</v>
      </c>
      <c r="C26" s="15">
        <v>0</v>
      </c>
      <c r="D26" s="15">
        <v>5.2</v>
      </c>
      <c r="E26" s="15">
        <v>550.14</v>
      </c>
      <c r="F26" s="16">
        <v>78.92</v>
      </c>
      <c r="G26" s="19" t="str">
        <f>TEXT(Table4_137[[#This Row],[date]], "hh:mm")</f>
        <v>00:30</v>
      </c>
      <c r="H26" s="25" t="str">
        <f t="shared" si="0"/>
        <v/>
      </c>
      <c r="I26" s="22"/>
    </row>
    <row r="27" spans="1:9">
      <c r="A27" s="13">
        <v>45850.041666666664</v>
      </c>
      <c r="B27" s="14">
        <v>-6.6</v>
      </c>
      <c r="C27" s="15">
        <v>0</v>
      </c>
      <c r="D27" s="15">
        <v>1.08</v>
      </c>
      <c r="E27" s="15">
        <v>554.45000000000005</v>
      </c>
      <c r="F27" s="16">
        <v>80.59</v>
      </c>
      <c r="G27" s="19" t="str">
        <f>TEXT(Table4_137[[#This Row],[date]], "hh:mm")</f>
        <v>01:00</v>
      </c>
      <c r="H27" s="25" t="str">
        <f t="shared" si="0"/>
        <v/>
      </c>
      <c r="I27" s="22"/>
    </row>
    <row r="28" spans="1:9">
      <c r="A28" s="13">
        <v>45850.0625</v>
      </c>
      <c r="B28" s="14">
        <v>-6.97</v>
      </c>
      <c r="C28" s="15">
        <v>0</v>
      </c>
      <c r="D28" s="15">
        <v>2.64</v>
      </c>
      <c r="E28" s="15">
        <v>345.43</v>
      </c>
      <c r="F28" s="16">
        <v>82.29</v>
      </c>
      <c r="G28" s="19" t="str">
        <f>TEXT(Table4_137[[#This Row],[date]], "hh:mm")</f>
        <v>01:30</v>
      </c>
      <c r="H28" s="25" t="str">
        <f t="shared" si="0"/>
        <v/>
      </c>
      <c r="I28" s="22"/>
    </row>
    <row r="29" spans="1:9">
      <c r="A29" s="13">
        <v>45850.083333333336</v>
      </c>
      <c r="B29" s="14">
        <v>-12.24</v>
      </c>
      <c r="C29" s="15">
        <v>0</v>
      </c>
      <c r="D29" s="15">
        <v>3.17</v>
      </c>
      <c r="E29" s="15">
        <v>245.01</v>
      </c>
      <c r="F29" s="16">
        <v>80.709999999999994</v>
      </c>
      <c r="G29" s="19" t="str">
        <f>TEXT(Table4_137[[#This Row],[date]], "hh:mm")</f>
        <v>02:00</v>
      </c>
      <c r="H29" s="25" t="str">
        <f t="shared" si="0"/>
        <v/>
      </c>
      <c r="I29" s="22"/>
    </row>
    <row r="30" spans="1:9">
      <c r="A30" s="13">
        <v>45850.104166666664</v>
      </c>
      <c r="B30" s="14">
        <v>-38.869999999999997</v>
      </c>
      <c r="C30" s="15">
        <v>0</v>
      </c>
      <c r="D30" s="15">
        <v>2.41</v>
      </c>
      <c r="E30" s="15">
        <v>268.77</v>
      </c>
      <c r="F30" s="16">
        <v>84.85</v>
      </c>
      <c r="G30" s="19" t="str">
        <f>TEXT(Table4_137[[#This Row],[date]], "hh:mm")</f>
        <v>02:30</v>
      </c>
      <c r="H30" s="25" t="str">
        <f t="shared" si="0"/>
        <v/>
      </c>
      <c r="I30" s="22"/>
    </row>
    <row r="31" spans="1:9">
      <c r="A31" s="13">
        <v>45850.125</v>
      </c>
      <c r="B31" s="14">
        <v>-43.54</v>
      </c>
      <c r="C31" s="15">
        <v>0</v>
      </c>
      <c r="D31" s="15">
        <v>2.5499999999999998</v>
      </c>
      <c r="E31" s="15">
        <v>154.43</v>
      </c>
      <c r="F31" s="16">
        <v>79.08</v>
      </c>
      <c r="G31" s="19" t="str">
        <f>TEXT(Table4_137[[#This Row],[date]], "hh:mm")</f>
        <v>03:00</v>
      </c>
      <c r="H31" s="25" t="str">
        <f t="shared" si="0"/>
        <v/>
      </c>
      <c r="I31" s="22"/>
    </row>
    <row r="32" spans="1:9">
      <c r="A32" s="13">
        <v>45850.145833333336</v>
      </c>
      <c r="B32" s="14">
        <v>-51.93</v>
      </c>
      <c r="C32" s="15">
        <v>0</v>
      </c>
      <c r="D32" s="15">
        <v>0</v>
      </c>
      <c r="E32" s="15">
        <v>146.91999999999999</v>
      </c>
      <c r="F32" s="16">
        <v>84.85</v>
      </c>
      <c r="G32" s="19" t="str">
        <f>TEXT(Table4_137[[#This Row],[date]], "hh:mm")</f>
        <v>03:30</v>
      </c>
      <c r="H32" s="25" t="str">
        <f t="shared" si="0"/>
        <v/>
      </c>
      <c r="I32" s="22"/>
    </row>
    <row r="33" spans="1:18">
      <c r="A33" s="13">
        <v>45850.166666666664</v>
      </c>
      <c r="B33" s="14">
        <v>-30.81</v>
      </c>
      <c r="C33" s="15">
        <v>0</v>
      </c>
      <c r="D33" s="15">
        <v>0.73</v>
      </c>
      <c r="E33" s="15">
        <v>151.85</v>
      </c>
      <c r="F33" s="16">
        <v>84.85</v>
      </c>
      <c r="G33" s="19" t="str">
        <f>TEXT(Table4_137[[#This Row],[date]], "hh:mm")</f>
        <v>04:00</v>
      </c>
      <c r="H33" s="25" t="str">
        <f t="shared" si="0"/>
        <v/>
      </c>
      <c r="I33" s="22"/>
      <c r="R33" s="6"/>
    </row>
    <row r="34" spans="1:18">
      <c r="A34" s="13">
        <v>45850.1875</v>
      </c>
      <c r="B34" s="14">
        <v>-3.04</v>
      </c>
      <c r="C34" s="15">
        <v>0</v>
      </c>
      <c r="D34" s="15">
        <v>1.2</v>
      </c>
      <c r="E34" s="15">
        <v>161.01</v>
      </c>
      <c r="F34" s="16">
        <v>85.11</v>
      </c>
      <c r="G34" s="19" t="str">
        <f>TEXT(Table4_137[[#This Row],[date]], "hh:mm")</f>
        <v>04:30</v>
      </c>
      <c r="H34" s="25" t="str">
        <f t="shared" si="0"/>
        <v/>
      </c>
      <c r="I34" s="22"/>
    </row>
    <row r="35" spans="1:18">
      <c r="A35" s="13">
        <v>45850.208333333336</v>
      </c>
      <c r="B35" s="14">
        <v>-3.4</v>
      </c>
      <c r="C35" s="15">
        <v>0</v>
      </c>
      <c r="D35" s="15">
        <v>5.23</v>
      </c>
      <c r="E35" s="15">
        <v>165.47</v>
      </c>
      <c r="F35" s="16">
        <v>84.85</v>
      </c>
      <c r="G35" s="19" t="str">
        <f>TEXT(Table4_137[[#This Row],[date]], "hh:mm")</f>
        <v>05:00</v>
      </c>
      <c r="H35" s="25" t="str">
        <f t="shared" si="0"/>
        <v/>
      </c>
      <c r="I35" s="22"/>
    </row>
    <row r="36" spans="1:18">
      <c r="A36" s="13">
        <v>45850.229166666664</v>
      </c>
      <c r="B36" s="14">
        <v>-3.83</v>
      </c>
      <c r="C36" s="15">
        <v>0</v>
      </c>
      <c r="D36" s="15">
        <v>5.26</v>
      </c>
      <c r="E36" s="15">
        <v>246.49</v>
      </c>
      <c r="F36" s="16">
        <v>91.72</v>
      </c>
      <c r="G36" s="19" t="str">
        <f>TEXT(Table4_137[[#This Row],[date]], "hh:mm")</f>
        <v>05:30</v>
      </c>
      <c r="H36" s="25" t="str">
        <f t="shared" si="0"/>
        <v/>
      </c>
      <c r="I36" s="22"/>
    </row>
    <row r="37" spans="1:18">
      <c r="A37" s="13">
        <v>45850.25</v>
      </c>
      <c r="B37" s="14">
        <v>-2.94</v>
      </c>
      <c r="C37" s="15">
        <v>0</v>
      </c>
      <c r="D37" s="15">
        <v>7.77</v>
      </c>
      <c r="E37" s="15">
        <v>455.65</v>
      </c>
      <c r="F37" s="16">
        <v>96.72</v>
      </c>
      <c r="G37" s="19" t="str">
        <f>TEXT(Table4_137[[#This Row],[date]], "hh:mm")</f>
        <v>06:00</v>
      </c>
      <c r="H37" s="25" t="str">
        <f t="shared" si="0"/>
        <v/>
      </c>
      <c r="I37" s="22"/>
    </row>
    <row r="38" spans="1:18">
      <c r="A38" s="13">
        <v>45850.270833333336</v>
      </c>
      <c r="B38" s="14">
        <v>-4.3</v>
      </c>
      <c r="C38" s="15">
        <v>0</v>
      </c>
      <c r="D38" s="15">
        <v>113.87</v>
      </c>
      <c r="E38" s="15">
        <v>576.05999999999995</v>
      </c>
      <c r="F38" s="16">
        <v>108.08</v>
      </c>
      <c r="G38" s="19" t="str">
        <f>TEXT(Table4_137[[#This Row],[date]], "hh:mm")</f>
        <v>06:30</v>
      </c>
      <c r="H38" s="25" t="str">
        <f t="shared" si="0"/>
        <v/>
      </c>
      <c r="I38" s="22"/>
    </row>
    <row r="39" spans="1:18">
      <c r="A39" s="13">
        <v>45850.291666666664</v>
      </c>
      <c r="B39" s="14">
        <v>-3.38</v>
      </c>
      <c r="C39" s="15">
        <v>0</v>
      </c>
      <c r="D39" s="15">
        <v>144.33000000000001</v>
      </c>
      <c r="E39" s="15">
        <v>649.33000000000004</v>
      </c>
      <c r="F39" s="16">
        <v>138.79</v>
      </c>
      <c r="G39" s="19" t="str">
        <f>TEXT(Table4_137[[#This Row],[date]], "hh:mm")</f>
        <v>07:00</v>
      </c>
      <c r="H39" s="25" t="str">
        <f t="shared" si="0"/>
        <v/>
      </c>
      <c r="I39" s="22"/>
    </row>
    <row r="40" spans="1:18">
      <c r="A40" s="13">
        <v>45850.3125</v>
      </c>
      <c r="B40" s="14">
        <v>-3.76</v>
      </c>
      <c r="C40" s="15">
        <v>0</v>
      </c>
      <c r="D40" s="15">
        <v>142.56</v>
      </c>
      <c r="E40" s="15">
        <v>674.62</v>
      </c>
      <c r="F40" s="16">
        <v>144.01</v>
      </c>
      <c r="G40" s="19" t="str">
        <f>TEXT(Table4_137[[#This Row],[date]], "hh:mm")</f>
        <v>07:30</v>
      </c>
      <c r="H40" s="25" t="str">
        <f t="shared" si="0"/>
        <v/>
      </c>
      <c r="I40" s="22"/>
    </row>
    <row r="41" spans="1:18">
      <c r="A41" s="13">
        <v>45850.333333333336</v>
      </c>
      <c r="B41" s="14">
        <v>-4.1900000000000004</v>
      </c>
      <c r="C41" s="15">
        <v>0</v>
      </c>
      <c r="D41" s="15">
        <v>58.45</v>
      </c>
      <c r="E41" s="15">
        <v>649.25</v>
      </c>
      <c r="F41" s="16">
        <v>178</v>
      </c>
      <c r="G41" s="19" t="str">
        <f>TEXT(Table4_137[[#This Row],[date]], "hh:mm")</f>
        <v>08:00</v>
      </c>
      <c r="H41" s="25" t="str">
        <f t="shared" si="0"/>
        <v/>
      </c>
      <c r="I41" s="22"/>
    </row>
    <row r="42" spans="1:18">
      <c r="A42" s="13">
        <v>45850.354166666664</v>
      </c>
      <c r="B42" s="14">
        <v>-9.08</v>
      </c>
      <c r="C42" s="15">
        <v>0</v>
      </c>
      <c r="D42" s="15">
        <v>21.3</v>
      </c>
      <c r="E42" s="15">
        <v>506.13</v>
      </c>
      <c r="F42" s="16">
        <v>127.56</v>
      </c>
      <c r="G42" s="19" t="str">
        <f>TEXT(Table4_137[[#This Row],[date]], "hh:mm")</f>
        <v>08:30</v>
      </c>
      <c r="H42" s="25" t="str">
        <f t="shared" si="0"/>
        <v/>
      </c>
      <c r="I42" s="22"/>
    </row>
    <row r="43" spans="1:18">
      <c r="A43" s="13">
        <v>45850.375</v>
      </c>
      <c r="B43" s="14">
        <v>-10</v>
      </c>
      <c r="C43" s="15">
        <v>0</v>
      </c>
      <c r="D43" s="15">
        <v>2.87</v>
      </c>
      <c r="E43" s="15">
        <v>251.97</v>
      </c>
      <c r="F43" s="16">
        <v>100.01</v>
      </c>
      <c r="G43" s="19" t="str">
        <f>TEXT(Table4_137[[#This Row],[date]], "hh:mm")</f>
        <v>09:00</v>
      </c>
      <c r="H43" s="25" t="str">
        <f t="shared" si="0"/>
        <v/>
      </c>
      <c r="I43" s="22"/>
    </row>
    <row r="44" spans="1:18">
      <c r="A44" s="13">
        <v>45850.395833333336</v>
      </c>
      <c r="B44" s="14">
        <v>-8.0299999999999994</v>
      </c>
      <c r="C44" s="15">
        <v>0</v>
      </c>
      <c r="D44" s="15">
        <v>14.61</v>
      </c>
      <c r="E44" s="15">
        <v>162.88</v>
      </c>
      <c r="F44" s="16">
        <v>100.01</v>
      </c>
      <c r="G44" s="19" t="str">
        <f>TEXT(Table4_137[[#This Row],[date]], "hh:mm")</f>
        <v>09:30</v>
      </c>
      <c r="H44" s="25" t="str">
        <f t="shared" si="0"/>
        <v/>
      </c>
      <c r="I44" s="22"/>
    </row>
    <row r="45" spans="1:18">
      <c r="A45" s="13">
        <v>45850.416666666664</v>
      </c>
      <c r="B45" s="14">
        <v>-106.11</v>
      </c>
      <c r="C45" s="15">
        <v>0</v>
      </c>
      <c r="D45" s="15">
        <v>4.43</v>
      </c>
      <c r="E45" s="15">
        <v>22.68</v>
      </c>
      <c r="F45" s="16">
        <v>84.85</v>
      </c>
      <c r="G45" s="19" t="str">
        <f>TEXT(Table4_137[[#This Row],[date]], "hh:mm")</f>
        <v>10:00</v>
      </c>
      <c r="H45" s="25" t="str">
        <f t="shared" si="0"/>
        <v/>
      </c>
      <c r="I45" s="22"/>
    </row>
    <row r="46" spans="1:18">
      <c r="A46" s="13">
        <v>45850.4375</v>
      </c>
      <c r="B46" s="14">
        <v>-201.76</v>
      </c>
      <c r="C46" s="15">
        <v>0</v>
      </c>
      <c r="D46" s="15">
        <v>0.02</v>
      </c>
      <c r="E46" s="15">
        <v>0</v>
      </c>
      <c r="F46" s="16">
        <v>8.01</v>
      </c>
      <c r="G46" s="19" t="str">
        <f>TEXT(Table4_137[[#This Row],[date]], "hh:mm")</f>
        <v>10:30</v>
      </c>
      <c r="H46" s="25" t="str">
        <f t="shared" si="0"/>
        <v/>
      </c>
      <c r="I46" s="22"/>
    </row>
    <row r="47" spans="1:18">
      <c r="A47" s="13">
        <v>45850.458333333336</v>
      </c>
      <c r="B47" s="14">
        <v>-318.83</v>
      </c>
      <c r="C47" s="15">
        <v>-83.29</v>
      </c>
      <c r="D47" s="15">
        <v>0</v>
      </c>
      <c r="E47" s="15">
        <v>0</v>
      </c>
      <c r="F47" s="16">
        <v>5</v>
      </c>
      <c r="G47" s="19" t="str">
        <f>TEXT(Table4_137[[#This Row],[date]], "hh:mm")</f>
        <v>11:00</v>
      </c>
      <c r="H47" s="25" t="str">
        <f t="shared" si="0"/>
        <v/>
      </c>
      <c r="I47" s="22"/>
    </row>
    <row r="48" spans="1:18">
      <c r="A48" s="13">
        <v>45850.479166666664</v>
      </c>
      <c r="B48" s="14">
        <v>-358.97</v>
      </c>
      <c r="C48" s="15">
        <v>-285.31</v>
      </c>
      <c r="D48" s="15">
        <v>0.54</v>
      </c>
      <c r="E48" s="15">
        <v>0</v>
      </c>
      <c r="F48" s="16">
        <v>-8.9499999999999993</v>
      </c>
      <c r="G48" s="19" t="str">
        <f>TEXT(Table4_137[[#This Row],[date]], "hh:mm")</f>
        <v>11:30</v>
      </c>
      <c r="H48" s="25" t="str">
        <f t="shared" si="0"/>
        <v/>
      </c>
      <c r="I48" s="22"/>
    </row>
    <row r="49" spans="1:9">
      <c r="A49" s="13">
        <v>45850.5</v>
      </c>
      <c r="B49" s="14">
        <v>-405.98</v>
      </c>
      <c r="C49" s="15">
        <v>-481.08</v>
      </c>
      <c r="D49" s="15">
        <v>0.08</v>
      </c>
      <c r="E49" s="15">
        <v>0</v>
      </c>
      <c r="F49" s="16">
        <v>-14.01</v>
      </c>
      <c r="G49" s="19" t="str">
        <f>TEXT(Table4_137[[#This Row],[date]], "hh:mm")</f>
        <v>12:00</v>
      </c>
      <c r="H49" s="25" t="str">
        <f t="shared" si="0"/>
        <v/>
      </c>
      <c r="I49" s="22"/>
    </row>
    <row r="50" spans="1:9">
      <c r="A50" s="13">
        <v>45850.520833333336</v>
      </c>
      <c r="B50" s="14">
        <v>-345.19</v>
      </c>
      <c r="C50" s="15">
        <v>-658.89</v>
      </c>
      <c r="D50" s="15">
        <v>0.92</v>
      </c>
      <c r="E50" s="15">
        <v>0</v>
      </c>
      <c r="F50" s="16">
        <v>-22.01</v>
      </c>
      <c r="G50" s="19" t="str">
        <f>TEXT(Table4_137[[#This Row],[date]], "hh:mm")</f>
        <v>12:30</v>
      </c>
      <c r="H50" s="25" t="str">
        <f t="shared" si="0"/>
        <v/>
      </c>
      <c r="I50" s="22"/>
    </row>
    <row r="51" spans="1:9">
      <c r="A51" s="13">
        <v>45850.541666666664</v>
      </c>
      <c r="B51" s="14">
        <v>-267.83999999999997</v>
      </c>
      <c r="C51" s="15">
        <v>-660.31</v>
      </c>
      <c r="D51" s="15">
        <v>1.02</v>
      </c>
      <c r="E51" s="15">
        <v>0</v>
      </c>
      <c r="F51" s="16">
        <v>-18</v>
      </c>
      <c r="G51" s="19" t="str">
        <f>TEXT(Table4_137[[#This Row],[date]], "hh:mm")</f>
        <v>13:00</v>
      </c>
      <c r="H51" s="25" t="str">
        <f t="shared" si="0"/>
        <v/>
      </c>
      <c r="I51" s="22"/>
    </row>
    <row r="52" spans="1:9">
      <c r="A52" s="13">
        <v>45850.5625</v>
      </c>
      <c r="B52" s="14">
        <v>-223.94</v>
      </c>
      <c r="C52" s="15">
        <v>-659.22</v>
      </c>
      <c r="D52" s="15">
        <v>1.95</v>
      </c>
      <c r="E52" s="15">
        <v>0</v>
      </c>
      <c r="F52" s="16">
        <v>-14.01</v>
      </c>
      <c r="G52" s="19" t="str">
        <f>TEXT(Table4_137[[#This Row],[date]], "hh:mm")</f>
        <v>13:30</v>
      </c>
      <c r="H52" s="25" t="str">
        <f t="shared" si="0"/>
        <v/>
      </c>
      <c r="I52" s="22"/>
    </row>
    <row r="53" spans="1:9">
      <c r="A53" s="13">
        <v>45850.583333333336</v>
      </c>
      <c r="B53" s="14">
        <v>-91.91</v>
      </c>
      <c r="C53" s="15">
        <v>-659.99</v>
      </c>
      <c r="D53" s="15">
        <v>2.19</v>
      </c>
      <c r="E53" s="15">
        <v>0</v>
      </c>
      <c r="F53" s="16">
        <v>-14.01</v>
      </c>
      <c r="G53" s="19" t="str">
        <f>TEXT(Table4_137[[#This Row],[date]], "hh:mm")</f>
        <v>14:00</v>
      </c>
      <c r="H53" s="25" t="str">
        <f t="shared" si="0"/>
        <v/>
      </c>
      <c r="I53" s="22"/>
    </row>
    <row r="54" spans="1:9">
      <c r="A54" s="13">
        <v>45850.604166666664</v>
      </c>
      <c r="B54" s="14">
        <v>-23.34</v>
      </c>
      <c r="C54" s="15">
        <v>-659.91</v>
      </c>
      <c r="D54" s="15">
        <v>3.43</v>
      </c>
      <c r="E54" s="15">
        <v>0</v>
      </c>
      <c r="F54" s="16">
        <v>-8.91</v>
      </c>
      <c r="G54" s="19" t="str">
        <f>TEXT(Table4_137[[#This Row],[date]], "hh:mm")</f>
        <v>14:30</v>
      </c>
      <c r="H54" s="25" t="str">
        <f t="shared" si="0"/>
        <v/>
      </c>
      <c r="I54" s="22"/>
    </row>
    <row r="55" spans="1:9">
      <c r="A55" s="13">
        <v>45850.625</v>
      </c>
      <c r="B55" s="14">
        <v>-5.71</v>
      </c>
      <c r="C55" s="15">
        <v>-628.64</v>
      </c>
      <c r="D55" s="15">
        <v>7.54</v>
      </c>
      <c r="E55" s="15">
        <v>0</v>
      </c>
      <c r="F55" s="16">
        <v>9.06</v>
      </c>
      <c r="G55" s="19" t="str">
        <f>TEXT(Table4_137[[#This Row],[date]], "hh:mm")</f>
        <v>15:00</v>
      </c>
      <c r="H55" s="25" t="str">
        <f t="shared" si="0"/>
        <v/>
      </c>
      <c r="I55" s="22"/>
    </row>
    <row r="56" spans="1:9">
      <c r="A56" s="13">
        <v>45850.645833333336</v>
      </c>
      <c r="B56" s="14">
        <v>-10.58</v>
      </c>
      <c r="C56" s="15">
        <v>-304.86</v>
      </c>
      <c r="D56" s="15">
        <v>7.59</v>
      </c>
      <c r="E56" s="15">
        <v>0</v>
      </c>
      <c r="F56" s="16">
        <v>35.880000000000003</v>
      </c>
      <c r="G56" s="19" t="str">
        <f>TEXT(Table4_137[[#This Row],[date]], "hh:mm")</f>
        <v>15:30</v>
      </c>
      <c r="H56" s="25" t="str">
        <f t="shared" si="0"/>
        <v/>
      </c>
      <c r="I56" s="22"/>
    </row>
    <row r="57" spans="1:9">
      <c r="A57" s="13">
        <v>45850.666666666664</v>
      </c>
      <c r="B57" s="14">
        <v>-3.08</v>
      </c>
      <c r="C57" s="15">
        <v>-67.099999999999994</v>
      </c>
      <c r="D57" s="15">
        <v>9.9700000000000006</v>
      </c>
      <c r="E57" s="15">
        <v>0</v>
      </c>
      <c r="F57" s="16">
        <v>51.95</v>
      </c>
      <c r="G57" s="19" t="str">
        <f>TEXT(Table4_137[[#This Row],[date]], "hh:mm")</f>
        <v>16:00</v>
      </c>
      <c r="H57" s="25" t="str">
        <f t="shared" si="0"/>
        <v/>
      </c>
      <c r="I57" s="22"/>
    </row>
    <row r="58" spans="1:9">
      <c r="A58" s="13">
        <v>45850.6875</v>
      </c>
      <c r="B58" s="14">
        <v>-2</v>
      </c>
      <c r="C58" s="15">
        <v>0</v>
      </c>
      <c r="D58" s="15">
        <v>229.5</v>
      </c>
      <c r="E58" s="15">
        <v>148.13</v>
      </c>
      <c r="F58" s="16">
        <v>140.01</v>
      </c>
      <c r="G58" s="19" t="str">
        <f>TEXT(Table4_137[[#This Row],[date]], "hh:mm")</f>
        <v>16:30</v>
      </c>
      <c r="H58" s="25" t="str">
        <f t="shared" si="0"/>
        <v/>
      </c>
      <c r="I58" s="22"/>
    </row>
    <row r="59" spans="1:9">
      <c r="A59" s="13">
        <v>45850.708333333336</v>
      </c>
      <c r="B59" s="14">
        <v>-1.59</v>
      </c>
      <c r="C59" s="15">
        <v>0</v>
      </c>
      <c r="D59" s="15">
        <v>393.4</v>
      </c>
      <c r="E59" s="15">
        <v>671.58</v>
      </c>
      <c r="F59" s="16">
        <v>191.18</v>
      </c>
      <c r="G59" s="19" t="str">
        <f>TEXT(Table4_137[[#This Row],[date]], "hh:mm")</f>
        <v>17:00</v>
      </c>
      <c r="H59" s="25" t="str">
        <f t="shared" si="0"/>
        <v/>
      </c>
      <c r="I59" s="22"/>
    </row>
    <row r="60" spans="1:9">
      <c r="A60" s="13">
        <v>45850.729166666664</v>
      </c>
      <c r="B60" s="14">
        <v>-1.51</v>
      </c>
      <c r="C60" s="15">
        <v>0</v>
      </c>
      <c r="D60" s="15">
        <v>444.85</v>
      </c>
      <c r="E60" s="15">
        <v>900.46</v>
      </c>
      <c r="F60" s="16">
        <v>186.38</v>
      </c>
      <c r="G60" s="19" t="str">
        <f>TEXT(Table4_137[[#This Row],[date]], "hh:mm")</f>
        <v>17:30</v>
      </c>
      <c r="H60" s="25" t="str">
        <f t="shared" si="0"/>
        <v/>
      </c>
      <c r="I60" s="22"/>
    </row>
    <row r="61" spans="1:9">
      <c r="A61" s="13">
        <v>45850.75</v>
      </c>
      <c r="B61" s="14">
        <v>-2.0099999999999998</v>
      </c>
      <c r="C61" s="15">
        <v>0</v>
      </c>
      <c r="D61" s="15">
        <v>379.29</v>
      </c>
      <c r="E61" s="15">
        <v>921.21</v>
      </c>
      <c r="F61" s="16">
        <v>299.99</v>
      </c>
      <c r="G61" s="19" t="str">
        <f>TEXT(Table4_137[[#This Row],[date]], "hh:mm")</f>
        <v>18:00</v>
      </c>
      <c r="H61" s="25" t="str">
        <f t="shared" si="0"/>
        <v/>
      </c>
      <c r="I61" s="22"/>
    </row>
    <row r="62" spans="1:9">
      <c r="A62" s="13">
        <v>45850.770833333336</v>
      </c>
      <c r="B62" s="14">
        <v>-2.0299999999999998</v>
      </c>
      <c r="C62" s="15">
        <v>0</v>
      </c>
      <c r="D62" s="15">
        <v>293.07</v>
      </c>
      <c r="E62" s="15">
        <v>877.88</v>
      </c>
      <c r="F62" s="16">
        <v>147.96</v>
      </c>
      <c r="G62" s="19" t="str">
        <f>TEXT(Table4_137[[#This Row],[date]], "hh:mm")</f>
        <v>18:30</v>
      </c>
      <c r="H62" s="25" t="str">
        <f t="shared" si="0"/>
        <v/>
      </c>
      <c r="I62" s="22"/>
    </row>
    <row r="63" spans="1:9">
      <c r="A63" s="13">
        <v>45850.791666666664</v>
      </c>
      <c r="B63" s="14">
        <v>-2.5</v>
      </c>
      <c r="C63" s="15">
        <v>0</v>
      </c>
      <c r="D63" s="15">
        <v>168.81</v>
      </c>
      <c r="E63" s="15">
        <v>845.9</v>
      </c>
      <c r="F63" s="16">
        <v>252.64</v>
      </c>
      <c r="G63" s="19" t="str">
        <f>TEXT(Table4_137[[#This Row],[date]], "hh:mm")</f>
        <v>19:00</v>
      </c>
      <c r="H63" s="25" t="str">
        <f t="shared" si="0"/>
        <v/>
      </c>
      <c r="I63" s="22"/>
    </row>
    <row r="64" spans="1:9">
      <c r="A64" s="13">
        <v>45850.8125</v>
      </c>
      <c r="B64" s="14">
        <v>-4.2699999999999996</v>
      </c>
      <c r="C64" s="15">
        <v>0</v>
      </c>
      <c r="D64" s="15">
        <v>33.909999999999997</v>
      </c>
      <c r="E64" s="15">
        <v>759.83</v>
      </c>
      <c r="F64" s="16">
        <v>139.18</v>
      </c>
      <c r="G64" s="19" t="str">
        <f>TEXT(Table4_137[[#This Row],[date]], "hh:mm")</f>
        <v>19:30</v>
      </c>
      <c r="H64" s="25" t="str">
        <f t="shared" si="0"/>
        <v/>
      </c>
      <c r="I64" s="22"/>
    </row>
    <row r="65" spans="1:9">
      <c r="A65" s="13">
        <v>45850.833333333336</v>
      </c>
      <c r="B65" s="14">
        <v>-6.4</v>
      </c>
      <c r="C65" s="15">
        <v>0</v>
      </c>
      <c r="D65" s="15">
        <v>2.81</v>
      </c>
      <c r="E65" s="15">
        <v>763.22</v>
      </c>
      <c r="F65" s="16">
        <v>112.18</v>
      </c>
      <c r="G65" s="19" t="str">
        <f>TEXT(Table4_137[[#This Row],[date]], "hh:mm")</f>
        <v>20:00</v>
      </c>
      <c r="H65" s="25" t="str">
        <f t="shared" si="0"/>
        <v/>
      </c>
      <c r="I65" s="22"/>
    </row>
    <row r="66" spans="1:9">
      <c r="A66" s="13">
        <v>45850.854166666664</v>
      </c>
      <c r="B66" s="14">
        <v>-3.04</v>
      </c>
      <c r="C66" s="15">
        <v>0</v>
      </c>
      <c r="D66" s="15">
        <v>6.24</v>
      </c>
      <c r="E66" s="15">
        <v>598.26</v>
      </c>
      <c r="F66" s="16">
        <v>100.02</v>
      </c>
      <c r="G66" s="19" t="str">
        <f>TEXT(Table4_137[[#This Row],[date]], "hh:mm")</f>
        <v>20:30</v>
      </c>
      <c r="H66" s="25" t="str">
        <f t="shared" ref="H66:H129" si="1">IF(AND(HOUR(A66)=0,MINUTE(A66)=0),TEXT(A66,"d mmm"),"")</f>
        <v/>
      </c>
      <c r="I66" s="22"/>
    </row>
    <row r="67" spans="1:9">
      <c r="A67" s="13">
        <v>45850.875</v>
      </c>
      <c r="B67" s="14">
        <v>-5.24</v>
      </c>
      <c r="C67" s="15">
        <v>0</v>
      </c>
      <c r="D67" s="15">
        <v>2.4500000000000002</v>
      </c>
      <c r="E67" s="15">
        <v>397.99</v>
      </c>
      <c r="F67" s="16">
        <v>88.68</v>
      </c>
      <c r="G67" s="19" t="str">
        <f>TEXT(Table4_137[[#This Row],[date]], "hh:mm")</f>
        <v>21:00</v>
      </c>
      <c r="H67" s="25" t="str">
        <f t="shared" si="1"/>
        <v/>
      </c>
      <c r="I67" s="22"/>
    </row>
    <row r="68" spans="1:9">
      <c r="A68" s="13">
        <v>45850.895833333336</v>
      </c>
      <c r="B68" s="14">
        <v>-5.66</v>
      </c>
      <c r="C68" s="15">
        <v>0</v>
      </c>
      <c r="D68" s="15">
        <v>1.79</v>
      </c>
      <c r="E68" s="15">
        <v>272.16000000000003</v>
      </c>
      <c r="F68" s="16">
        <v>87.25</v>
      </c>
      <c r="G68" s="19" t="str">
        <f>TEXT(Table4_137[[#This Row],[date]], "hh:mm")</f>
        <v>21:30</v>
      </c>
      <c r="H68" s="25" t="str">
        <f t="shared" si="1"/>
        <v/>
      </c>
      <c r="I68" s="22"/>
    </row>
    <row r="69" spans="1:9">
      <c r="A69" s="13">
        <v>45850.916666666664</v>
      </c>
      <c r="B69" s="14">
        <v>-4.1500000000000004</v>
      </c>
      <c r="C69" s="15">
        <v>0</v>
      </c>
      <c r="D69" s="15">
        <v>5.14</v>
      </c>
      <c r="E69" s="15">
        <v>231.98</v>
      </c>
      <c r="F69" s="16">
        <v>79.02</v>
      </c>
      <c r="G69" s="19" t="str">
        <f>TEXT(Table4_137[[#This Row],[date]], "hh:mm")</f>
        <v>22:00</v>
      </c>
      <c r="H69" s="25" t="str">
        <f t="shared" si="1"/>
        <v/>
      </c>
      <c r="I69" s="22"/>
    </row>
    <row r="70" spans="1:9">
      <c r="A70" s="13">
        <v>45850.9375</v>
      </c>
      <c r="B70" s="14">
        <v>-11.87</v>
      </c>
      <c r="C70" s="15">
        <v>0</v>
      </c>
      <c r="D70" s="15">
        <v>11.09</v>
      </c>
      <c r="E70" s="15">
        <v>277.70999999999998</v>
      </c>
      <c r="F70" s="16">
        <v>100.02</v>
      </c>
      <c r="G70" s="19" t="str">
        <f>TEXT(Table4_137[[#This Row],[date]], "hh:mm")</f>
        <v>22:30</v>
      </c>
      <c r="H70" s="25" t="str">
        <f t="shared" si="1"/>
        <v/>
      </c>
      <c r="I70" s="22"/>
    </row>
    <row r="71" spans="1:9">
      <c r="A71" s="13">
        <v>45850.958333333336</v>
      </c>
      <c r="B71" s="14">
        <v>-11.65</v>
      </c>
      <c r="C71" s="15">
        <v>0</v>
      </c>
      <c r="D71" s="15">
        <v>2.0299999999999998</v>
      </c>
      <c r="E71" s="15">
        <v>264.23</v>
      </c>
      <c r="F71" s="16">
        <v>102.76</v>
      </c>
      <c r="G71" s="19" t="str">
        <f>TEXT(Table4_137[[#This Row],[date]], "hh:mm")</f>
        <v>23:00</v>
      </c>
      <c r="H71" s="25" t="str">
        <f t="shared" si="1"/>
        <v/>
      </c>
      <c r="I71" s="22"/>
    </row>
    <row r="72" spans="1:9">
      <c r="A72" s="13">
        <v>45850.979166666664</v>
      </c>
      <c r="B72" s="14">
        <v>-7.38</v>
      </c>
      <c r="C72" s="15">
        <v>0</v>
      </c>
      <c r="D72" s="15">
        <v>2.25</v>
      </c>
      <c r="E72" s="15">
        <v>127.67</v>
      </c>
      <c r="F72" s="16">
        <v>100.02</v>
      </c>
      <c r="G72" s="19" t="str">
        <f>TEXT(Table4_137[[#This Row],[date]], "hh:mm")</f>
        <v>23:30</v>
      </c>
      <c r="H72" s="25" t="str">
        <f t="shared" si="1"/>
        <v/>
      </c>
      <c r="I72" s="22"/>
    </row>
    <row r="73" spans="1:9">
      <c r="A73" s="13">
        <v>45851</v>
      </c>
      <c r="B73" s="14">
        <v>-13.82</v>
      </c>
      <c r="C73" s="15">
        <v>0</v>
      </c>
      <c r="D73" s="15">
        <v>0.25</v>
      </c>
      <c r="E73" s="15">
        <v>84.64</v>
      </c>
      <c r="F73" s="16">
        <v>81.67</v>
      </c>
      <c r="G73" s="19" t="str">
        <f>TEXT(Table4_137[[#This Row],[date]], "hh:mm")</f>
        <v>00:00</v>
      </c>
      <c r="H73" s="25" t="str">
        <f t="shared" si="1"/>
        <v>13 Jul</v>
      </c>
      <c r="I73" s="22"/>
    </row>
    <row r="74" spans="1:9">
      <c r="A74" s="13">
        <v>45851.020833333336</v>
      </c>
      <c r="B74" s="14">
        <v>-4.16</v>
      </c>
      <c r="C74" s="15">
        <v>0</v>
      </c>
      <c r="D74" s="15">
        <v>1.57</v>
      </c>
      <c r="E74" s="15">
        <v>69.61</v>
      </c>
      <c r="F74" s="16">
        <v>88.84</v>
      </c>
      <c r="G74" s="19" t="str">
        <f>TEXT(Table4_137[[#This Row],[date]], "hh:mm")</f>
        <v>00:30</v>
      </c>
      <c r="H74" s="25" t="str">
        <f t="shared" si="1"/>
        <v/>
      </c>
      <c r="I74" s="22"/>
    </row>
    <row r="75" spans="1:9">
      <c r="A75" s="13">
        <v>45851.041666666664</v>
      </c>
      <c r="B75" s="14">
        <v>-5.79</v>
      </c>
      <c r="C75" s="15">
        <v>0</v>
      </c>
      <c r="D75" s="15">
        <v>1.5</v>
      </c>
      <c r="E75" s="15">
        <v>42.89</v>
      </c>
      <c r="F75" s="16">
        <v>86.23</v>
      </c>
      <c r="G75" s="19" t="str">
        <f>TEXT(Table4_137[[#This Row],[date]], "hh:mm")</f>
        <v>01:00</v>
      </c>
      <c r="H75" s="25" t="str">
        <f t="shared" si="1"/>
        <v/>
      </c>
      <c r="I75" s="22"/>
    </row>
    <row r="76" spans="1:9">
      <c r="A76" s="13">
        <v>45851.0625</v>
      </c>
      <c r="B76" s="14">
        <v>-6.37</v>
      </c>
      <c r="C76" s="15">
        <v>0</v>
      </c>
      <c r="D76" s="15">
        <v>2.14</v>
      </c>
      <c r="E76" s="15">
        <v>30.59</v>
      </c>
      <c r="F76" s="16">
        <v>76.58</v>
      </c>
      <c r="G76" s="19" t="str">
        <f>TEXT(Table4_137[[#This Row],[date]], "hh:mm")</f>
        <v>01:30</v>
      </c>
      <c r="H76" s="25" t="str">
        <f t="shared" si="1"/>
        <v/>
      </c>
      <c r="I76" s="22"/>
    </row>
    <row r="77" spans="1:9">
      <c r="A77" s="13">
        <v>45851.083333333336</v>
      </c>
      <c r="B77" s="14">
        <v>-6.84</v>
      </c>
      <c r="C77" s="15">
        <v>0</v>
      </c>
      <c r="D77" s="15">
        <v>2.73</v>
      </c>
      <c r="E77" s="15">
        <v>30.71</v>
      </c>
      <c r="F77" s="16">
        <v>76.58</v>
      </c>
      <c r="G77" s="19" t="str">
        <f>TEXT(Table4_137[[#This Row],[date]], "hh:mm")</f>
        <v>02:00</v>
      </c>
      <c r="H77" s="25" t="str">
        <f t="shared" si="1"/>
        <v/>
      </c>
      <c r="I77" s="22"/>
    </row>
    <row r="78" spans="1:9">
      <c r="A78" s="13">
        <v>45851.104166666664</v>
      </c>
      <c r="B78" s="14">
        <v>-7.97</v>
      </c>
      <c r="C78" s="15">
        <v>0</v>
      </c>
      <c r="D78" s="15">
        <v>1.41</v>
      </c>
      <c r="E78" s="15">
        <v>30.6</v>
      </c>
      <c r="F78" s="16">
        <v>76.8</v>
      </c>
      <c r="G78" s="19" t="str">
        <f>TEXT(Table4_137[[#This Row],[date]], "hh:mm")</f>
        <v>02:30</v>
      </c>
      <c r="H78" s="25" t="str">
        <f t="shared" si="1"/>
        <v/>
      </c>
      <c r="I78" s="22"/>
    </row>
    <row r="79" spans="1:9">
      <c r="A79" s="13">
        <v>45851.125</v>
      </c>
      <c r="B79" s="14">
        <v>-8.36</v>
      </c>
      <c r="C79" s="15">
        <v>0</v>
      </c>
      <c r="D79" s="15">
        <v>2.25</v>
      </c>
      <c r="E79" s="15">
        <v>30.61</v>
      </c>
      <c r="F79" s="16">
        <v>76.42</v>
      </c>
      <c r="G79" s="19" t="str">
        <f>TEXT(Table4_137[[#This Row],[date]], "hh:mm")</f>
        <v>03:00</v>
      </c>
      <c r="H79" s="25" t="str">
        <f t="shared" si="1"/>
        <v/>
      </c>
      <c r="I79" s="22"/>
    </row>
    <row r="80" spans="1:9">
      <c r="A80" s="13">
        <v>45851.145833333336</v>
      </c>
      <c r="B80" s="14">
        <v>-12.28</v>
      </c>
      <c r="C80" s="15">
        <v>0</v>
      </c>
      <c r="D80" s="15">
        <v>0.73</v>
      </c>
      <c r="E80" s="15">
        <v>30.61</v>
      </c>
      <c r="F80" s="16">
        <v>76.58</v>
      </c>
      <c r="G80" s="19" t="str">
        <f>TEXT(Table4_137[[#This Row],[date]], "hh:mm")</f>
        <v>03:30</v>
      </c>
      <c r="H80" s="25" t="str">
        <f t="shared" si="1"/>
        <v/>
      </c>
      <c r="I80" s="22"/>
    </row>
    <row r="81" spans="1:9">
      <c r="A81" s="13">
        <v>45851.166666666664</v>
      </c>
      <c r="B81" s="14">
        <v>-16.11</v>
      </c>
      <c r="C81" s="15">
        <v>0</v>
      </c>
      <c r="D81" s="15">
        <v>1</v>
      </c>
      <c r="E81" s="15">
        <v>25.51</v>
      </c>
      <c r="F81" s="16">
        <v>75.84</v>
      </c>
      <c r="G81" s="19" t="str">
        <f>TEXT(Table4_137[[#This Row],[date]], "hh:mm")</f>
        <v>04:00</v>
      </c>
      <c r="H81" s="25" t="str">
        <f t="shared" si="1"/>
        <v/>
      </c>
      <c r="I81" s="22"/>
    </row>
    <row r="82" spans="1:9">
      <c r="A82" s="13">
        <v>45851.1875</v>
      </c>
      <c r="B82" s="14">
        <v>-21.6</v>
      </c>
      <c r="C82" s="15">
        <v>0</v>
      </c>
      <c r="D82" s="15">
        <v>1.95</v>
      </c>
      <c r="E82" s="15">
        <v>-0.32</v>
      </c>
      <c r="F82" s="16">
        <v>72.2</v>
      </c>
      <c r="G82" s="19" t="str">
        <f>TEXT(Table4_137[[#This Row],[date]], "hh:mm")</f>
        <v>04:30</v>
      </c>
      <c r="H82" s="25" t="str">
        <f t="shared" si="1"/>
        <v/>
      </c>
      <c r="I82" s="22"/>
    </row>
    <row r="83" spans="1:9">
      <c r="A83" s="13">
        <v>45851.208333333336</v>
      </c>
      <c r="B83" s="14">
        <v>-5.82</v>
      </c>
      <c r="C83" s="15">
        <v>0</v>
      </c>
      <c r="D83" s="15">
        <v>1.82</v>
      </c>
      <c r="E83" s="15">
        <v>-0.28000000000000003</v>
      </c>
      <c r="F83" s="16">
        <v>75.760000000000005</v>
      </c>
      <c r="G83" s="19" t="str">
        <f>TEXT(Table4_137[[#This Row],[date]], "hh:mm")</f>
        <v>05:00</v>
      </c>
      <c r="H83" s="25" t="str">
        <f t="shared" si="1"/>
        <v/>
      </c>
      <c r="I83" s="22"/>
    </row>
    <row r="84" spans="1:9">
      <c r="A84" s="13">
        <v>45851.229166666664</v>
      </c>
      <c r="B84" s="14">
        <v>-6.54</v>
      </c>
      <c r="C84" s="15">
        <v>0</v>
      </c>
      <c r="D84" s="15">
        <v>3.8</v>
      </c>
      <c r="E84" s="15">
        <v>-0.34</v>
      </c>
      <c r="F84" s="16">
        <v>76.58</v>
      </c>
      <c r="G84" s="19" t="str">
        <f>TEXT(Table4_137[[#This Row],[date]], "hh:mm")</f>
        <v>05:30</v>
      </c>
      <c r="H84" s="25" t="str">
        <f t="shared" si="1"/>
        <v/>
      </c>
      <c r="I84" s="22"/>
    </row>
    <row r="85" spans="1:9">
      <c r="A85" s="13">
        <v>45851.25</v>
      </c>
      <c r="B85" s="14">
        <v>-16.5</v>
      </c>
      <c r="C85" s="15">
        <v>-67.34</v>
      </c>
      <c r="D85" s="15">
        <v>2.5099999999999998</v>
      </c>
      <c r="E85" s="15">
        <v>-0.32</v>
      </c>
      <c r="F85" s="16">
        <v>76.89</v>
      </c>
      <c r="G85" s="19" t="str">
        <f>TEXT(Table4_137[[#This Row],[date]], "hh:mm")</f>
        <v>06:00</v>
      </c>
      <c r="H85" s="25" t="str">
        <f t="shared" si="1"/>
        <v/>
      </c>
      <c r="I85" s="22"/>
    </row>
    <row r="86" spans="1:9">
      <c r="A86" s="13">
        <v>45851.270833333336</v>
      </c>
      <c r="B86" s="14">
        <v>-11.07</v>
      </c>
      <c r="C86" s="15">
        <v>-80.83</v>
      </c>
      <c r="D86" s="15">
        <v>1.74</v>
      </c>
      <c r="E86" s="15">
        <v>6.56</v>
      </c>
      <c r="F86" s="16">
        <v>81.209999999999994</v>
      </c>
      <c r="G86" s="19" t="str">
        <f>TEXT(Table4_137[[#This Row],[date]], "hh:mm")</f>
        <v>06:30</v>
      </c>
      <c r="H86" s="25" t="str">
        <f t="shared" si="1"/>
        <v/>
      </c>
      <c r="I86" s="22"/>
    </row>
    <row r="87" spans="1:9">
      <c r="A87" s="13">
        <v>45851.291666666664</v>
      </c>
      <c r="B87" s="14">
        <v>-9.7200000000000006</v>
      </c>
      <c r="C87" s="15">
        <v>-80.86</v>
      </c>
      <c r="D87" s="15">
        <v>0</v>
      </c>
      <c r="E87" s="15">
        <v>44.21</v>
      </c>
      <c r="F87" s="16">
        <v>93.02</v>
      </c>
      <c r="G87" s="19" t="str">
        <f>TEXT(Table4_137[[#This Row],[date]], "hh:mm")</f>
        <v>07:00</v>
      </c>
      <c r="H87" s="25" t="str">
        <f t="shared" si="1"/>
        <v/>
      </c>
      <c r="I87" s="22"/>
    </row>
    <row r="88" spans="1:9">
      <c r="A88" s="13">
        <v>45851.3125</v>
      </c>
      <c r="B88" s="14">
        <v>-11.97</v>
      </c>
      <c r="C88" s="15">
        <v>-80.8</v>
      </c>
      <c r="D88" s="15">
        <v>0.14000000000000001</v>
      </c>
      <c r="E88" s="15">
        <v>23.47</v>
      </c>
      <c r="F88" s="16">
        <v>81.73</v>
      </c>
      <c r="G88" s="19" t="str">
        <f>TEXT(Table4_137[[#This Row],[date]], "hh:mm")</f>
        <v>07:30</v>
      </c>
      <c r="H88" s="25" t="str">
        <f t="shared" si="1"/>
        <v/>
      </c>
      <c r="I88" s="22"/>
    </row>
    <row r="89" spans="1:9">
      <c r="A89" s="13">
        <v>45851.333333333336</v>
      </c>
      <c r="B89" s="14">
        <v>-17.34</v>
      </c>
      <c r="C89" s="15">
        <v>-80.69</v>
      </c>
      <c r="D89" s="15">
        <v>1.99</v>
      </c>
      <c r="E89" s="15">
        <v>-0.22</v>
      </c>
      <c r="F89" s="16">
        <v>57.01</v>
      </c>
      <c r="G89" s="19" t="str">
        <f>TEXT(Table4_137[[#This Row],[date]], "hh:mm")</f>
        <v>08:00</v>
      </c>
      <c r="H89" s="25" t="str">
        <f t="shared" si="1"/>
        <v/>
      </c>
      <c r="I89" s="22"/>
    </row>
    <row r="90" spans="1:9">
      <c r="A90" s="13">
        <v>45851.354166666664</v>
      </c>
      <c r="B90" s="14">
        <v>-49.15</v>
      </c>
      <c r="C90" s="15">
        <v>-96.63</v>
      </c>
      <c r="D90" s="15">
        <v>2.16</v>
      </c>
      <c r="E90" s="15">
        <v>0</v>
      </c>
      <c r="F90" s="16">
        <v>-11.86</v>
      </c>
      <c r="G90" s="19" t="str">
        <f>TEXT(Table4_137[[#This Row],[date]], "hh:mm")</f>
        <v>08:30</v>
      </c>
      <c r="H90" s="25" t="str">
        <f t="shared" si="1"/>
        <v/>
      </c>
      <c r="I90" s="22"/>
    </row>
    <row r="91" spans="1:9">
      <c r="A91" s="13">
        <v>45851.375</v>
      </c>
      <c r="B91" s="14">
        <v>-25.06</v>
      </c>
      <c r="C91" s="15">
        <v>-270.41000000000003</v>
      </c>
      <c r="D91" s="15">
        <v>6.16</v>
      </c>
      <c r="E91" s="15">
        <v>0</v>
      </c>
      <c r="F91" s="16">
        <v>0</v>
      </c>
      <c r="G91" s="19" t="str">
        <f>TEXT(Table4_137[[#This Row],[date]], "hh:mm")</f>
        <v>09:00</v>
      </c>
      <c r="H91" s="25" t="str">
        <f t="shared" si="1"/>
        <v/>
      </c>
      <c r="I91" s="22"/>
    </row>
    <row r="92" spans="1:9">
      <c r="A92" s="13">
        <v>45851.395833333336</v>
      </c>
      <c r="B92" s="14">
        <v>-18.59</v>
      </c>
      <c r="C92" s="15">
        <v>-271.38</v>
      </c>
      <c r="D92" s="15">
        <v>2.61</v>
      </c>
      <c r="E92" s="15">
        <v>0</v>
      </c>
      <c r="F92" s="16">
        <v>76.58</v>
      </c>
      <c r="G92" s="19" t="str">
        <f>TEXT(Table4_137[[#This Row],[date]], "hh:mm")</f>
        <v>09:30</v>
      </c>
      <c r="H92" s="25" t="str">
        <f t="shared" si="1"/>
        <v/>
      </c>
      <c r="I92" s="22"/>
    </row>
    <row r="93" spans="1:9">
      <c r="A93" s="13">
        <v>45851.416666666664</v>
      </c>
      <c r="B93" s="14">
        <v>-35.54</v>
      </c>
      <c r="C93" s="15">
        <v>-284.11</v>
      </c>
      <c r="D93" s="15">
        <v>7.44</v>
      </c>
      <c r="E93" s="15">
        <v>0</v>
      </c>
      <c r="F93" s="16">
        <v>24</v>
      </c>
      <c r="G93" s="19" t="str">
        <f>TEXT(Table4_137[[#This Row],[date]], "hh:mm")</f>
        <v>10:00</v>
      </c>
      <c r="H93" s="25" t="str">
        <f t="shared" si="1"/>
        <v/>
      </c>
      <c r="I93" s="22"/>
    </row>
    <row r="94" spans="1:9">
      <c r="A94" s="13">
        <v>45851.4375</v>
      </c>
      <c r="B94" s="14">
        <v>-60.99</v>
      </c>
      <c r="C94" s="15">
        <v>-466.75</v>
      </c>
      <c r="D94" s="15">
        <v>3.18</v>
      </c>
      <c r="E94" s="15">
        <v>0</v>
      </c>
      <c r="F94" s="16">
        <v>-16.54</v>
      </c>
      <c r="G94" s="19" t="str">
        <f>TEXT(Table4_137[[#This Row],[date]], "hh:mm")</f>
        <v>10:30</v>
      </c>
      <c r="H94" s="25" t="str">
        <f t="shared" si="1"/>
        <v/>
      </c>
      <c r="I94" s="22"/>
    </row>
    <row r="95" spans="1:9">
      <c r="A95" s="13">
        <v>45851.458333333336</v>
      </c>
      <c r="B95" s="14">
        <v>-72.02</v>
      </c>
      <c r="C95" s="15">
        <v>-470.18</v>
      </c>
      <c r="D95" s="15">
        <v>3.99</v>
      </c>
      <c r="E95" s="15">
        <v>0</v>
      </c>
      <c r="F95" s="16">
        <v>-16.54</v>
      </c>
      <c r="G95" s="19" t="str">
        <f>TEXT(Table4_137[[#This Row],[date]], "hh:mm")</f>
        <v>11:00</v>
      </c>
      <c r="H95" s="25" t="str">
        <f t="shared" si="1"/>
        <v/>
      </c>
      <c r="I95" s="22"/>
    </row>
    <row r="96" spans="1:9">
      <c r="A96" s="13">
        <v>45851.479166666664</v>
      </c>
      <c r="B96" s="14">
        <v>-174.42</v>
      </c>
      <c r="C96" s="15">
        <v>-582.36</v>
      </c>
      <c r="D96" s="15">
        <v>0.74</v>
      </c>
      <c r="E96" s="15">
        <v>0</v>
      </c>
      <c r="F96" s="16">
        <v>-16.18</v>
      </c>
      <c r="G96" s="19" t="str">
        <f>TEXT(Table4_137[[#This Row],[date]], "hh:mm")</f>
        <v>11:30</v>
      </c>
      <c r="H96" s="25" t="str">
        <f t="shared" si="1"/>
        <v/>
      </c>
      <c r="I96" s="22"/>
    </row>
    <row r="97" spans="1:9">
      <c r="A97" s="13">
        <v>45851.5</v>
      </c>
      <c r="B97" s="14">
        <v>-88.23</v>
      </c>
      <c r="C97" s="15">
        <v>-660.52</v>
      </c>
      <c r="D97" s="15">
        <v>1.59</v>
      </c>
      <c r="E97" s="15">
        <v>0</v>
      </c>
      <c r="F97" s="16">
        <v>-14.71</v>
      </c>
      <c r="G97" s="19" t="str">
        <f>TEXT(Table4_137[[#This Row],[date]], "hh:mm")</f>
        <v>12:00</v>
      </c>
      <c r="H97" s="25" t="str">
        <f t="shared" si="1"/>
        <v/>
      </c>
      <c r="I97" s="22"/>
    </row>
    <row r="98" spans="1:9">
      <c r="A98" s="13">
        <v>45851.520833333336</v>
      </c>
      <c r="B98" s="14">
        <v>-179.28</v>
      </c>
      <c r="C98" s="15">
        <v>-660.59</v>
      </c>
      <c r="D98" s="15">
        <v>0.3</v>
      </c>
      <c r="E98" s="15">
        <v>0</v>
      </c>
      <c r="F98" s="16">
        <v>-14.01</v>
      </c>
      <c r="G98" s="19" t="str">
        <f>TEXT(Table4_137[[#This Row],[date]], "hh:mm")</f>
        <v>12:30</v>
      </c>
      <c r="H98" s="25" t="str">
        <f t="shared" si="1"/>
        <v/>
      </c>
      <c r="I98" s="22"/>
    </row>
    <row r="99" spans="1:9">
      <c r="A99" s="13">
        <v>45851.541666666664</v>
      </c>
      <c r="B99" s="14">
        <v>-193.5</v>
      </c>
      <c r="C99" s="15">
        <v>-659.32</v>
      </c>
      <c r="D99" s="15">
        <v>0.96</v>
      </c>
      <c r="E99" s="15">
        <v>0</v>
      </c>
      <c r="F99" s="16">
        <v>-14.01</v>
      </c>
      <c r="G99" s="19" t="str">
        <f>TEXT(Table4_137[[#This Row],[date]], "hh:mm")</f>
        <v>13:00</v>
      </c>
      <c r="H99" s="25" t="str">
        <f t="shared" si="1"/>
        <v/>
      </c>
      <c r="I99" s="22"/>
    </row>
    <row r="100" spans="1:9">
      <c r="A100" s="13">
        <v>45851.5625</v>
      </c>
      <c r="B100" s="14">
        <v>-238</v>
      </c>
      <c r="C100" s="15">
        <v>-660.04</v>
      </c>
      <c r="D100" s="15">
        <v>0.4</v>
      </c>
      <c r="E100" s="15">
        <v>0</v>
      </c>
      <c r="F100" s="16">
        <v>-15.17</v>
      </c>
      <c r="G100" s="19" t="str">
        <f>TEXT(Table4_137[[#This Row],[date]], "hh:mm")</f>
        <v>13:30</v>
      </c>
      <c r="H100" s="25" t="str">
        <f t="shared" si="1"/>
        <v/>
      </c>
      <c r="I100" s="22"/>
    </row>
    <row r="101" spans="1:9">
      <c r="A101" s="13">
        <v>45851.583333333336</v>
      </c>
      <c r="B101" s="14">
        <v>-299.37</v>
      </c>
      <c r="C101" s="15">
        <v>-658.02</v>
      </c>
      <c r="D101" s="15">
        <v>0.48</v>
      </c>
      <c r="E101" s="15">
        <v>0</v>
      </c>
      <c r="F101" s="16">
        <v>-17.28</v>
      </c>
      <c r="G101" s="19" t="str">
        <f>TEXT(Table4_137[[#This Row],[date]], "hh:mm")</f>
        <v>14:00</v>
      </c>
      <c r="H101" s="25" t="str">
        <f t="shared" si="1"/>
        <v/>
      </c>
      <c r="I101" s="22"/>
    </row>
    <row r="102" spans="1:9">
      <c r="A102" s="13">
        <v>45851.604166666664</v>
      </c>
      <c r="B102" s="14">
        <v>-254.92</v>
      </c>
      <c r="C102" s="15">
        <v>-657.84</v>
      </c>
      <c r="D102" s="15">
        <v>1.42</v>
      </c>
      <c r="E102" s="15">
        <v>0</v>
      </c>
      <c r="F102" s="16">
        <v>24</v>
      </c>
      <c r="G102" s="19" t="str">
        <f>TEXT(Table4_137[[#This Row],[date]], "hh:mm")</f>
        <v>14:30</v>
      </c>
      <c r="H102" s="25" t="str">
        <f t="shared" si="1"/>
        <v/>
      </c>
      <c r="I102" s="22"/>
    </row>
    <row r="103" spans="1:9">
      <c r="A103" s="13">
        <v>45851.625</v>
      </c>
      <c r="B103" s="14">
        <v>-269.14</v>
      </c>
      <c r="C103" s="15">
        <v>-658.88</v>
      </c>
      <c r="D103" s="15">
        <v>0.95</v>
      </c>
      <c r="E103" s="15">
        <v>0</v>
      </c>
      <c r="F103" s="16">
        <v>4.71</v>
      </c>
      <c r="G103" s="19" t="str">
        <f>TEXT(Table4_137[[#This Row],[date]], "hh:mm")</f>
        <v>15:00</v>
      </c>
      <c r="H103" s="25" t="str">
        <f t="shared" si="1"/>
        <v/>
      </c>
      <c r="I103" s="22"/>
    </row>
    <row r="104" spans="1:9">
      <c r="A104" s="13">
        <v>45851.645833333336</v>
      </c>
      <c r="B104" s="14">
        <v>-215.94</v>
      </c>
      <c r="C104" s="15">
        <v>-657.04</v>
      </c>
      <c r="D104" s="15">
        <v>1.91</v>
      </c>
      <c r="E104" s="15">
        <v>0</v>
      </c>
      <c r="F104" s="16">
        <v>-0.02</v>
      </c>
      <c r="G104" s="19" t="str">
        <f>TEXT(Table4_137[[#This Row],[date]], "hh:mm")</f>
        <v>15:30</v>
      </c>
      <c r="H104" s="25" t="str">
        <f t="shared" si="1"/>
        <v/>
      </c>
      <c r="I104" s="22"/>
    </row>
    <row r="105" spans="1:9">
      <c r="A105" s="13">
        <v>45851.666666666664</v>
      </c>
      <c r="B105" s="14">
        <v>-126.78</v>
      </c>
      <c r="C105" s="15">
        <v>-656.15</v>
      </c>
      <c r="D105" s="15">
        <v>1.72</v>
      </c>
      <c r="E105" s="15">
        <v>-0.06</v>
      </c>
      <c r="F105" s="16">
        <v>21.26</v>
      </c>
      <c r="G105" s="19" t="str">
        <f>TEXT(Table4_137[[#This Row],[date]], "hh:mm")</f>
        <v>16:00</v>
      </c>
      <c r="H105" s="25" t="str">
        <f t="shared" si="1"/>
        <v/>
      </c>
      <c r="I105" s="22"/>
    </row>
    <row r="106" spans="1:9">
      <c r="A106" s="13">
        <v>45851.6875</v>
      </c>
      <c r="B106" s="14">
        <v>-3.51</v>
      </c>
      <c r="C106" s="15">
        <v>-354.68</v>
      </c>
      <c r="D106" s="15">
        <v>4.62</v>
      </c>
      <c r="E106" s="15">
        <v>48.43</v>
      </c>
      <c r="F106" s="16">
        <v>57.01</v>
      </c>
      <c r="G106" s="19" t="str">
        <f>TEXT(Table4_137[[#This Row],[date]], "hh:mm")</f>
        <v>16:30</v>
      </c>
      <c r="H106" s="25" t="str">
        <f t="shared" si="1"/>
        <v/>
      </c>
      <c r="I106" s="22"/>
    </row>
    <row r="107" spans="1:9">
      <c r="A107" s="13">
        <v>45851.708333333336</v>
      </c>
      <c r="B107" s="14">
        <v>-2.37</v>
      </c>
      <c r="C107" s="15">
        <v>0</v>
      </c>
      <c r="D107" s="15">
        <v>207.02</v>
      </c>
      <c r="E107" s="15">
        <v>248.33</v>
      </c>
      <c r="F107" s="16">
        <v>125.69</v>
      </c>
      <c r="G107" s="19" t="str">
        <f>TEXT(Table4_137[[#This Row],[date]], "hh:mm")</f>
        <v>17:00</v>
      </c>
      <c r="H107" s="25" t="str">
        <f t="shared" si="1"/>
        <v/>
      </c>
      <c r="I107" s="22"/>
    </row>
    <row r="108" spans="1:9">
      <c r="A108" s="13">
        <v>45851.729166666664</v>
      </c>
      <c r="B108" s="14">
        <v>-2.3199999999999998</v>
      </c>
      <c r="C108" s="15">
        <v>0</v>
      </c>
      <c r="D108" s="15">
        <v>309.89999999999998</v>
      </c>
      <c r="E108" s="15">
        <v>604.82000000000005</v>
      </c>
      <c r="F108" s="16">
        <v>138.72999999999999</v>
      </c>
      <c r="G108" s="19" t="str">
        <f>TEXT(Table4_137[[#This Row],[date]], "hh:mm")</f>
        <v>17:30</v>
      </c>
      <c r="H108" s="25" t="str">
        <f t="shared" si="1"/>
        <v/>
      </c>
      <c r="I108" s="22"/>
    </row>
    <row r="109" spans="1:9">
      <c r="A109" s="13">
        <v>45851.75</v>
      </c>
      <c r="B109" s="14">
        <v>-1.58</v>
      </c>
      <c r="C109" s="15">
        <v>0</v>
      </c>
      <c r="D109" s="15">
        <v>420.47</v>
      </c>
      <c r="E109" s="15">
        <v>654.4</v>
      </c>
      <c r="F109" s="16">
        <v>140.03</v>
      </c>
      <c r="G109" s="19" t="str">
        <f>TEXT(Table4_137[[#This Row],[date]], "hh:mm")</f>
        <v>18:00</v>
      </c>
      <c r="H109" s="25" t="str">
        <f t="shared" si="1"/>
        <v/>
      </c>
      <c r="I109" s="22"/>
    </row>
    <row r="110" spans="1:9">
      <c r="A110" s="13">
        <v>45851.770833333336</v>
      </c>
      <c r="B110" s="14">
        <v>-1.45</v>
      </c>
      <c r="C110" s="15">
        <v>0</v>
      </c>
      <c r="D110" s="15">
        <v>352.46</v>
      </c>
      <c r="E110" s="15">
        <v>667.13</v>
      </c>
      <c r="F110" s="16">
        <v>185.01</v>
      </c>
      <c r="G110" s="19" t="str">
        <f>TEXT(Table4_137[[#This Row],[date]], "hh:mm")</f>
        <v>18:30</v>
      </c>
      <c r="H110" s="25" t="str">
        <f t="shared" si="1"/>
        <v/>
      </c>
      <c r="I110" s="22"/>
    </row>
    <row r="111" spans="1:9">
      <c r="A111" s="13">
        <v>45851.791666666664</v>
      </c>
      <c r="B111" s="14">
        <v>-1.53</v>
      </c>
      <c r="C111" s="15">
        <v>0</v>
      </c>
      <c r="D111" s="15">
        <v>293.27</v>
      </c>
      <c r="E111" s="15">
        <v>512.80999999999995</v>
      </c>
      <c r="F111" s="16">
        <v>138.06</v>
      </c>
      <c r="G111" s="19" t="str">
        <f>TEXT(Table4_137[[#This Row],[date]], "hh:mm")</f>
        <v>19:00</v>
      </c>
      <c r="H111" s="25" t="str">
        <f t="shared" si="1"/>
        <v/>
      </c>
      <c r="I111" s="22"/>
    </row>
    <row r="112" spans="1:9">
      <c r="A112" s="13">
        <v>45851.8125</v>
      </c>
      <c r="B112" s="14">
        <v>-2.15</v>
      </c>
      <c r="C112" s="15">
        <v>0</v>
      </c>
      <c r="D112" s="15">
        <v>168.55</v>
      </c>
      <c r="E112" s="15">
        <v>516.33000000000004</v>
      </c>
      <c r="F112" s="16">
        <v>136.86000000000001</v>
      </c>
      <c r="G112" s="19" t="str">
        <f>TEXT(Table4_137[[#This Row],[date]], "hh:mm")</f>
        <v>19:30</v>
      </c>
      <c r="H112" s="25" t="str">
        <f t="shared" si="1"/>
        <v/>
      </c>
      <c r="I112" s="22"/>
    </row>
    <row r="113" spans="1:9">
      <c r="A113" s="13">
        <v>45851.833333333336</v>
      </c>
      <c r="B113" s="14">
        <v>-3.45</v>
      </c>
      <c r="C113" s="15">
        <v>0</v>
      </c>
      <c r="D113" s="15">
        <v>43.64</v>
      </c>
      <c r="E113" s="15">
        <v>485.39</v>
      </c>
      <c r="F113" s="16">
        <v>110.96</v>
      </c>
      <c r="G113" s="19" t="str">
        <f>TEXT(Table4_137[[#This Row],[date]], "hh:mm")</f>
        <v>20:00</v>
      </c>
      <c r="H113" s="25" t="str">
        <f t="shared" si="1"/>
        <v/>
      </c>
      <c r="I113" s="22"/>
    </row>
    <row r="114" spans="1:9">
      <c r="A114" s="13">
        <v>45851.854166666664</v>
      </c>
      <c r="B114" s="14">
        <v>-2.67</v>
      </c>
      <c r="C114" s="15">
        <v>0</v>
      </c>
      <c r="D114" s="15">
        <v>21.47</v>
      </c>
      <c r="E114" s="15">
        <v>418.43</v>
      </c>
      <c r="F114" s="16">
        <v>140.03</v>
      </c>
      <c r="G114" s="19" t="str">
        <f>TEXT(Table4_137[[#This Row],[date]], "hh:mm")</f>
        <v>20:30</v>
      </c>
      <c r="H114" s="25" t="str">
        <f t="shared" si="1"/>
        <v/>
      </c>
      <c r="I114" s="22"/>
    </row>
    <row r="115" spans="1:9">
      <c r="A115" s="13">
        <v>45851.875</v>
      </c>
      <c r="B115" s="14">
        <v>-11.84</v>
      </c>
      <c r="C115" s="15">
        <v>0</v>
      </c>
      <c r="D115" s="15">
        <v>10.91</v>
      </c>
      <c r="E115" s="15">
        <v>210.94</v>
      </c>
      <c r="F115" s="16">
        <v>100.01</v>
      </c>
      <c r="G115" s="19" t="str">
        <f>TEXT(Table4_137[[#This Row],[date]], "hh:mm")</f>
        <v>21:00</v>
      </c>
      <c r="H115" s="25" t="str">
        <f t="shared" si="1"/>
        <v/>
      </c>
      <c r="I115" s="22"/>
    </row>
    <row r="116" spans="1:9">
      <c r="A116" s="13">
        <v>45851.895833333336</v>
      </c>
      <c r="B116" s="14">
        <v>-7.38</v>
      </c>
      <c r="C116" s="15">
        <v>0</v>
      </c>
      <c r="D116" s="15">
        <v>2.4300000000000002</v>
      </c>
      <c r="E116" s="15">
        <v>48.35</v>
      </c>
      <c r="F116" s="16">
        <v>76.8</v>
      </c>
      <c r="G116" s="19" t="str">
        <f>TEXT(Table4_137[[#This Row],[date]], "hh:mm")</f>
        <v>21:30</v>
      </c>
      <c r="H116" s="25" t="str">
        <f t="shared" si="1"/>
        <v/>
      </c>
      <c r="I116" s="22"/>
    </row>
    <row r="117" spans="1:9">
      <c r="A117" s="13">
        <v>45851.916666666664</v>
      </c>
      <c r="B117" s="14">
        <v>-83.85</v>
      </c>
      <c r="C117" s="15">
        <v>0</v>
      </c>
      <c r="D117" s="15">
        <v>1.77</v>
      </c>
      <c r="E117" s="15">
        <v>30.8</v>
      </c>
      <c r="F117" s="16">
        <v>49.78</v>
      </c>
      <c r="G117" s="19" t="str">
        <f>TEXT(Table4_137[[#This Row],[date]], "hh:mm")</f>
        <v>22:00</v>
      </c>
      <c r="H117" s="25" t="str">
        <f t="shared" si="1"/>
        <v/>
      </c>
      <c r="I117" s="22"/>
    </row>
    <row r="118" spans="1:9">
      <c r="A118" s="13">
        <v>45851.9375</v>
      </c>
      <c r="B118" s="14">
        <v>-155.27000000000001</v>
      </c>
      <c r="C118" s="15">
        <v>0</v>
      </c>
      <c r="D118" s="15">
        <v>3.37</v>
      </c>
      <c r="E118" s="15">
        <v>31.03</v>
      </c>
      <c r="F118" s="16">
        <v>65.23</v>
      </c>
      <c r="G118" s="19" t="str">
        <f>TEXT(Table4_137[[#This Row],[date]], "hh:mm")</f>
        <v>22:30</v>
      </c>
      <c r="H118" s="25" t="str">
        <f t="shared" si="1"/>
        <v/>
      </c>
      <c r="I118" s="22"/>
    </row>
    <row r="119" spans="1:9">
      <c r="A119" s="13">
        <v>45851.958333333336</v>
      </c>
      <c r="B119" s="14">
        <v>-62.67</v>
      </c>
      <c r="C119" s="15">
        <v>0</v>
      </c>
      <c r="D119" s="15">
        <v>1.39</v>
      </c>
      <c r="E119" s="15">
        <v>30.94</v>
      </c>
      <c r="F119" s="16">
        <v>58.83</v>
      </c>
      <c r="G119" s="19" t="str">
        <f>TEXT(Table4_137[[#This Row],[date]], "hh:mm")</f>
        <v>23:00</v>
      </c>
      <c r="H119" s="25" t="str">
        <f t="shared" si="1"/>
        <v/>
      </c>
      <c r="I119" s="22"/>
    </row>
    <row r="120" spans="1:9">
      <c r="A120" s="13">
        <v>45851.979166666664</v>
      </c>
      <c r="B120" s="14">
        <v>-101.41</v>
      </c>
      <c r="C120" s="15">
        <v>0</v>
      </c>
      <c r="D120" s="15">
        <v>1.05</v>
      </c>
      <c r="E120" s="15">
        <v>30.87</v>
      </c>
      <c r="F120" s="16">
        <v>53.54</v>
      </c>
      <c r="G120" s="19" t="str">
        <f>TEXT(Table4_137[[#This Row],[date]], "hh:mm")</f>
        <v>23:30</v>
      </c>
      <c r="H120" s="25" t="str">
        <f t="shared" si="1"/>
        <v/>
      </c>
      <c r="I120" s="22"/>
    </row>
    <row r="121" spans="1:9">
      <c r="A121" s="13">
        <v>45852</v>
      </c>
      <c r="B121" s="14">
        <v>-87.13</v>
      </c>
      <c r="C121" s="15">
        <v>0</v>
      </c>
      <c r="D121" s="15">
        <v>0.6</v>
      </c>
      <c r="E121" s="15">
        <v>30.93</v>
      </c>
      <c r="F121" s="16">
        <v>65.36</v>
      </c>
      <c r="G121" s="19" t="str">
        <f>TEXT(Table4_137[[#This Row],[date]], "hh:mm")</f>
        <v>00:00</v>
      </c>
      <c r="H121" s="25" t="str">
        <f t="shared" si="1"/>
        <v>14 Jul</v>
      </c>
      <c r="I121" s="22"/>
    </row>
    <row r="122" spans="1:9">
      <c r="A122" s="13">
        <v>45852.020833333336</v>
      </c>
      <c r="B122" s="14">
        <v>-50.52</v>
      </c>
      <c r="C122" s="15">
        <v>0</v>
      </c>
      <c r="D122" s="15">
        <v>0.18</v>
      </c>
      <c r="E122" s="15">
        <v>25.74</v>
      </c>
      <c r="F122" s="16">
        <v>57.01</v>
      </c>
      <c r="G122" s="19" t="str">
        <f>TEXT(Table4_137[[#This Row],[date]], "hh:mm")</f>
        <v>00:30</v>
      </c>
      <c r="H122" s="25" t="str">
        <f t="shared" si="1"/>
        <v/>
      </c>
      <c r="I122" s="22"/>
    </row>
    <row r="123" spans="1:9">
      <c r="A123" s="13">
        <v>45852.041666666664</v>
      </c>
      <c r="B123" s="14">
        <v>-4.3099999999999996</v>
      </c>
      <c r="C123" s="15">
        <v>0</v>
      </c>
      <c r="D123" s="15">
        <v>1.05</v>
      </c>
      <c r="E123" s="15">
        <v>0</v>
      </c>
      <c r="F123" s="16">
        <v>64.89</v>
      </c>
      <c r="G123" s="19" t="str">
        <f>TEXT(Table4_137[[#This Row],[date]], "hh:mm")</f>
        <v>01:00</v>
      </c>
      <c r="H123" s="25" t="str">
        <f t="shared" si="1"/>
        <v/>
      </c>
      <c r="I123" s="22"/>
    </row>
    <row r="124" spans="1:9">
      <c r="A124" s="13">
        <v>45852.0625</v>
      </c>
      <c r="B124" s="14">
        <v>-51.03</v>
      </c>
      <c r="C124" s="15">
        <v>0</v>
      </c>
      <c r="D124" s="15">
        <v>0.28999999999999998</v>
      </c>
      <c r="E124" s="15">
        <v>0</v>
      </c>
      <c r="F124" s="16">
        <v>68.540000000000006</v>
      </c>
      <c r="G124" s="19" t="str">
        <f>TEXT(Table4_137[[#This Row],[date]], "hh:mm")</f>
        <v>01:30</v>
      </c>
      <c r="H124" s="25" t="str">
        <f t="shared" si="1"/>
        <v/>
      </c>
      <c r="I124" s="22"/>
    </row>
    <row r="125" spans="1:9">
      <c r="A125" s="13">
        <v>45852.083333333336</v>
      </c>
      <c r="B125" s="14">
        <v>-52.8</v>
      </c>
      <c r="C125" s="15">
        <v>0</v>
      </c>
      <c r="D125" s="15">
        <v>0.35</v>
      </c>
      <c r="E125" s="15">
        <v>0</v>
      </c>
      <c r="F125" s="16">
        <v>69.52</v>
      </c>
      <c r="G125" s="19" t="str">
        <f>TEXT(Table4_137[[#This Row],[date]], "hh:mm")</f>
        <v>02:00</v>
      </c>
      <c r="H125" s="25" t="str">
        <f t="shared" si="1"/>
        <v/>
      </c>
      <c r="I125" s="22"/>
    </row>
    <row r="126" spans="1:9">
      <c r="A126" s="13">
        <v>45852.104166666664</v>
      </c>
      <c r="B126" s="14">
        <v>-67.489999999999995</v>
      </c>
      <c r="C126" s="15">
        <v>0</v>
      </c>
      <c r="D126" s="15">
        <v>1.51</v>
      </c>
      <c r="E126" s="15">
        <v>0</v>
      </c>
      <c r="F126" s="16">
        <v>51.17</v>
      </c>
      <c r="G126" s="19" t="str">
        <f>TEXT(Table4_137[[#This Row],[date]], "hh:mm")</f>
        <v>02:30</v>
      </c>
      <c r="H126" s="25" t="str">
        <f t="shared" si="1"/>
        <v/>
      </c>
      <c r="I126" s="22"/>
    </row>
    <row r="127" spans="1:9">
      <c r="A127" s="13">
        <v>45852.125</v>
      </c>
      <c r="B127" s="14">
        <v>-63.85</v>
      </c>
      <c r="C127" s="15">
        <v>0</v>
      </c>
      <c r="D127" s="15">
        <v>1.01</v>
      </c>
      <c r="E127" s="15">
        <v>0</v>
      </c>
      <c r="F127" s="16">
        <v>56.71</v>
      </c>
      <c r="G127" s="19" t="str">
        <f>TEXT(Table4_137[[#This Row],[date]], "hh:mm")</f>
        <v>03:00</v>
      </c>
      <c r="H127" s="25" t="str">
        <f t="shared" si="1"/>
        <v/>
      </c>
      <c r="I127" s="22"/>
    </row>
    <row r="128" spans="1:9">
      <c r="A128" s="13">
        <v>45852.145833333336</v>
      </c>
      <c r="B128" s="14">
        <v>-43.63</v>
      </c>
      <c r="C128" s="15">
        <v>0</v>
      </c>
      <c r="D128" s="15">
        <v>1.59</v>
      </c>
      <c r="E128" s="15">
        <v>0</v>
      </c>
      <c r="F128" s="16">
        <v>56.98</v>
      </c>
      <c r="G128" s="19" t="str">
        <f>TEXT(Table4_137[[#This Row],[date]], "hh:mm")</f>
        <v>03:30</v>
      </c>
      <c r="H128" s="25" t="str">
        <f t="shared" si="1"/>
        <v/>
      </c>
      <c r="I128" s="22"/>
    </row>
    <row r="129" spans="1:9">
      <c r="A129" s="13">
        <v>45852.166666666664</v>
      </c>
      <c r="B129" s="14">
        <v>-55.86</v>
      </c>
      <c r="C129" s="15">
        <v>0</v>
      </c>
      <c r="D129" s="15">
        <v>11.02</v>
      </c>
      <c r="E129" s="15">
        <v>-0.05</v>
      </c>
      <c r="F129" s="16">
        <v>57.01</v>
      </c>
      <c r="G129" s="19" t="str">
        <f>TEXT(Table4_137[[#This Row],[date]], "hh:mm")</f>
        <v>04:00</v>
      </c>
      <c r="H129" s="25" t="str">
        <f t="shared" si="1"/>
        <v/>
      </c>
      <c r="I129" s="22"/>
    </row>
    <row r="130" spans="1:9">
      <c r="A130" s="13">
        <v>45852.1875</v>
      </c>
      <c r="B130" s="14">
        <v>-95.96</v>
      </c>
      <c r="C130" s="15">
        <v>0</v>
      </c>
      <c r="D130" s="15">
        <v>0.69</v>
      </c>
      <c r="E130" s="15">
        <v>0</v>
      </c>
      <c r="F130" s="16">
        <v>72.489999999999995</v>
      </c>
      <c r="G130" s="19" t="str">
        <f>TEXT(Table4_137[[#This Row],[date]], "hh:mm")</f>
        <v>04:30</v>
      </c>
      <c r="H130" s="25" t="str">
        <f t="shared" ref="H130:H193" si="2">IF(AND(HOUR(A130)=0,MINUTE(A130)=0),TEXT(A130,"d mmm"),"")</f>
        <v/>
      </c>
      <c r="I130" s="22"/>
    </row>
    <row r="131" spans="1:9">
      <c r="A131" s="13">
        <v>45852.208333333336</v>
      </c>
      <c r="B131" s="14">
        <v>-37.93</v>
      </c>
      <c r="C131" s="15">
        <v>0</v>
      </c>
      <c r="D131" s="15">
        <v>5.82</v>
      </c>
      <c r="E131" s="15">
        <v>0</v>
      </c>
      <c r="F131" s="16">
        <v>69.599999999999994</v>
      </c>
      <c r="G131" s="19" t="str">
        <f>TEXT(Table4_137[[#This Row],[date]], "hh:mm")</f>
        <v>05:00</v>
      </c>
      <c r="H131" s="25" t="str">
        <f t="shared" si="2"/>
        <v/>
      </c>
      <c r="I131" s="22"/>
    </row>
    <row r="132" spans="1:9">
      <c r="A132" s="13">
        <v>45852.229166666664</v>
      </c>
      <c r="B132" s="14">
        <v>-10.93</v>
      </c>
      <c r="C132" s="15">
        <v>0</v>
      </c>
      <c r="D132" s="15">
        <v>4.59</v>
      </c>
      <c r="E132" s="15">
        <v>57.01</v>
      </c>
      <c r="F132" s="16">
        <v>77.510000000000005</v>
      </c>
      <c r="G132" s="19" t="str">
        <f>TEXT(Table4_137[[#This Row],[date]], "hh:mm")</f>
        <v>05:30</v>
      </c>
      <c r="H132" s="25" t="str">
        <f t="shared" si="2"/>
        <v/>
      </c>
      <c r="I132" s="22"/>
    </row>
    <row r="133" spans="1:9">
      <c r="A133" s="13">
        <v>45852.25</v>
      </c>
      <c r="B133" s="14">
        <v>-10.5</v>
      </c>
      <c r="C133" s="15">
        <v>0</v>
      </c>
      <c r="D133" s="15">
        <v>83.72</v>
      </c>
      <c r="E133" s="15">
        <v>233.36</v>
      </c>
      <c r="F133" s="16">
        <v>93.14</v>
      </c>
      <c r="G133" s="19" t="str">
        <f>TEXT(Table4_137[[#This Row],[date]], "hh:mm")</f>
        <v>06:00</v>
      </c>
      <c r="H133" s="25" t="str">
        <f t="shared" si="2"/>
        <v/>
      </c>
      <c r="I133" s="22"/>
    </row>
    <row r="134" spans="1:9">
      <c r="A134" s="13">
        <v>45852.270833333336</v>
      </c>
      <c r="B134" s="14">
        <v>-15.9</v>
      </c>
      <c r="C134" s="15">
        <v>0</v>
      </c>
      <c r="D134" s="15">
        <v>146.22999999999999</v>
      </c>
      <c r="E134" s="15">
        <v>190.83</v>
      </c>
      <c r="F134" s="16">
        <v>153.1</v>
      </c>
      <c r="G134" s="19" t="str">
        <f>TEXT(Table4_137[[#This Row],[date]], "hh:mm")</f>
        <v>06:30</v>
      </c>
      <c r="H134" s="25" t="str">
        <f t="shared" si="2"/>
        <v/>
      </c>
      <c r="I134" s="22"/>
    </row>
    <row r="135" spans="1:9">
      <c r="A135" s="13">
        <v>45852.291666666664</v>
      </c>
      <c r="B135" s="14">
        <v>-2.09</v>
      </c>
      <c r="C135" s="15">
        <v>0</v>
      </c>
      <c r="D135" s="15">
        <v>240.67</v>
      </c>
      <c r="E135" s="15">
        <v>358.43</v>
      </c>
      <c r="F135" s="16">
        <v>147.21</v>
      </c>
      <c r="G135" s="19" t="str">
        <f>TEXT(Table4_137[[#This Row],[date]], "hh:mm")</f>
        <v>07:00</v>
      </c>
      <c r="H135" s="25" t="str">
        <f t="shared" si="2"/>
        <v/>
      </c>
      <c r="I135" s="22"/>
    </row>
    <row r="136" spans="1:9">
      <c r="A136" s="13">
        <v>45852.3125</v>
      </c>
      <c r="B136" s="14">
        <v>-4.78</v>
      </c>
      <c r="C136" s="15">
        <v>0</v>
      </c>
      <c r="D136" s="15">
        <v>89.95</v>
      </c>
      <c r="E136" s="15">
        <v>577.28</v>
      </c>
      <c r="F136" s="16">
        <v>154.78</v>
      </c>
      <c r="G136" s="19" t="str">
        <f>TEXT(Table4_137[[#This Row],[date]], "hh:mm")</f>
        <v>07:30</v>
      </c>
      <c r="H136" s="25" t="str">
        <f t="shared" si="2"/>
        <v/>
      </c>
      <c r="I136" s="22"/>
    </row>
    <row r="137" spans="1:9">
      <c r="A137" s="13">
        <v>45852.333333333336</v>
      </c>
      <c r="B137" s="14">
        <v>-5.0999999999999996</v>
      </c>
      <c r="C137" s="15">
        <v>0</v>
      </c>
      <c r="D137" s="15">
        <v>80.38</v>
      </c>
      <c r="E137" s="15">
        <v>298.17</v>
      </c>
      <c r="F137" s="16">
        <v>81.06</v>
      </c>
      <c r="G137" s="19" t="str">
        <f>TEXT(Table4_137[[#This Row],[date]], "hh:mm")</f>
        <v>08:00</v>
      </c>
      <c r="H137" s="25" t="str">
        <f t="shared" si="2"/>
        <v/>
      </c>
      <c r="I137" s="22"/>
    </row>
    <row r="138" spans="1:9">
      <c r="A138" s="13">
        <v>45852.354166666664</v>
      </c>
      <c r="B138" s="14">
        <v>-35.28</v>
      </c>
      <c r="C138" s="15">
        <v>0</v>
      </c>
      <c r="D138" s="15">
        <v>1.1599999999999999</v>
      </c>
      <c r="E138" s="15">
        <v>0</v>
      </c>
      <c r="F138" s="16">
        <v>-14.01</v>
      </c>
      <c r="G138" s="19" t="str">
        <f>TEXT(Table4_137[[#This Row],[date]], "hh:mm")</f>
        <v>08:30</v>
      </c>
      <c r="H138" s="25" t="str">
        <f t="shared" si="2"/>
        <v/>
      </c>
      <c r="I138" s="22"/>
    </row>
    <row r="139" spans="1:9">
      <c r="A139" s="13">
        <v>45852.375</v>
      </c>
      <c r="B139" s="14">
        <v>-38.520000000000003</v>
      </c>
      <c r="C139" s="15">
        <v>-26.8</v>
      </c>
      <c r="D139" s="15">
        <v>0.81</v>
      </c>
      <c r="E139" s="15">
        <v>0</v>
      </c>
      <c r="F139" s="16">
        <v>16.04</v>
      </c>
      <c r="G139" s="19" t="str">
        <f>TEXT(Table4_137[[#This Row],[date]], "hh:mm")</f>
        <v>09:00</v>
      </c>
      <c r="H139" s="25" t="str">
        <f t="shared" si="2"/>
        <v/>
      </c>
      <c r="I139" s="22"/>
    </row>
    <row r="140" spans="1:9">
      <c r="A140" s="13">
        <v>45852.395833333336</v>
      </c>
      <c r="B140" s="14">
        <v>-8.85</v>
      </c>
      <c r="C140" s="15">
        <v>-97.44</v>
      </c>
      <c r="D140" s="15">
        <v>1.08</v>
      </c>
      <c r="E140" s="15">
        <v>0</v>
      </c>
      <c r="F140" s="16">
        <v>50.35</v>
      </c>
      <c r="G140" s="19" t="str">
        <f>TEXT(Table4_137[[#This Row],[date]], "hh:mm")</f>
        <v>09:30</v>
      </c>
      <c r="H140" s="25" t="str">
        <f t="shared" si="2"/>
        <v/>
      </c>
      <c r="I140" s="22"/>
    </row>
    <row r="141" spans="1:9">
      <c r="A141" s="13">
        <v>45852.416666666664</v>
      </c>
      <c r="B141" s="14">
        <v>-81.27</v>
      </c>
      <c r="C141" s="15">
        <v>-283.64</v>
      </c>
      <c r="D141" s="15">
        <v>2.21</v>
      </c>
      <c r="E141" s="15">
        <v>0</v>
      </c>
      <c r="F141" s="16">
        <v>24</v>
      </c>
      <c r="G141" s="19" t="str">
        <f>TEXT(Table4_137[[#This Row],[date]], "hh:mm")</f>
        <v>10:00</v>
      </c>
      <c r="H141" s="25" t="str">
        <f t="shared" si="2"/>
        <v/>
      </c>
      <c r="I141" s="22"/>
    </row>
    <row r="142" spans="1:9">
      <c r="A142" s="13">
        <v>45852.4375</v>
      </c>
      <c r="B142" s="14">
        <v>-106.43</v>
      </c>
      <c r="C142" s="15">
        <v>-480.14</v>
      </c>
      <c r="D142" s="15">
        <v>1.74</v>
      </c>
      <c r="E142" s="15">
        <v>0</v>
      </c>
      <c r="F142" s="16">
        <v>45</v>
      </c>
      <c r="G142" s="19" t="str">
        <f>TEXT(Table4_137[[#This Row],[date]], "hh:mm")</f>
        <v>10:30</v>
      </c>
      <c r="H142" s="25" t="str">
        <f t="shared" si="2"/>
        <v/>
      </c>
      <c r="I142" s="22"/>
    </row>
    <row r="143" spans="1:9">
      <c r="A143" s="13">
        <v>45852.458333333336</v>
      </c>
      <c r="B143" s="14">
        <v>-244.89</v>
      </c>
      <c r="C143" s="15">
        <v>-657.9</v>
      </c>
      <c r="D143" s="15">
        <v>0.02</v>
      </c>
      <c r="E143" s="15">
        <v>0</v>
      </c>
      <c r="F143" s="16">
        <v>-9.5</v>
      </c>
      <c r="G143" s="19" t="str">
        <f>TEXT(Table4_137[[#This Row],[date]], "hh:mm")</f>
        <v>11:00</v>
      </c>
      <c r="H143" s="25" t="str">
        <f t="shared" si="2"/>
        <v/>
      </c>
      <c r="I143" s="22"/>
    </row>
    <row r="144" spans="1:9">
      <c r="A144" s="13">
        <v>45852.479166666664</v>
      </c>
      <c r="B144" s="14">
        <v>-458.77</v>
      </c>
      <c r="C144" s="15">
        <v>-657.57</v>
      </c>
      <c r="D144" s="15">
        <v>0.31</v>
      </c>
      <c r="E144" s="15">
        <v>0</v>
      </c>
      <c r="F144" s="16">
        <v>22.93</v>
      </c>
      <c r="G144" s="19" t="str">
        <f>TEXT(Table4_137[[#This Row],[date]], "hh:mm")</f>
        <v>11:30</v>
      </c>
      <c r="H144" s="25" t="str">
        <f t="shared" si="2"/>
        <v/>
      </c>
      <c r="I144" s="22"/>
    </row>
    <row r="145" spans="1:9">
      <c r="A145" s="13">
        <v>45852.5</v>
      </c>
      <c r="B145" s="14">
        <v>-292.61</v>
      </c>
      <c r="C145" s="15">
        <v>-657.06</v>
      </c>
      <c r="D145" s="15">
        <v>275.94</v>
      </c>
      <c r="E145" s="15">
        <v>0</v>
      </c>
      <c r="F145" s="16">
        <v>-18</v>
      </c>
      <c r="G145" s="19" t="str">
        <f>TEXT(Table4_137[[#This Row],[date]], "hh:mm")</f>
        <v>12:00</v>
      </c>
      <c r="H145" s="25" t="str">
        <f t="shared" si="2"/>
        <v/>
      </c>
      <c r="I145" s="22"/>
    </row>
    <row r="146" spans="1:9">
      <c r="A146" s="13">
        <v>45852.520833333336</v>
      </c>
      <c r="B146" s="14">
        <v>-403.44</v>
      </c>
      <c r="C146" s="15">
        <v>-655.29999999999995</v>
      </c>
      <c r="D146" s="15">
        <v>47.4</v>
      </c>
      <c r="E146" s="15">
        <v>0</v>
      </c>
      <c r="F146" s="16">
        <v>-19.690000000000001</v>
      </c>
      <c r="G146" s="19" t="str">
        <f>TEXT(Table4_137[[#This Row],[date]], "hh:mm")</f>
        <v>12:30</v>
      </c>
      <c r="H146" s="25" t="str">
        <f t="shared" si="2"/>
        <v/>
      </c>
      <c r="I146" s="22"/>
    </row>
    <row r="147" spans="1:9">
      <c r="A147" s="13">
        <v>45852.541666666664</v>
      </c>
      <c r="B147" s="14">
        <v>-473.85</v>
      </c>
      <c r="C147" s="15">
        <v>-654.79999999999995</v>
      </c>
      <c r="D147" s="15">
        <v>1.51</v>
      </c>
      <c r="E147" s="15">
        <v>0</v>
      </c>
      <c r="F147" s="16">
        <v>-14.01</v>
      </c>
      <c r="G147" s="19" t="str">
        <f>TEXT(Table4_137[[#This Row],[date]], "hh:mm")</f>
        <v>13:00</v>
      </c>
      <c r="H147" s="25" t="str">
        <f t="shared" si="2"/>
        <v/>
      </c>
      <c r="I147" s="22"/>
    </row>
    <row r="148" spans="1:9">
      <c r="A148" s="13">
        <v>45852.5625</v>
      </c>
      <c r="B148" s="14">
        <v>-248.12</v>
      </c>
      <c r="C148" s="15">
        <v>-655.72</v>
      </c>
      <c r="D148" s="15">
        <v>0.09</v>
      </c>
      <c r="E148" s="15">
        <v>0</v>
      </c>
      <c r="F148" s="16">
        <v>-14.01</v>
      </c>
      <c r="G148" s="19" t="str">
        <f>TEXT(Table4_137[[#This Row],[date]], "hh:mm")</f>
        <v>13:30</v>
      </c>
      <c r="H148" s="25" t="str">
        <f t="shared" si="2"/>
        <v/>
      </c>
      <c r="I148" s="22"/>
    </row>
    <row r="149" spans="1:9">
      <c r="A149" s="13">
        <v>45852.583333333336</v>
      </c>
      <c r="B149" s="14">
        <v>-35.68</v>
      </c>
      <c r="C149" s="15">
        <v>-653.5</v>
      </c>
      <c r="D149" s="15">
        <v>0.33</v>
      </c>
      <c r="E149" s="15">
        <v>0</v>
      </c>
      <c r="F149" s="16">
        <v>-18</v>
      </c>
      <c r="G149" s="19" t="str">
        <f>TEXT(Table4_137[[#This Row],[date]], "hh:mm")</f>
        <v>14:00</v>
      </c>
      <c r="H149" s="25" t="str">
        <f t="shared" si="2"/>
        <v/>
      </c>
      <c r="I149" s="22"/>
    </row>
    <row r="150" spans="1:9">
      <c r="A150" s="13">
        <v>45852.604166666664</v>
      </c>
      <c r="B150" s="14">
        <v>-3.48</v>
      </c>
      <c r="C150" s="15">
        <v>-653.39</v>
      </c>
      <c r="D150" s="15">
        <v>143.33000000000001</v>
      </c>
      <c r="E150" s="15">
        <v>0</v>
      </c>
      <c r="F150" s="16">
        <v>-17.5</v>
      </c>
      <c r="G150" s="19" t="str">
        <f>TEXT(Table4_137[[#This Row],[date]], "hh:mm")</f>
        <v>14:30</v>
      </c>
      <c r="H150" s="25" t="str">
        <f t="shared" si="2"/>
        <v/>
      </c>
      <c r="I150" s="22"/>
    </row>
    <row r="151" spans="1:9">
      <c r="A151" s="13">
        <v>45852.625</v>
      </c>
      <c r="B151" s="14">
        <v>-53.08</v>
      </c>
      <c r="C151" s="15">
        <v>-639.83000000000004</v>
      </c>
      <c r="D151" s="15">
        <v>281.5</v>
      </c>
      <c r="E151" s="15">
        <v>0</v>
      </c>
      <c r="F151" s="16">
        <v>-14.99</v>
      </c>
      <c r="G151" s="19" t="str">
        <f>TEXT(Table4_137[[#This Row],[date]], "hh:mm")</f>
        <v>15:00</v>
      </c>
      <c r="H151" s="25" t="str">
        <f t="shared" si="2"/>
        <v/>
      </c>
      <c r="I151" s="22"/>
    </row>
    <row r="152" spans="1:9">
      <c r="A152" s="13">
        <v>45852.645833333336</v>
      </c>
      <c r="B152" s="14">
        <v>-118.18</v>
      </c>
      <c r="C152" s="15">
        <v>-572.38</v>
      </c>
      <c r="D152" s="15">
        <v>245.71</v>
      </c>
      <c r="E152" s="15">
        <v>0</v>
      </c>
      <c r="F152" s="16">
        <v>-14.05</v>
      </c>
      <c r="G152" s="19" t="str">
        <f>TEXT(Table4_137[[#This Row],[date]], "hh:mm")</f>
        <v>15:30</v>
      </c>
      <c r="H152" s="25" t="str">
        <f t="shared" si="2"/>
        <v/>
      </c>
      <c r="I152" s="22"/>
    </row>
    <row r="153" spans="1:9">
      <c r="A153" s="13">
        <v>45852.666666666664</v>
      </c>
      <c r="B153" s="14">
        <v>-371.88</v>
      </c>
      <c r="C153" s="15">
        <v>-254.63</v>
      </c>
      <c r="D153" s="15">
        <v>15.72</v>
      </c>
      <c r="E153" s="15">
        <v>0</v>
      </c>
      <c r="F153" s="16">
        <v>38.6</v>
      </c>
      <c r="G153" s="19" t="str">
        <f>TEXT(Table4_137[[#This Row],[date]], "hh:mm")</f>
        <v>16:00</v>
      </c>
      <c r="H153" s="25" t="str">
        <f t="shared" si="2"/>
        <v/>
      </c>
      <c r="I153" s="22"/>
    </row>
    <row r="154" spans="1:9">
      <c r="A154" s="13">
        <v>45852.6875</v>
      </c>
      <c r="B154" s="14">
        <v>-303.89999999999998</v>
      </c>
      <c r="C154" s="15">
        <v>0</v>
      </c>
      <c r="D154" s="15">
        <v>8.73</v>
      </c>
      <c r="E154" s="15">
        <v>0</v>
      </c>
      <c r="F154" s="16">
        <v>61.64</v>
      </c>
      <c r="G154" s="19" t="str">
        <f>TEXT(Table4_137[[#This Row],[date]], "hh:mm")</f>
        <v>16:30</v>
      </c>
      <c r="H154" s="25" t="str">
        <f t="shared" si="2"/>
        <v/>
      </c>
      <c r="I154" s="22"/>
    </row>
    <row r="155" spans="1:9">
      <c r="A155" s="13">
        <v>45852.708333333336</v>
      </c>
      <c r="B155" s="14">
        <v>-53.59</v>
      </c>
      <c r="C155" s="15">
        <v>0</v>
      </c>
      <c r="D155" s="15">
        <v>19.29</v>
      </c>
      <c r="E155" s="15">
        <v>340.54</v>
      </c>
      <c r="F155" s="16">
        <v>174.6</v>
      </c>
      <c r="G155" s="19" t="str">
        <f>TEXT(Table4_137[[#This Row],[date]], "hh:mm")</f>
        <v>17:00</v>
      </c>
      <c r="H155" s="25" t="str">
        <f t="shared" si="2"/>
        <v/>
      </c>
      <c r="I155" s="22"/>
    </row>
    <row r="156" spans="1:9">
      <c r="A156" s="13">
        <v>45852.729166666664</v>
      </c>
      <c r="B156" s="14">
        <v>-8.41</v>
      </c>
      <c r="C156" s="15">
        <v>0</v>
      </c>
      <c r="D156" s="15">
        <v>80.709999999999994</v>
      </c>
      <c r="E156" s="15">
        <v>532.32000000000005</v>
      </c>
      <c r="F156" s="16">
        <v>173.02</v>
      </c>
      <c r="G156" s="19" t="str">
        <f>TEXT(Table4_137[[#This Row],[date]], "hh:mm")</f>
        <v>17:30</v>
      </c>
      <c r="H156" s="25" t="str">
        <f t="shared" si="2"/>
        <v/>
      </c>
      <c r="I156" s="22"/>
    </row>
    <row r="157" spans="1:9">
      <c r="A157" s="13">
        <v>45852.75</v>
      </c>
      <c r="B157" s="14">
        <v>-10.9</v>
      </c>
      <c r="C157" s="15">
        <v>0</v>
      </c>
      <c r="D157" s="15">
        <v>147.34</v>
      </c>
      <c r="E157" s="15">
        <v>581.86</v>
      </c>
      <c r="F157" s="16">
        <v>210.1</v>
      </c>
      <c r="G157" s="19" t="str">
        <f>TEXT(Table4_137[[#This Row],[date]], "hh:mm")</f>
        <v>18:00</v>
      </c>
      <c r="H157" s="25" t="str">
        <f t="shared" si="2"/>
        <v/>
      </c>
      <c r="I157" s="22"/>
    </row>
    <row r="158" spans="1:9">
      <c r="A158" s="13">
        <v>45852.770833333336</v>
      </c>
      <c r="B158" s="14">
        <v>-5.97</v>
      </c>
      <c r="C158" s="15">
        <v>0</v>
      </c>
      <c r="D158" s="15">
        <v>232.35</v>
      </c>
      <c r="E158" s="15">
        <v>607.35</v>
      </c>
      <c r="F158" s="16">
        <v>226.15</v>
      </c>
      <c r="G158" s="19" t="str">
        <f>TEXT(Table4_137[[#This Row],[date]], "hh:mm")</f>
        <v>18:30</v>
      </c>
      <c r="H158" s="25" t="str">
        <f t="shared" si="2"/>
        <v/>
      </c>
      <c r="I158" s="22"/>
    </row>
    <row r="159" spans="1:9">
      <c r="A159" s="13">
        <v>45852.791666666664</v>
      </c>
      <c r="B159" s="14">
        <v>-7.68</v>
      </c>
      <c r="C159" s="15">
        <v>0</v>
      </c>
      <c r="D159" s="15">
        <v>158.43</v>
      </c>
      <c r="E159" s="15">
        <v>606.84</v>
      </c>
      <c r="F159" s="16">
        <v>155.22999999999999</v>
      </c>
      <c r="G159" s="19" t="str">
        <f>TEXT(Table4_137[[#This Row],[date]], "hh:mm")</f>
        <v>19:00</v>
      </c>
      <c r="H159" s="25" t="str">
        <f t="shared" si="2"/>
        <v/>
      </c>
      <c r="I159" s="22"/>
    </row>
    <row r="160" spans="1:9">
      <c r="A160" s="13">
        <v>45852.8125</v>
      </c>
      <c r="B160" s="14">
        <v>-5.16</v>
      </c>
      <c r="C160" s="15">
        <v>0</v>
      </c>
      <c r="D160" s="15">
        <v>98.18</v>
      </c>
      <c r="E160" s="15">
        <v>607.63</v>
      </c>
      <c r="F160" s="16">
        <v>153.5</v>
      </c>
      <c r="G160" s="19" t="str">
        <f>TEXT(Table4_137[[#This Row],[date]], "hh:mm")</f>
        <v>19:30</v>
      </c>
      <c r="H160" s="25" t="str">
        <f t="shared" si="2"/>
        <v/>
      </c>
      <c r="I160" s="22"/>
    </row>
    <row r="161" spans="1:9">
      <c r="A161" s="13">
        <v>45852.833333333336</v>
      </c>
      <c r="B161" s="14">
        <v>-6.88</v>
      </c>
      <c r="C161" s="15">
        <v>0</v>
      </c>
      <c r="D161" s="15">
        <v>17.59</v>
      </c>
      <c r="E161" s="15">
        <v>566.23</v>
      </c>
      <c r="F161" s="16">
        <v>150.07</v>
      </c>
      <c r="G161" s="19" t="str">
        <f>TEXT(Table4_137[[#This Row],[date]], "hh:mm")</f>
        <v>20:00</v>
      </c>
      <c r="H161" s="25" t="str">
        <f t="shared" si="2"/>
        <v/>
      </c>
      <c r="I161" s="22"/>
    </row>
    <row r="162" spans="1:9">
      <c r="A162" s="13">
        <v>45852.854166666664</v>
      </c>
      <c r="B162" s="14">
        <v>-4.63</v>
      </c>
      <c r="C162" s="15">
        <v>0</v>
      </c>
      <c r="D162" s="15">
        <v>2</v>
      </c>
      <c r="E162" s="15">
        <v>360.47</v>
      </c>
      <c r="F162" s="16">
        <v>140.38</v>
      </c>
      <c r="G162" s="19" t="str">
        <f>TEXT(Table4_137[[#This Row],[date]], "hh:mm")</f>
        <v>20:30</v>
      </c>
      <c r="H162" s="25" t="str">
        <f t="shared" si="2"/>
        <v/>
      </c>
      <c r="I162" s="22"/>
    </row>
    <row r="163" spans="1:9">
      <c r="A163" s="13">
        <v>45852.875</v>
      </c>
      <c r="B163" s="14">
        <v>-6.52</v>
      </c>
      <c r="C163" s="15">
        <v>0</v>
      </c>
      <c r="D163" s="15">
        <v>2.0699999999999998</v>
      </c>
      <c r="E163" s="15">
        <v>385.38</v>
      </c>
      <c r="F163" s="16">
        <v>150.07</v>
      </c>
      <c r="G163" s="19" t="str">
        <f>TEXT(Table4_137[[#This Row],[date]], "hh:mm")</f>
        <v>21:00</v>
      </c>
      <c r="H163" s="25" t="str">
        <f t="shared" si="2"/>
        <v/>
      </c>
      <c r="I163" s="22"/>
    </row>
    <row r="164" spans="1:9">
      <c r="A164" s="13">
        <v>45852.895833333336</v>
      </c>
      <c r="B164" s="14">
        <v>-9.9499999999999993</v>
      </c>
      <c r="C164" s="15">
        <v>0</v>
      </c>
      <c r="D164" s="15">
        <v>0.06</v>
      </c>
      <c r="E164" s="15">
        <v>505.2</v>
      </c>
      <c r="F164" s="16">
        <v>124.24</v>
      </c>
      <c r="G164" s="19" t="str">
        <f>TEXT(Table4_137[[#This Row],[date]], "hh:mm")</f>
        <v>21:30</v>
      </c>
      <c r="H164" s="25" t="str">
        <f t="shared" si="2"/>
        <v/>
      </c>
      <c r="I164" s="22"/>
    </row>
    <row r="165" spans="1:9">
      <c r="A165" s="13">
        <v>45852.916666666664</v>
      </c>
      <c r="B165" s="14">
        <v>-33.520000000000003</v>
      </c>
      <c r="C165" s="15">
        <v>0</v>
      </c>
      <c r="D165" s="15">
        <v>1.25</v>
      </c>
      <c r="E165" s="15">
        <v>317.8</v>
      </c>
      <c r="F165" s="16">
        <v>100.02</v>
      </c>
      <c r="G165" s="19" t="str">
        <f>TEXT(Table4_137[[#This Row],[date]], "hh:mm")</f>
        <v>22:00</v>
      </c>
      <c r="H165" s="25" t="str">
        <f t="shared" si="2"/>
        <v/>
      </c>
      <c r="I165" s="22"/>
    </row>
    <row r="166" spans="1:9">
      <c r="A166" s="13">
        <v>45852.9375</v>
      </c>
      <c r="B166" s="14">
        <v>-9.76</v>
      </c>
      <c r="C166" s="15">
        <v>0</v>
      </c>
      <c r="D166" s="15">
        <v>0.87</v>
      </c>
      <c r="E166" s="15">
        <v>486.3</v>
      </c>
      <c r="F166" s="16">
        <v>110.83</v>
      </c>
      <c r="G166" s="19" t="str">
        <f>TEXT(Table4_137[[#This Row],[date]], "hh:mm")</f>
        <v>22:30</v>
      </c>
      <c r="H166" s="25" t="str">
        <f t="shared" si="2"/>
        <v/>
      </c>
      <c r="I166" s="22"/>
    </row>
    <row r="167" spans="1:9">
      <c r="A167" s="13">
        <v>45852.958333333336</v>
      </c>
      <c r="B167" s="14">
        <v>-21.79</v>
      </c>
      <c r="C167" s="15">
        <v>0</v>
      </c>
      <c r="D167" s="15">
        <v>0.96</v>
      </c>
      <c r="E167" s="15">
        <v>255.87</v>
      </c>
      <c r="F167" s="16">
        <v>95.27</v>
      </c>
      <c r="G167" s="19" t="str">
        <f>TEXT(Table4_137[[#This Row],[date]], "hh:mm")</f>
        <v>23:00</v>
      </c>
      <c r="H167" s="25" t="str">
        <f t="shared" si="2"/>
        <v/>
      </c>
      <c r="I167" s="22"/>
    </row>
    <row r="168" spans="1:9">
      <c r="A168" s="13">
        <v>45852.979166666664</v>
      </c>
      <c r="B168" s="14">
        <v>-36.96</v>
      </c>
      <c r="C168" s="15">
        <v>0</v>
      </c>
      <c r="D168" s="15">
        <v>0.49</v>
      </c>
      <c r="E168" s="15">
        <v>158.85</v>
      </c>
      <c r="F168" s="16">
        <v>100.02</v>
      </c>
      <c r="G168" s="19" t="str">
        <f>TEXT(Table4_137[[#This Row],[date]], "hh:mm")</f>
        <v>23:30</v>
      </c>
      <c r="H168" s="25" t="str">
        <f t="shared" si="2"/>
        <v/>
      </c>
      <c r="I168" s="22"/>
    </row>
    <row r="169" spans="1:9">
      <c r="A169" s="13">
        <v>45853</v>
      </c>
      <c r="B169" s="14">
        <v>-19.12</v>
      </c>
      <c r="C169" s="15">
        <v>0</v>
      </c>
      <c r="D169" s="15">
        <v>0.34</v>
      </c>
      <c r="E169" s="15">
        <v>122.72</v>
      </c>
      <c r="F169" s="16">
        <v>85.21</v>
      </c>
      <c r="G169" s="19" t="str">
        <f>TEXT(Table4_137[[#This Row],[date]], "hh:mm")</f>
        <v>00:00</v>
      </c>
      <c r="H169" s="25" t="str">
        <f t="shared" si="2"/>
        <v>15 Jul</v>
      </c>
      <c r="I169" s="22"/>
    </row>
    <row r="170" spans="1:9">
      <c r="A170" s="13">
        <v>45853.020833333336</v>
      </c>
      <c r="B170" s="14">
        <v>-21.55</v>
      </c>
      <c r="C170" s="15">
        <v>0</v>
      </c>
      <c r="D170" s="15">
        <v>0.37</v>
      </c>
      <c r="E170" s="15">
        <v>119.14</v>
      </c>
      <c r="F170" s="16">
        <v>85.12</v>
      </c>
      <c r="G170" s="19" t="str">
        <f>TEXT(Table4_137[[#This Row],[date]], "hh:mm")</f>
        <v>00:30</v>
      </c>
      <c r="H170" s="25" t="str">
        <f t="shared" si="2"/>
        <v/>
      </c>
      <c r="I170" s="22"/>
    </row>
    <row r="171" spans="1:9">
      <c r="A171" s="13">
        <v>45853.041666666664</v>
      </c>
      <c r="B171" s="14">
        <v>-21.09</v>
      </c>
      <c r="C171" s="15">
        <v>0</v>
      </c>
      <c r="D171" s="15">
        <v>0.54</v>
      </c>
      <c r="E171" s="15">
        <v>110.71</v>
      </c>
      <c r="F171" s="16">
        <v>86.24</v>
      </c>
      <c r="G171" s="19" t="str">
        <f>TEXT(Table4_137[[#This Row],[date]], "hh:mm")</f>
        <v>01:00</v>
      </c>
      <c r="H171" s="25" t="str">
        <f t="shared" si="2"/>
        <v/>
      </c>
      <c r="I171" s="22"/>
    </row>
    <row r="172" spans="1:9">
      <c r="A172" s="13">
        <v>45853.0625</v>
      </c>
      <c r="B172" s="14">
        <v>-13.15</v>
      </c>
      <c r="C172" s="15">
        <v>-67.53</v>
      </c>
      <c r="D172" s="15">
        <v>0.25</v>
      </c>
      <c r="E172" s="15">
        <v>103.52</v>
      </c>
      <c r="F172" s="16">
        <v>86.45</v>
      </c>
      <c r="G172" s="19" t="str">
        <f>TEXT(Table4_137[[#This Row],[date]], "hh:mm")</f>
        <v>01:30</v>
      </c>
      <c r="H172" s="25" t="str">
        <f t="shared" si="2"/>
        <v/>
      </c>
      <c r="I172" s="22"/>
    </row>
    <row r="173" spans="1:9">
      <c r="A173" s="13">
        <v>45853.083333333336</v>
      </c>
      <c r="B173" s="14">
        <v>-36.590000000000003</v>
      </c>
      <c r="C173" s="15">
        <v>-80.69</v>
      </c>
      <c r="D173" s="15">
        <v>0.28999999999999998</v>
      </c>
      <c r="E173" s="15">
        <v>43.12</v>
      </c>
      <c r="F173" s="16">
        <v>75.13</v>
      </c>
      <c r="G173" s="19" t="str">
        <f>TEXT(Table4_137[[#This Row],[date]], "hh:mm")</f>
        <v>02:00</v>
      </c>
      <c r="H173" s="25" t="str">
        <f t="shared" si="2"/>
        <v/>
      </c>
      <c r="I173" s="22"/>
    </row>
    <row r="174" spans="1:9">
      <c r="A174" s="13">
        <v>45853.104166666664</v>
      </c>
      <c r="B174" s="14">
        <v>-160.09</v>
      </c>
      <c r="C174" s="15">
        <v>-80.63</v>
      </c>
      <c r="D174" s="15">
        <v>3.79</v>
      </c>
      <c r="E174" s="15">
        <v>14.02</v>
      </c>
      <c r="F174" s="16">
        <v>76.8</v>
      </c>
      <c r="G174" s="19" t="str">
        <f>TEXT(Table4_137[[#This Row],[date]], "hh:mm")</f>
        <v>02:30</v>
      </c>
      <c r="H174" s="25" t="str">
        <f t="shared" si="2"/>
        <v/>
      </c>
      <c r="I174" s="22"/>
    </row>
    <row r="175" spans="1:9">
      <c r="A175" s="13">
        <v>45853.125</v>
      </c>
      <c r="B175" s="14">
        <v>-104.48</v>
      </c>
      <c r="C175" s="15">
        <v>-80.709999999999994</v>
      </c>
      <c r="D175" s="15">
        <v>3.86</v>
      </c>
      <c r="E175" s="15">
        <v>14.05</v>
      </c>
      <c r="F175" s="16">
        <v>76.8</v>
      </c>
      <c r="G175" s="19" t="str">
        <f>TEXT(Table4_137[[#This Row],[date]], "hh:mm")</f>
        <v>03:00</v>
      </c>
      <c r="H175" s="25" t="str">
        <f t="shared" si="2"/>
        <v/>
      </c>
      <c r="I175" s="22"/>
    </row>
    <row r="176" spans="1:9">
      <c r="A176" s="13">
        <v>45853.145833333336</v>
      </c>
      <c r="B176" s="14">
        <v>-73.5</v>
      </c>
      <c r="C176" s="15">
        <v>-80.64</v>
      </c>
      <c r="D176" s="15">
        <v>0.03</v>
      </c>
      <c r="E176" s="15">
        <v>17.57</v>
      </c>
      <c r="F176" s="16">
        <v>76.3</v>
      </c>
      <c r="G176" s="19" t="str">
        <f>TEXT(Table4_137[[#This Row],[date]], "hh:mm")</f>
        <v>03:30</v>
      </c>
      <c r="H176" s="25" t="str">
        <f t="shared" si="2"/>
        <v/>
      </c>
      <c r="I176" s="22"/>
    </row>
    <row r="177" spans="1:9">
      <c r="A177" s="13">
        <v>45853.166666666664</v>
      </c>
      <c r="B177" s="14">
        <v>-203.92</v>
      </c>
      <c r="C177" s="15">
        <v>-80.66</v>
      </c>
      <c r="D177" s="15">
        <v>0.57999999999999996</v>
      </c>
      <c r="E177" s="15">
        <v>0</v>
      </c>
      <c r="F177" s="16">
        <v>76.58</v>
      </c>
      <c r="G177" s="19" t="str">
        <f>TEXT(Table4_137[[#This Row],[date]], "hh:mm")</f>
        <v>04:00</v>
      </c>
      <c r="H177" s="25" t="str">
        <f t="shared" si="2"/>
        <v/>
      </c>
      <c r="I177" s="22"/>
    </row>
    <row r="178" spans="1:9">
      <c r="A178" s="13">
        <v>45853.1875</v>
      </c>
      <c r="B178" s="14">
        <v>-255.16</v>
      </c>
      <c r="C178" s="15">
        <v>-67.19</v>
      </c>
      <c r="D178" s="15">
        <v>4.05</v>
      </c>
      <c r="E178" s="15">
        <v>0</v>
      </c>
      <c r="F178" s="16">
        <v>74.790000000000006</v>
      </c>
      <c r="G178" s="19" t="str">
        <f>TEXT(Table4_137[[#This Row],[date]], "hh:mm")</f>
        <v>04:30</v>
      </c>
      <c r="H178" s="25" t="str">
        <f t="shared" si="2"/>
        <v/>
      </c>
      <c r="I178" s="22"/>
    </row>
    <row r="179" spans="1:9">
      <c r="A179" s="13">
        <v>45853.208333333336</v>
      </c>
      <c r="B179" s="14">
        <v>-152.51</v>
      </c>
      <c r="C179" s="15">
        <v>0</v>
      </c>
      <c r="D179" s="15">
        <v>1.85</v>
      </c>
      <c r="E179" s="15">
        <v>28.8</v>
      </c>
      <c r="F179" s="16">
        <v>73.25</v>
      </c>
      <c r="G179" s="19" t="str">
        <f>TEXT(Table4_137[[#This Row],[date]], "hh:mm")</f>
        <v>05:00</v>
      </c>
      <c r="H179" s="25" t="str">
        <f t="shared" si="2"/>
        <v/>
      </c>
      <c r="I179" s="22"/>
    </row>
    <row r="180" spans="1:9">
      <c r="A180" s="13">
        <v>45853.229166666664</v>
      </c>
      <c r="B180" s="14">
        <v>-127.28</v>
      </c>
      <c r="C180" s="15">
        <v>0</v>
      </c>
      <c r="D180" s="15">
        <v>0.38</v>
      </c>
      <c r="E180" s="15">
        <v>135.81</v>
      </c>
      <c r="F180" s="16">
        <v>83.87</v>
      </c>
      <c r="G180" s="19" t="str">
        <f>TEXT(Table4_137[[#This Row],[date]], "hh:mm")</f>
        <v>05:30</v>
      </c>
      <c r="H180" s="25" t="str">
        <f t="shared" si="2"/>
        <v/>
      </c>
      <c r="I180" s="22"/>
    </row>
    <row r="181" spans="1:9">
      <c r="A181" s="13">
        <v>45853.25</v>
      </c>
      <c r="B181" s="14">
        <v>-6.98</v>
      </c>
      <c r="C181" s="15">
        <v>0</v>
      </c>
      <c r="D181" s="15">
        <v>6.6</v>
      </c>
      <c r="E181" s="15">
        <v>261.24</v>
      </c>
      <c r="F181" s="16">
        <v>90.66</v>
      </c>
      <c r="G181" s="19" t="str">
        <f>TEXT(Table4_137[[#This Row],[date]], "hh:mm")</f>
        <v>06:00</v>
      </c>
      <c r="H181" s="25" t="str">
        <f t="shared" si="2"/>
        <v/>
      </c>
      <c r="I181" s="22"/>
    </row>
    <row r="182" spans="1:9">
      <c r="A182" s="13">
        <v>45853.270833333336</v>
      </c>
      <c r="B182" s="14">
        <v>-2.31</v>
      </c>
      <c r="C182" s="15">
        <v>0</v>
      </c>
      <c r="D182" s="15">
        <v>40.520000000000003</v>
      </c>
      <c r="E182" s="15">
        <v>705.19</v>
      </c>
      <c r="F182" s="16">
        <v>113.84</v>
      </c>
      <c r="G182" s="19" t="str">
        <f>TEXT(Table4_137[[#This Row],[date]], "hh:mm")</f>
        <v>06:30</v>
      </c>
      <c r="H182" s="25" t="str">
        <f t="shared" si="2"/>
        <v/>
      </c>
      <c r="I182" s="22"/>
    </row>
    <row r="183" spans="1:9">
      <c r="A183" s="13">
        <v>45853.291666666664</v>
      </c>
      <c r="B183" s="14">
        <v>-2.91</v>
      </c>
      <c r="C183" s="15">
        <v>0</v>
      </c>
      <c r="D183" s="15">
        <v>139.94</v>
      </c>
      <c r="E183" s="15">
        <v>771.76</v>
      </c>
      <c r="F183" s="16">
        <v>144.66</v>
      </c>
      <c r="G183" s="19" t="str">
        <f>TEXT(Table4_137[[#This Row],[date]], "hh:mm")</f>
        <v>07:00</v>
      </c>
      <c r="H183" s="25" t="str">
        <f t="shared" si="2"/>
        <v/>
      </c>
      <c r="I183" s="22"/>
    </row>
    <row r="184" spans="1:9">
      <c r="A184" s="13">
        <v>45853.3125</v>
      </c>
      <c r="B184" s="14">
        <v>-1.6</v>
      </c>
      <c r="C184" s="15">
        <v>0</v>
      </c>
      <c r="D184" s="15">
        <v>266.73</v>
      </c>
      <c r="E184" s="15">
        <v>780.94</v>
      </c>
      <c r="F184" s="16">
        <v>130.34</v>
      </c>
      <c r="G184" s="19" t="str">
        <f>TEXT(Table4_137[[#This Row],[date]], "hh:mm")</f>
        <v>07:30</v>
      </c>
      <c r="H184" s="25" t="str">
        <f t="shared" si="2"/>
        <v/>
      </c>
      <c r="I184" s="22"/>
    </row>
    <row r="185" spans="1:9">
      <c r="A185" s="13">
        <v>45853.333333333336</v>
      </c>
      <c r="B185" s="14">
        <v>-2.98</v>
      </c>
      <c r="C185" s="15">
        <v>0</v>
      </c>
      <c r="D185" s="15">
        <v>194.55</v>
      </c>
      <c r="E185" s="15">
        <v>741.74</v>
      </c>
      <c r="F185" s="16">
        <v>136.08000000000001</v>
      </c>
      <c r="G185" s="19" t="str">
        <f>TEXT(Table4_137[[#This Row],[date]], "hh:mm")</f>
        <v>08:00</v>
      </c>
      <c r="H185" s="25" t="str">
        <f t="shared" si="2"/>
        <v/>
      </c>
      <c r="I185" s="22"/>
    </row>
    <row r="186" spans="1:9">
      <c r="A186" s="13">
        <v>45853.354166666664</v>
      </c>
      <c r="B186" s="14">
        <v>-0.01</v>
      </c>
      <c r="C186" s="15">
        <v>0</v>
      </c>
      <c r="D186" s="15">
        <v>146.44999999999999</v>
      </c>
      <c r="E186" s="15">
        <v>193.41</v>
      </c>
      <c r="F186" s="16">
        <v>134.16999999999999</v>
      </c>
      <c r="G186" s="19" t="str">
        <f>TEXT(Table4_137[[#This Row],[date]], "hh:mm")</f>
        <v>08:30</v>
      </c>
      <c r="H186" s="25" t="str">
        <f t="shared" si="2"/>
        <v/>
      </c>
      <c r="I186" s="22"/>
    </row>
    <row r="187" spans="1:9">
      <c r="A187" s="13">
        <v>45853.375</v>
      </c>
      <c r="B187" s="14">
        <v>-3.63</v>
      </c>
      <c r="C187" s="15">
        <v>0</v>
      </c>
      <c r="D187" s="15">
        <v>30.23</v>
      </c>
      <c r="E187" s="15">
        <v>72.650000000000006</v>
      </c>
      <c r="F187" s="16">
        <v>134.69</v>
      </c>
      <c r="G187" s="19" t="str">
        <f>TEXT(Table4_137[[#This Row],[date]], "hh:mm")</f>
        <v>09:00</v>
      </c>
      <c r="H187" s="25" t="str">
        <f t="shared" si="2"/>
        <v/>
      </c>
      <c r="I187" s="22"/>
    </row>
    <row r="188" spans="1:9">
      <c r="A188" s="13">
        <v>45853.395833333336</v>
      </c>
      <c r="B188" s="14">
        <v>-5.25</v>
      </c>
      <c r="C188" s="15">
        <v>0</v>
      </c>
      <c r="D188" s="15">
        <v>2.73</v>
      </c>
      <c r="E188" s="15">
        <v>0</v>
      </c>
      <c r="F188" s="16">
        <v>105.74</v>
      </c>
      <c r="G188" s="19" t="str">
        <f>TEXT(Table4_137[[#This Row],[date]], "hh:mm")</f>
        <v>09:30</v>
      </c>
      <c r="H188" s="25" t="str">
        <f t="shared" si="2"/>
        <v/>
      </c>
      <c r="I188" s="22"/>
    </row>
    <row r="189" spans="1:9">
      <c r="A189" s="13">
        <v>45853.416666666664</v>
      </c>
      <c r="B189" s="14">
        <v>-2.91</v>
      </c>
      <c r="C189" s="15">
        <v>0</v>
      </c>
      <c r="D189" s="15">
        <v>32.299999999999997</v>
      </c>
      <c r="E189" s="15">
        <v>0</v>
      </c>
      <c r="F189" s="16">
        <v>190.2</v>
      </c>
      <c r="G189" s="19" t="str">
        <f>TEXT(Table4_137[[#This Row],[date]], "hh:mm")</f>
        <v>10:00</v>
      </c>
      <c r="H189" s="25" t="str">
        <f t="shared" si="2"/>
        <v/>
      </c>
      <c r="I189" s="22"/>
    </row>
    <row r="190" spans="1:9">
      <c r="A190" s="13">
        <v>45853.4375</v>
      </c>
      <c r="B190" s="14">
        <v>-3.08</v>
      </c>
      <c r="C190" s="15">
        <v>0</v>
      </c>
      <c r="D190" s="15">
        <v>14.56</v>
      </c>
      <c r="E190" s="15">
        <v>0</v>
      </c>
      <c r="F190" s="16">
        <v>118.95</v>
      </c>
      <c r="G190" s="19" t="str">
        <f>TEXT(Table4_137[[#This Row],[date]], "hh:mm")</f>
        <v>10:30</v>
      </c>
      <c r="H190" s="25" t="str">
        <f t="shared" si="2"/>
        <v/>
      </c>
      <c r="I190" s="22"/>
    </row>
    <row r="191" spans="1:9">
      <c r="A191" s="13">
        <v>45853.458333333336</v>
      </c>
      <c r="B191" s="14">
        <v>-18</v>
      </c>
      <c r="C191" s="15">
        <v>-67.22</v>
      </c>
      <c r="D191" s="15">
        <v>186.4</v>
      </c>
      <c r="E191" s="15">
        <v>0</v>
      </c>
      <c r="F191" s="16">
        <v>100.48</v>
      </c>
      <c r="G191" s="19" t="str">
        <f>TEXT(Table4_137[[#This Row],[date]], "hh:mm")</f>
        <v>11:00</v>
      </c>
      <c r="H191" s="25" t="str">
        <f t="shared" si="2"/>
        <v/>
      </c>
      <c r="I191" s="22"/>
    </row>
    <row r="192" spans="1:9">
      <c r="A192" s="13">
        <v>45853.479166666664</v>
      </c>
      <c r="B192" s="14">
        <v>-36.04</v>
      </c>
      <c r="C192" s="15">
        <v>-80.680000000000007</v>
      </c>
      <c r="D192" s="15">
        <v>276.32</v>
      </c>
      <c r="E192" s="15">
        <v>0</v>
      </c>
      <c r="F192" s="16">
        <v>99.44</v>
      </c>
      <c r="G192" s="19" t="str">
        <f>TEXT(Table4_137[[#This Row],[date]], "hh:mm")</f>
        <v>11:30</v>
      </c>
      <c r="H192" s="25" t="str">
        <f t="shared" si="2"/>
        <v/>
      </c>
      <c r="I192" s="22"/>
    </row>
    <row r="193" spans="1:9">
      <c r="A193" s="13">
        <v>45853.5</v>
      </c>
      <c r="B193" s="14">
        <v>-171.54</v>
      </c>
      <c r="C193" s="15">
        <v>-80.61</v>
      </c>
      <c r="D193" s="15">
        <v>140.53</v>
      </c>
      <c r="E193" s="15">
        <v>0</v>
      </c>
      <c r="F193" s="16">
        <v>99.93</v>
      </c>
      <c r="G193" s="19" t="str">
        <f>TEXT(Table4_137[[#This Row],[date]], "hh:mm")</f>
        <v>12:00</v>
      </c>
      <c r="H193" s="25" t="str">
        <f t="shared" si="2"/>
        <v/>
      </c>
      <c r="I193" s="22"/>
    </row>
    <row r="194" spans="1:9">
      <c r="A194" s="13">
        <v>45853.520833333336</v>
      </c>
      <c r="B194" s="14">
        <v>-335.08</v>
      </c>
      <c r="C194" s="15">
        <v>-80.64</v>
      </c>
      <c r="D194" s="15">
        <v>1.1000000000000001</v>
      </c>
      <c r="E194" s="15">
        <v>0</v>
      </c>
      <c r="F194" s="16">
        <v>103.73</v>
      </c>
      <c r="G194" s="19" t="str">
        <f>TEXT(Table4_137[[#This Row],[date]], "hh:mm")</f>
        <v>12:30</v>
      </c>
      <c r="H194" s="25" t="str">
        <f t="shared" ref="H194:H257" si="3">IF(AND(HOUR(A194)=0,MINUTE(A194)=0),TEXT(A194,"d mmm"),"")</f>
        <v/>
      </c>
      <c r="I194" s="22"/>
    </row>
    <row r="195" spans="1:9">
      <c r="A195" s="13">
        <v>45853.541666666664</v>
      </c>
      <c r="B195" s="14">
        <v>-295</v>
      </c>
      <c r="C195" s="15">
        <v>-80.47</v>
      </c>
      <c r="D195" s="15">
        <v>1.71</v>
      </c>
      <c r="E195" s="15">
        <v>0</v>
      </c>
      <c r="F195" s="16">
        <v>92.31</v>
      </c>
      <c r="G195" s="19" t="str">
        <f>TEXT(Table4_137[[#This Row],[date]], "hh:mm")</f>
        <v>13:00</v>
      </c>
      <c r="H195" s="25" t="str">
        <f t="shared" si="3"/>
        <v/>
      </c>
      <c r="I195" s="22"/>
    </row>
    <row r="196" spans="1:9">
      <c r="A196" s="13">
        <v>45853.5625</v>
      </c>
      <c r="B196" s="14">
        <v>-142.77000000000001</v>
      </c>
      <c r="C196" s="15">
        <v>-80.540000000000006</v>
      </c>
      <c r="D196" s="15">
        <v>0.14000000000000001</v>
      </c>
      <c r="E196" s="15">
        <v>0</v>
      </c>
      <c r="F196" s="16">
        <v>90.24</v>
      </c>
      <c r="G196" s="19" t="str">
        <f>TEXT(Table4_137[[#This Row],[date]], "hh:mm")</f>
        <v>13:30</v>
      </c>
      <c r="H196" s="25" t="str">
        <f t="shared" si="3"/>
        <v/>
      </c>
      <c r="I196" s="22"/>
    </row>
    <row r="197" spans="1:9">
      <c r="A197" s="13">
        <v>45853.583333333336</v>
      </c>
      <c r="B197" s="14">
        <v>-139.22</v>
      </c>
      <c r="C197" s="15">
        <v>-67.069999999999993</v>
      </c>
      <c r="D197" s="15">
        <v>48.38</v>
      </c>
      <c r="E197" s="15">
        <v>0</v>
      </c>
      <c r="F197" s="16">
        <v>85.68</v>
      </c>
      <c r="G197" s="19" t="str">
        <f>TEXT(Table4_137[[#This Row],[date]], "hh:mm")</f>
        <v>14:00</v>
      </c>
      <c r="H197" s="25" t="str">
        <f t="shared" si="3"/>
        <v/>
      </c>
      <c r="I197" s="22"/>
    </row>
    <row r="198" spans="1:9">
      <c r="A198" s="13">
        <v>45853.604166666664</v>
      </c>
      <c r="B198" s="14">
        <v>-243.01</v>
      </c>
      <c r="C198" s="15">
        <v>0</v>
      </c>
      <c r="D198" s="15">
        <v>49.75</v>
      </c>
      <c r="E198" s="15">
        <v>0</v>
      </c>
      <c r="F198" s="16">
        <v>85.72</v>
      </c>
      <c r="G198" s="19" t="str">
        <f>TEXT(Table4_137[[#This Row],[date]], "hh:mm")</f>
        <v>14:30</v>
      </c>
      <c r="H198" s="25" t="str">
        <f t="shared" si="3"/>
        <v/>
      </c>
      <c r="I198" s="22"/>
    </row>
    <row r="199" spans="1:9">
      <c r="A199" s="13">
        <v>45853.625</v>
      </c>
      <c r="B199" s="14">
        <v>-169.84</v>
      </c>
      <c r="C199" s="15">
        <v>0</v>
      </c>
      <c r="D199" s="15">
        <v>18.43</v>
      </c>
      <c r="E199" s="15">
        <v>0</v>
      </c>
      <c r="F199" s="16">
        <v>93.83</v>
      </c>
      <c r="G199" s="19" t="str">
        <f>TEXT(Table4_137[[#This Row],[date]], "hh:mm")</f>
        <v>15:00</v>
      </c>
      <c r="H199" s="25" t="str">
        <f t="shared" si="3"/>
        <v/>
      </c>
      <c r="I199" s="22"/>
    </row>
    <row r="200" spans="1:9">
      <c r="A200" s="13">
        <v>45853.645833333336</v>
      </c>
      <c r="B200" s="14">
        <v>-166.03</v>
      </c>
      <c r="C200" s="15">
        <v>0</v>
      </c>
      <c r="D200" s="15">
        <v>144.30000000000001</v>
      </c>
      <c r="E200" s="15">
        <v>48.93</v>
      </c>
      <c r="F200" s="16">
        <v>85.8</v>
      </c>
      <c r="G200" s="19" t="str">
        <f>TEXT(Table4_137[[#This Row],[date]], "hh:mm")</f>
        <v>15:30</v>
      </c>
      <c r="H200" s="25" t="str">
        <f t="shared" si="3"/>
        <v/>
      </c>
      <c r="I200" s="22"/>
    </row>
    <row r="201" spans="1:9">
      <c r="A201" s="13">
        <v>45853.666666666664</v>
      </c>
      <c r="B201" s="14">
        <v>-115.04</v>
      </c>
      <c r="C201" s="15">
        <v>0</v>
      </c>
      <c r="D201" s="15">
        <v>18.46</v>
      </c>
      <c r="E201" s="15">
        <v>369.14</v>
      </c>
      <c r="F201" s="16">
        <v>122.68</v>
      </c>
      <c r="G201" s="19" t="str">
        <f>TEXT(Table4_137[[#This Row],[date]], "hh:mm")</f>
        <v>16:00</v>
      </c>
      <c r="H201" s="25" t="str">
        <f t="shared" si="3"/>
        <v/>
      </c>
      <c r="I201" s="22"/>
    </row>
    <row r="202" spans="1:9">
      <c r="A202" s="13">
        <v>45853.6875</v>
      </c>
      <c r="B202" s="14">
        <v>-60.62</v>
      </c>
      <c r="C202" s="15">
        <v>0</v>
      </c>
      <c r="D202" s="15">
        <v>126.24</v>
      </c>
      <c r="E202" s="15">
        <v>658.29</v>
      </c>
      <c r="F202" s="16">
        <v>137.57</v>
      </c>
      <c r="G202" s="19" t="str">
        <f>TEXT(Table4_137[[#This Row],[date]], "hh:mm")</f>
        <v>16:30</v>
      </c>
      <c r="H202" s="25" t="str">
        <f t="shared" si="3"/>
        <v/>
      </c>
      <c r="I202" s="22"/>
    </row>
    <row r="203" spans="1:9">
      <c r="A203" s="13">
        <v>45853.708333333336</v>
      </c>
      <c r="B203" s="14">
        <v>-96.48</v>
      </c>
      <c r="C203" s="15">
        <v>0</v>
      </c>
      <c r="D203" s="15">
        <v>116.18</v>
      </c>
      <c r="E203" s="15">
        <v>975.56</v>
      </c>
      <c r="F203" s="16">
        <v>175.84</v>
      </c>
      <c r="G203" s="19" t="str">
        <f>TEXT(Table4_137[[#This Row],[date]], "hh:mm")</f>
        <v>17:00</v>
      </c>
      <c r="H203" s="25" t="str">
        <f t="shared" si="3"/>
        <v/>
      </c>
      <c r="I203" s="22"/>
    </row>
    <row r="204" spans="1:9">
      <c r="A204" s="13">
        <v>45853.729166666664</v>
      </c>
      <c r="B204" s="14">
        <v>-133.13999999999999</v>
      </c>
      <c r="C204" s="15">
        <v>0</v>
      </c>
      <c r="D204" s="15">
        <v>186.82</v>
      </c>
      <c r="E204" s="15">
        <v>1210.01</v>
      </c>
      <c r="F204" s="16">
        <v>208.37</v>
      </c>
      <c r="G204" s="19" t="str">
        <f>TEXT(Table4_137[[#This Row],[date]], "hh:mm")</f>
        <v>17:30</v>
      </c>
      <c r="H204" s="25" t="str">
        <f t="shared" si="3"/>
        <v/>
      </c>
      <c r="I204" s="22"/>
    </row>
    <row r="205" spans="1:9">
      <c r="A205" s="13">
        <v>45853.75</v>
      </c>
      <c r="B205" s="14">
        <v>-5.15</v>
      </c>
      <c r="C205" s="15">
        <v>0</v>
      </c>
      <c r="D205" s="15">
        <v>172.06</v>
      </c>
      <c r="E205" s="15">
        <v>1262.2</v>
      </c>
      <c r="F205" s="16">
        <v>269.77999999999997</v>
      </c>
      <c r="G205" s="19" t="str">
        <f>TEXT(Table4_137[[#This Row],[date]], "hh:mm")</f>
        <v>18:00</v>
      </c>
      <c r="H205" s="25" t="str">
        <f t="shared" si="3"/>
        <v/>
      </c>
      <c r="I205" s="22"/>
    </row>
    <row r="206" spans="1:9">
      <c r="A206" s="13">
        <v>45853.770833333336</v>
      </c>
      <c r="B206" s="14">
        <v>-5.62</v>
      </c>
      <c r="C206" s="15">
        <v>0</v>
      </c>
      <c r="D206" s="15">
        <v>228.5</v>
      </c>
      <c r="E206" s="15">
        <v>1389.42</v>
      </c>
      <c r="F206" s="16">
        <v>203.88</v>
      </c>
      <c r="G206" s="19" t="str">
        <f>TEXT(Table4_137[[#This Row],[date]], "hh:mm")</f>
        <v>18:30</v>
      </c>
      <c r="H206" s="25" t="str">
        <f t="shared" si="3"/>
        <v/>
      </c>
      <c r="I206" s="22"/>
    </row>
    <row r="207" spans="1:9">
      <c r="A207" s="13">
        <v>45853.791666666664</v>
      </c>
      <c r="B207" s="14">
        <v>-6.27</v>
      </c>
      <c r="C207" s="15">
        <v>0</v>
      </c>
      <c r="D207" s="15">
        <v>115.27</v>
      </c>
      <c r="E207" s="15">
        <v>1339.39</v>
      </c>
      <c r="F207" s="16">
        <v>153.72</v>
      </c>
      <c r="G207" s="19" t="str">
        <f>TEXT(Table4_137[[#This Row],[date]], "hh:mm")</f>
        <v>19:00</v>
      </c>
      <c r="H207" s="25" t="str">
        <f t="shared" si="3"/>
        <v/>
      </c>
      <c r="I207" s="22"/>
    </row>
    <row r="208" spans="1:9">
      <c r="A208" s="13">
        <v>45853.8125</v>
      </c>
      <c r="B208" s="14">
        <v>-17.82</v>
      </c>
      <c r="C208" s="15">
        <v>0</v>
      </c>
      <c r="D208" s="15">
        <v>26.49</v>
      </c>
      <c r="E208" s="15">
        <v>1225.48</v>
      </c>
      <c r="F208" s="16">
        <v>193.27</v>
      </c>
      <c r="G208" s="19" t="str">
        <f>TEXT(Table4_137[[#This Row],[date]], "hh:mm")</f>
        <v>19:30</v>
      </c>
      <c r="H208" s="25" t="str">
        <f t="shared" si="3"/>
        <v/>
      </c>
      <c r="I208" s="22"/>
    </row>
    <row r="209" spans="1:9">
      <c r="A209" s="13">
        <v>45853.833333333336</v>
      </c>
      <c r="B209" s="14">
        <v>-12.74</v>
      </c>
      <c r="C209" s="15">
        <v>0</v>
      </c>
      <c r="D209" s="15">
        <v>2.1800000000000002</v>
      </c>
      <c r="E209" s="15">
        <v>1143.6500000000001</v>
      </c>
      <c r="F209" s="16">
        <v>146.05000000000001</v>
      </c>
      <c r="G209" s="19" t="str">
        <f>TEXT(Table4_137[[#This Row],[date]], "hh:mm")</f>
        <v>20:00</v>
      </c>
      <c r="H209" s="25" t="str">
        <f t="shared" si="3"/>
        <v/>
      </c>
      <c r="I209" s="22"/>
    </row>
    <row r="210" spans="1:9">
      <c r="A210" s="13">
        <v>45853.854166666664</v>
      </c>
      <c r="B210" s="14">
        <v>-8.18</v>
      </c>
      <c r="C210" s="15">
        <v>0</v>
      </c>
      <c r="D210" s="15">
        <v>51.99</v>
      </c>
      <c r="E210" s="15">
        <v>1059.47</v>
      </c>
      <c r="F210" s="16">
        <v>128.78</v>
      </c>
      <c r="G210" s="19" t="str">
        <f>TEXT(Table4_137[[#This Row],[date]], "hh:mm")</f>
        <v>20:30</v>
      </c>
      <c r="H210" s="25" t="str">
        <f t="shared" si="3"/>
        <v/>
      </c>
      <c r="I210" s="22"/>
    </row>
    <row r="211" spans="1:9">
      <c r="A211" s="13">
        <v>45853.875</v>
      </c>
      <c r="B211" s="14">
        <v>-6.76</v>
      </c>
      <c r="C211" s="15">
        <v>0</v>
      </c>
      <c r="D211" s="15">
        <v>38.4</v>
      </c>
      <c r="E211" s="15">
        <v>927.6</v>
      </c>
      <c r="F211" s="16">
        <v>153.12</v>
      </c>
      <c r="G211" s="19" t="str">
        <f>TEXT(Table4_137[[#This Row],[date]], "hh:mm")</f>
        <v>21:00</v>
      </c>
      <c r="H211" s="25" t="str">
        <f t="shared" si="3"/>
        <v/>
      </c>
      <c r="I211" s="22"/>
    </row>
    <row r="212" spans="1:9">
      <c r="A212" s="13">
        <v>45853.895833333336</v>
      </c>
      <c r="B212" s="14">
        <v>-13.72</v>
      </c>
      <c r="C212" s="15">
        <v>0</v>
      </c>
      <c r="D212" s="15">
        <v>9.33</v>
      </c>
      <c r="E212" s="15">
        <v>870.78</v>
      </c>
      <c r="F212" s="16">
        <v>163.04</v>
      </c>
      <c r="G212" s="19" t="str">
        <f>TEXT(Table4_137[[#This Row],[date]], "hh:mm")</f>
        <v>21:30</v>
      </c>
      <c r="H212" s="25" t="str">
        <f t="shared" si="3"/>
        <v/>
      </c>
      <c r="I212" s="22"/>
    </row>
    <row r="213" spans="1:9">
      <c r="A213" s="13">
        <v>45853.916666666664</v>
      </c>
      <c r="B213" s="14">
        <v>-14.12</v>
      </c>
      <c r="C213" s="15">
        <v>0</v>
      </c>
      <c r="D213" s="15">
        <v>0.96</v>
      </c>
      <c r="E213" s="15">
        <v>623.46</v>
      </c>
      <c r="F213" s="16">
        <v>119.99</v>
      </c>
      <c r="G213" s="19" t="str">
        <f>TEXT(Table4_137[[#This Row],[date]], "hh:mm")</f>
        <v>22:00</v>
      </c>
      <c r="H213" s="25" t="str">
        <f t="shared" si="3"/>
        <v/>
      </c>
      <c r="I213" s="22"/>
    </row>
    <row r="214" spans="1:9">
      <c r="A214" s="13">
        <v>45853.9375</v>
      </c>
      <c r="B214" s="14">
        <v>-7.64</v>
      </c>
      <c r="C214" s="15">
        <v>0</v>
      </c>
      <c r="D214" s="15">
        <v>88.99</v>
      </c>
      <c r="E214" s="15">
        <v>600.72</v>
      </c>
      <c r="F214" s="16">
        <v>158.80000000000001</v>
      </c>
      <c r="G214" s="19" t="str">
        <f>TEXT(Table4_137[[#This Row],[date]], "hh:mm")</f>
        <v>22:30</v>
      </c>
      <c r="H214" s="25" t="str">
        <f t="shared" si="3"/>
        <v/>
      </c>
      <c r="I214" s="22"/>
    </row>
    <row r="215" spans="1:9">
      <c r="A215" s="13">
        <v>45853.958333333336</v>
      </c>
      <c r="B215" s="14">
        <v>-11.04</v>
      </c>
      <c r="C215" s="15">
        <v>0</v>
      </c>
      <c r="D215" s="15">
        <v>19.87</v>
      </c>
      <c r="E215" s="15">
        <v>538.44000000000005</v>
      </c>
      <c r="F215" s="16">
        <v>142</v>
      </c>
      <c r="G215" s="19" t="str">
        <f>TEXT(Table4_137[[#This Row],[date]], "hh:mm")</f>
        <v>23:00</v>
      </c>
      <c r="H215" s="25" t="str">
        <f t="shared" si="3"/>
        <v/>
      </c>
      <c r="I215" s="22"/>
    </row>
    <row r="216" spans="1:9">
      <c r="A216" s="13">
        <v>45853.979166666664</v>
      </c>
      <c r="B216" s="14">
        <v>-8.8000000000000007</v>
      </c>
      <c r="C216" s="15">
        <v>0</v>
      </c>
      <c r="D216" s="15">
        <v>0.57999999999999996</v>
      </c>
      <c r="E216" s="15">
        <v>372.84</v>
      </c>
      <c r="F216" s="16">
        <v>87.28</v>
      </c>
      <c r="G216" s="19" t="str">
        <f>TEXT(Table4_137[[#This Row],[date]], "hh:mm")</f>
        <v>23:30</v>
      </c>
      <c r="H216" s="25" t="str">
        <f t="shared" si="3"/>
        <v/>
      </c>
      <c r="I216" s="22"/>
    </row>
    <row r="217" spans="1:9">
      <c r="A217" s="13">
        <v>45854</v>
      </c>
      <c r="B217" s="14">
        <v>-48.46</v>
      </c>
      <c r="C217" s="15">
        <v>0</v>
      </c>
      <c r="D217" s="15">
        <v>1.87</v>
      </c>
      <c r="E217" s="15">
        <v>302.93</v>
      </c>
      <c r="F217" s="16">
        <v>80.03</v>
      </c>
      <c r="G217" s="19" t="str">
        <f>TEXT(Table4_137[[#This Row],[date]], "hh:mm")</f>
        <v>00:00</v>
      </c>
      <c r="H217" s="25" t="str">
        <f t="shared" si="3"/>
        <v>16 Jul</v>
      </c>
      <c r="I217" s="22"/>
    </row>
    <row r="218" spans="1:9">
      <c r="A218" s="13">
        <v>45854.020833333336</v>
      </c>
      <c r="B218" s="14">
        <v>-11.98</v>
      </c>
      <c r="C218" s="15">
        <v>-67.36</v>
      </c>
      <c r="D218" s="15">
        <v>0.11</v>
      </c>
      <c r="E218" s="15">
        <v>226.89</v>
      </c>
      <c r="F218" s="16">
        <v>83.72</v>
      </c>
      <c r="G218" s="19" t="str">
        <f>TEXT(Table4_137[[#This Row],[date]], "hh:mm")</f>
        <v>00:30</v>
      </c>
      <c r="H218" s="25" t="str">
        <f t="shared" si="3"/>
        <v/>
      </c>
      <c r="I218" s="22"/>
    </row>
    <row r="219" spans="1:9">
      <c r="A219" s="13">
        <v>45854.041666666664</v>
      </c>
      <c r="B219" s="14">
        <v>-43.37</v>
      </c>
      <c r="C219" s="15">
        <v>-80.8</v>
      </c>
      <c r="D219" s="15">
        <v>1.17</v>
      </c>
      <c r="E219" s="15">
        <v>74.290000000000006</v>
      </c>
      <c r="F219" s="16">
        <v>75.25</v>
      </c>
      <c r="G219" s="19" t="str">
        <f>TEXT(Table4_137[[#This Row],[date]], "hh:mm")</f>
        <v>01:00</v>
      </c>
      <c r="H219" s="25" t="str">
        <f t="shared" si="3"/>
        <v/>
      </c>
      <c r="I219" s="22"/>
    </row>
    <row r="220" spans="1:9">
      <c r="A220" s="13">
        <v>45854.0625</v>
      </c>
      <c r="B220" s="14">
        <v>-106.28</v>
      </c>
      <c r="C220" s="15">
        <v>-80.760000000000005</v>
      </c>
      <c r="D220" s="15">
        <v>3.33</v>
      </c>
      <c r="E220" s="15">
        <v>76.22</v>
      </c>
      <c r="F220" s="16">
        <v>76.58</v>
      </c>
      <c r="G220" s="19" t="str">
        <f>TEXT(Table4_137[[#This Row],[date]], "hh:mm")</f>
        <v>01:30</v>
      </c>
      <c r="H220" s="25" t="str">
        <f t="shared" si="3"/>
        <v/>
      </c>
      <c r="I220" s="22"/>
    </row>
    <row r="221" spans="1:9">
      <c r="A221" s="13">
        <v>45854.083333333336</v>
      </c>
      <c r="B221" s="14">
        <v>-123.26</v>
      </c>
      <c r="C221" s="15">
        <v>-80.78</v>
      </c>
      <c r="D221" s="15">
        <v>3.31</v>
      </c>
      <c r="E221" s="15">
        <v>59.41</v>
      </c>
      <c r="F221" s="16">
        <v>60.26</v>
      </c>
      <c r="G221" s="19" t="str">
        <f>TEXT(Table4_137[[#This Row],[date]], "hh:mm")</f>
        <v>02:00</v>
      </c>
      <c r="H221" s="25" t="str">
        <f t="shared" si="3"/>
        <v/>
      </c>
      <c r="I221" s="22"/>
    </row>
    <row r="222" spans="1:9">
      <c r="A222" s="13">
        <v>45854.104166666664</v>
      </c>
      <c r="B222" s="14">
        <v>-90.15</v>
      </c>
      <c r="C222" s="15">
        <v>-80.78</v>
      </c>
      <c r="D222" s="15">
        <v>3.86</v>
      </c>
      <c r="E222" s="15">
        <v>27.58</v>
      </c>
      <c r="F222" s="16">
        <v>76.8</v>
      </c>
      <c r="G222" s="19" t="str">
        <f>TEXT(Table4_137[[#This Row],[date]], "hh:mm")</f>
        <v>02:30</v>
      </c>
      <c r="H222" s="25" t="str">
        <f t="shared" si="3"/>
        <v/>
      </c>
      <c r="I222" s="22"/>
    </row>
    <row r="223" spans="1:9">
      <c r="A223" s="13">
        <v>45854.125</v>
      </c>
      <c r="B223" s="14">
        <v>-112.17</v>
      </c>
      <c r="C223" s="15">
        <v>-80.75</v>
      </c>
      <c r="D223" s="15">
        <v>3.74</v>
      </c>
      <c r="E223" s="15">
        <v>4.97</v>
      </c>
      <c r="F223" s="16">
        <v>76.8</v>
      </c>
      <c r="G223" s="19" t="str">
        <f>TEXT(Table4_137[[#This Row],[date]], "hh:mm")</f>
        <v>03:00</v>
      </c>
      <c r="H223" s="25" t="str">
        <f t="shared" si="3"/>
        <v/>
      </c>
      <c r="I223" s="22"/>
    </row>
    <row r="224" spans="1:9">
      <c r="A224" s="13">
        <v>45854.145833333336</v>
      </c>
      <c r="B224" s="14">
        <v>-121.77</v>
      </c>
      <c r="C224" s="15">
        <v>-80.75</v>
      </c>
      <c r="D224" s="15">
        <v>0.05</v>
      </c>
      <c r="E224" s="15">
        <v>0.28000000000000003</v>
      </c>
      <c r="F224" s="16">
        <v>64.89</v>
      </c>
      <c r="G224" s="19" t="str">
        <f>TEXT(Table4_137[[#This Row],[date]], "hh:mm")</f>
        <v>03:30</v>
      </c>
      <c r="H224" s="25" t="str">
        <f t="shared" si="3"/>
        <v/>
      </c>
      <c r="I224" s="22"/>
    </row>
    <row r="225" spans="1:9">
      <c r="A225" s="13">
        <v>45854.166666666664</v>
      </c>
      <c r="B225" s="14">
        <v>-130.87</v>
      </c>
      <c r="C225" s="15">
        <v>-80.61</v>
      </c>
      <c r="D225" s="15">
        <v>0.6</v>
      </c>
      <c r="E225" s="15">
        <v>39.700000000000003</v>
      </c>
      <c r="F225" s="16">
        <v>77.97</v>
      </c>
      <c r="G225" s="19" t="str">
        <f>TEXT(Table4_137[[#This Row],[date]], "hh:mm")</f>
        <v>04:00</v>
      </c>
      <c r="H225" s="25" t="str">
        <f t="shared" si="3"/>
        <v/>
      </c>
      <c r="I225" s="22"/>
    </row>
    <row r="226" spans="1:9">
      <c r="A226" s="13">
        <v>45854.1875</v>
      </c>
      <c r="B226" s="14">
        <v>-100.34</v>
      </c>
      <c r="C226" s="15">
        <v>-80.64</v>
      </c>
      <c r="D226" s="15">
        <v>0.59</v>
      </c>
      <c r="E226" s="15">
        <v>50.75</v>
      </c>
      <c r="F226" s="16">
        <v>76.58</v>
      </c>
      <c r="G226" s="19" t="str">
        <f>TEXT(Table4_137[[#This Row],[date]], "hh:mm")</f>
        <v>04:30</v>
      </c>
      <c r="H226" s="25" t="str">
        <f t="shared" si="3"/>
        <v/>
      </c>
      <c r="I226" s="22"/>
    </row>
    <row r="227" spans="1:9">
      <c r="A227" s="13">
        <v>45854.208333333336</v>
      </c>
      <c r="B227" s="14">
        <v>-42.13</v>
      </c>
      <c r="C227" s="15">
        <v>-67.17</v>
      </c>
      <c r="D227" s="15">
        <v>1.36</v>
      </c>
      <c r="E227" s="15">
        <v>74.22</v>
      </c>
      <c r="F227" s="16">
        <v>76.58</v>
      </c>
      <c r="G227" s="19" t="str">
        <f>TEXT(Table4_137[[#This Row],[date]], "hh:mm")</f>
        <v>05:00</v>
      </c>
      <c r="H227" s="25" t="str">
        <f t="shared" si="3"/>
        <v/>
      </c>
      <c r="I227" s="22"/>
    </row>
    <row r="228" spans="1:9">
      <c r="A228" s="13">
        <v>45854.229166666664</v>
      </c>
      <c r="B228" s="14">
        <v>-8.7799999999999994</v>
      </c>
      <c r="C228" s="15">
        <v>0</v>
      </c>
      <c r="D228" s="15">
        <v>2.0299999999999998</v>
      </c>
      <c r="E228" s="15">
        <v>221.8</v>
      </c>
      <c r="F228" s="16">
        <v>80.010000000000005</v>
      </c>
      <c r="G228" s="19" t="str">
        <f>TEXT(Table4_137[[#This Row],[date]], "hh:mm")</f>
        <v>05:30</v>
      </c>
      <c r="H228" s="25" t="str">
        <f t="shared" si="3"/>
        <v/>
      </c>
      <c r="I228" s="22"/>
    </row>
    <row r="229" spans="1:9">
      <c r="A229" s="13">
        <v>45854.25</v>
      </c>
      <c r="B229" s="14">
        <v>-6.42</v>
      </c>
      <c r="C229" s="15">
        <v>0</v>
      </c>
      <c r="D229" s="15">
        <v>19.12</v>
      </c>
      <c r="E229" s="15">
        <v>478.8</v>
      </c>
      <c r="F229" s="16">
        <v>118.95</v>
      </c>
      <c r="G229" s="19" t="str">
        <f>TEXT(Table4_137[[#This Row],[date]], "hh:mm")</f>
        <v>06:00</v>
      </c>
      <c r="H229" s="25" t="str">
        <f t="shared" si="3"/>
        <v/>
      </c>
      <c r="I229" s="22"/>
    </row>
    <row r="230" spans="1:9">
      <c r="A230" s="13">
        <v>45854.270833333336</v>
      </c>
      <c r="B230" s="14">
        <v>-6.26</v>
      </c>
      <c r="C230" s="15">
        <v>0</v>
      </c>
      <c r="D230" s="15">
        <v>96.17</v>
      </c>
      <c r="E230" s="15">
        <v>789.86</v>
      </c>
      <c r="F230" s="16">
        <v>120.01</v>
      </c>
      <c r="G230" s="19" t="str">
        <f>TEXT(Table4_137[[#This Row],[date]], "hh:mm")</f>
        <v>06:30</v>
      </c>
      <c r="H230" s="25" t="str">
        <f t="shared" si="3"/>
        <v/>
      </c>
      <c r="I230" s="22"/>
    </row>
    <row r="231" spans="1:9">
      <c r="A231" s="13">
        <v>45854.291666666664</v>
      </c>
      <c r="B231" s="14">
        <v>-6.04</v>
      </c>
      <c r="C231" s="15">
        <v>0</v>
      </c>
      <c r="D231" s="15">
        <v>167.76</v>
      </c>
      <c r="E231" s="15">
        <v>983.02</v>
      </c>
      <c r="F231" s="16">
        <v>150.07</v>
      </c>
      <c r="G231" s="19" t="str">
        <f>TEXT(Table4_137[[#This Row],[date]], "hh:mm")</f>
        <v>07:00</v>
      </c>
      <c r="H231" s="25" t="str">
        <f t="shared" si="3"/>
        <v/>
      </c>
      <c r="I231" s="22"/>
    </row>
    <row r="232" spans="1:9">
      <c r="A232" s="13">
        <v>45854.3125</v>
      </c>
      <c r="B232" s="14">
        <v>-22.83</v>
      </c>
      <c r="C232" s="15">
        <v>0</v>
      </c>
      <c r="D232" s="15">
        <v>125.37</v>
      </c>
      <c r="E232" s="15">
        <v>1089.02</v>
      </c>
      <c r="F232" s="16">
        <v>176.21</v>
      </c>
      <c r="G232" s="19" t="str">
        <f>TEXT(Table4_137[[#This Row],[date]], "hh:mm")</f>
        <v>07:30</v>
      </c>
      <c r="H232" s="25" t="str">
        <f t="shared" si="3"/>
        <v/>
      </c>
      <c r="I232" s="22"/>
    </row>
    <row r="233" spans="1:9">
      <c r="A233" s="13">
        <v>45854.333333333336</v>
      </c>
      <c r="B233" s="14">
        <v>-7.13</v>
      </c>
      <c r="C233" s="15">
        <v>0</v>
      </c>
      <c r="D233" s="15">
        <v>133.88999999999999</v>
      </c>
      <c r="E233" s="15">
        <v>843.08</v>
      </c>
      <c r="F233" s="16">
        <v>143.37</v>
      </c>
      <c r="G233" s="19" t="str">
        <f>TEXT(Table4_137[[#This Row],[date]], "hh:mm")</f>
        <v>08:00</v>
      </c>
      <c r="H233" s="25" t="str">
        <f t="shared" si="3"/>
        <v/>
      </c>
      <c r="I233" s="22"/>
    </row>
    <row r="234" spans="1:9">
      <c r="A234" s="13">
        <v>45854.354166666664</v>
      </c>
      <c r="B234" s="14">
        <v>-7.14</v>
      </c>
      <c r="C234" s="15">
        <v>0</v>
      </c>
      <c r="D234" s="15">
        <v>77.94</v>
      </c>
      <c r="E234" s="15">
        <v>243.18</v>
      </c>
      <c r="F234" s="16">
        <v>134.05000000000001</v>
      </c>
      <c r="G234" s="19" t="str">
        <f>TEXT(Table4_137[[#This Row],[date]], "hh:mm")</f>
        <v>08:30</v>
      </c>
      <c r="H234" s="25" t="str">
        <f t="shared" si="3"/>
        <v/>
      </c>
      <c r="I234" s="22"/>
    </row>
    <row r="235" spans="1:9">
      <c r="A235" s="13">
        <v>45854.375</v>
      </c>
      <c r="B235" s="14">
        <v>-6.88</v>
      </c>
      <c r="C235" s="15">
        <v>0</v>
      </c>
      <c r="D235" s="15">
        <v>37.97</v>
      </c>
      <c r="E235" s="15">
        <v>80</v>
      </c>
      <c r="F235" s="16">
        <v>76.8</v>
      </c>
      <c r="G235" s="19" t="str">
        <f>TEXT(Table4_137[[#This Row],[date]], "hh:mm")</f>
        <v>09:00</v>
      </c>
      <c r="H235" s="25" t="str">
        <f t="shared" si="3"/>
        <v/>
      </c>
      <c r="I235" s="22"/>
    </row>
    <row r="236" spans="1:9">
      <c r="A236" s="13">
        <v>45854.395833333336</v>
      </c>
      <c r="B236" s="14">
        <v>-6.98</v>
      </c>
      <c r="C236" s="15">
        <v>0</v>
      </c>
      <c r="D236" s="15">
        <v>6.25</v>
      </c>
      <c r="E236" s="15">
        <v>32.31</v>
      </c>
      <c r="F236" s="16">
        <v>63.76</v>
      </c>
      <c r="G236" s="19" t="str">
        <f>TEXT(Table4_137[[#This Row],[date]], "hh:mm")</f>
        <v>09:30</v>
      </c>
      <c r="H236" s="25" t="str">
        <f t="shared" si="3"/>
        <v/>
      </c>
      <c r="I236" s="22"/>
    </row>
    <row r="237" spans="1:9">
      <c r="A237" s="13">
        <v>45854.416666666664</v>
      </c>
      <c r="B237" s="14">
        <v>-77.48</v>
      </c>
      <c r="C237" s="15">
        <v>0</v>
      </c>
      <c r="D237" s="15">
        <v>0.53</v>
      </c>
      <c r="E237" s="15">
        <v>34.25</v>
      </c>
      <c r="F237" s="16">
        <v>-0.01</v>
      </c>
      <c r="G237" s="19" t="str">
        <f>TEXT(Table4_137[[#This Row],[date]], "hh:mm")</f>
        <v>10:00</v>
      </c>
      <c r="H237" s="25" t="str">
        <f t="shared" si="3"/>
        <v/>
      </c>
      <c r="I237" s="22"/>
    </row>
    <row r="238" spans="1:9">
      <c r="A238" s="13">
        <v>45854.4375</v>
      </c>
      <c r="B238" s="14">
        <v>-111.94</v>
      </c>
      <c r="C238" s="15">
        <v>0</v>
      </c>
      <c r="D238" s="15">
        <v>0.03</v>
      </c>
      <c r="E238" s="15">
        <v>0</v>
      </c>
      <c r="F238" s="16">
        <v>56.98</v>
      </c>
      <c r="G238" s="19" t="str">
        <f>TEXT(Table4_137[[#This Row],[date]], "hh:mm")</f>
        <v>10:30</v>
      </c>
      <c r="H238" s="25" t="str">
        <f t="shared" si="3"/>
        <v/>
      </c>
      <c r="I238" s="22"/>
    </row>
    <row r="239" spans="1:9">
      <c r="A239" s="13">
        <v>45854.458333333336</v>
      </c>
      <c r="B239" s="14">
        <v>-75.11</v>
      </c>
      <c r="C239" s="15">
        <v>-67.3</v>
      </c>
      <c r="D239" s="15">
        <v>137.94999999999999</v>
      </c>
      <c r="E239" s="15">
        <v>0</v>
      </c>
      <c r="F239" s="16">
        <v>-14.01</v>
      </c>
      <c r="G239" s="19" t="str">
        <f>TEXT(Table4_137[[#This Row],[date]], "hh:mm")</f>
        <v>11:00</v>
      </c>
      <c r="H239" s="25" t="str">
        <f t="shared" si="3"/>
        <v/>
      </c>
      <c r="I239" s="22"/>
    </row>
    <row r="240" spans="1:9">
      <c r="A240" s="13">
        <v>45854.479166666664</v>
      </c>
      <c r="B240" s="14">
        <v>-105.88</v>
      </c>
      <c r="C240" s="15">
        <v>-256.69</v>
      </c>
      <c r="D240" s="15">
        <v>129.59</v>
      </c>
      <c r="E240" s="15">
        <v>0</v>
      </c>
      <c r="F240" s="16">
        <v>35.880000000000003</v>
      </c>
      <c r="G240" s="19" t="str">
        <f>TEXT(Table4_137[[#This Row],[date]], "hh:mm")</f>
        <v>11:30</v>
      </c>
      <c r="H240" s="25" t="str">
        <f t="shared" si="3"/>
        <v/>
      </c>
      <c r="I240" s="22"/>
    </row>
    <row r="241" spans="1:9">
      <c r="A241" s="13">
        <v>45854.5</v>
      </c>
      <c r="B241" s="14">
        <v>-92.17</v>
      </c>
      <c r="C241" s="15">
        <v>-271.67</v>
      </c>
      <c r="D241" s="15">
        <v>0.75</v>
      </c>
      <c r="E241" s="15">
        <v>0</v>
      </c>
      <c r="F241" s="16">
        <v>-9.5</v>
      </c>
      <c r="G241" s="19" t="str">
        <f>TEXT(Table4_137[[#This Row],[date]], "hh:mm")</f>
        <v>12:00</v>
      </c>
      <c r="H241" s="25" t="str">
        <f t="shared" si="3"/>
        <v/>
      </c>
      <c r="I241" s="22"/>
    </row>
    <row r="242" spans="1:9">
      <c r="A242" s="13">
        <v>45854.520833333336</v>
      </c>
      <c r="B242" s="14">
        <v>-92.57</v>
      </c>
      <c r="C242" s="15">
        <v>-271.18</v>
      </c>
      <c r="D242" s="15">
        <v>1.18</v>
      </c>
      <c r="E242" s="15">
        <v>0</v>
      </c>
      <c r="F242" s="16">
        <v>56.98</v>
      </c>
      <c r="G242" s="19" t="str">
        <f>TEXT(Table4_137[[#This Row],[date]], "hh:mm")</f>
        <v>12:30</v>
      </c>
      <c r="H242" s="25" t="str">
        <f t="shared" si="3"/>
        <v/>
      </c>
      <c r="I242" s="22"/>
    </row>
    <row r="243" spans="1:9">
      <c r="A243" s="13">
        <v>45854.541666666664</v>
      </c>
      <c r="B243" s="14">
        <v>-213.99</v>
      </c>
      <c r="C243" s="15">
        <v>-271.22000000000003</v>
      </c>
      <c r="D243" s="15">
        <v>0.42</v>
      </c>
      <c r="E243" s="15">
        <v>0</v>
      </c>
      <c r="F243" s="16">
        <v>-14.99</v>
      </c>
      <c r="G243" s="19" t="str">
        <f>TEXT(Table4_137[[#This Row],[date]], "hh:mm")</f>
        <v>13:00</v>
      </c>
      <c r="H243" s="25" t="str">
        <f t="shared" si="3"/>
        <v/>
      </c>
      <c r="I243" s="22"/>
    </row>
    <row r="244" spans="1:9">
      <c r="A244" s="13">
        <v>45854.5625</v>
      </c>
      <c r="B244" s="14">
        <v>-154.68</v>
      </c>
      <c r="C244" s="15">
        <v>-270.79000000000002</v>
      </c>
      <c r="D244" s="15">
        <v>17.059999999999999</v>
      </c>
      <c r="E244" s="15">
        <v>0</v>
      </c>
      <c r="F244" s="16">
        <v>-18</v>
      </c>
      <c r="G244" s="19" t="str">
        <f>TEXT(Table4_137[[#This Row],[date]], "hh:mm")</f>
        <v>13:30</v>
      </c>
      <c r="H244" s="25" t="str">
        <f t="shared" si="3"/>
        <v/>
      </c>
      <c r="I244" s="22"/>
    </row>
    <row r="245" spans="1:9">
      <c r="A245" s="13">
        <v>45854.583333333336</v>
      </c>
      <c r="B245" s="14">
        <v>-57.89</v>
      </c>
      <c r="C245" s="15">
        <v>-271.17</v>
      </c>
      <c r="D245" s="15">
        <v>1.87</v>
      </c>
      <c r="E245" s="15">
        <v>0</v>
      </c>
      <c r="F245" s="16">
        <v>-9.5</v>
      </c>
      <c r="G245" s="19" t="str">
        <f>TEXT(Table4_137[[#This Row],[date]], "hh:mm")</f>
        <v>14:00</v>
      </c>
      <c r="H245" s="25" t="str">
        <f t="shared" si="3"/>
        <v/>
      </c>
      <c r="I245" s="22"/>
    </row>
    <row r="246" spans="1:9">
      <c r="A246" s="13">
        <v>45854.604166666664</v>
      </c>
      <c r="B246" s="14">
        <v>-116.89</v>
      </c>
      <c r="C246" s="15">
        <v>-271.07</v>
      </c>
      <c r="D246" s="15">
        <v>1.87</v>
      </c>
      <c r="E246" s="15">
        <v>0</v>
      </c>
      <c r="F246" s="16">
        <v>-14.99</v>
      </c>
      <c r="G246" s="19" t="str">
        <f>TEXT(Table4_137[[#This Row],[date]], "hh:mm")</f>
        <v>14:30</v>
      </c>
      <c r="H246" s="25" t="str">
        <f t="shared" si="3"/>
        <v/>
      </c>
      <c r="I246" s="22"/>
    </row>
    <row r="247" spans="1:9">
      <c r="A247" s="13">
        <v>45854.625</v>
      </c>
      <c r="B247" s="14">
        <v>-5.53</v>
      </c>
      <c r="C247" s="15">
        <v>-271.54000000000002</v>
      </c>
      <c r="D247" s="15">
        <v>6.61</v>
      </c>
      <c r="E247" s="15">
        <v>0</v>
      </c>
      <c r="F247" s="16">
        <v>35.880000000000003</v>
      </c>
      <c r="G247" s="19" t="str">
        <f>TEXT(Table4_137[[#This Row],[date]], "hh:mm")</f>
        <v>15:00</v>
      </c>
      <c r="H247" s="25" t="str">
        <f t="shared" si="3"/>
        <v/>
      </c>
      <c r="I247" s="22"/>
    </row>
    <row r="248" spans="1:9">
      <c r="A248" s="13">
        <v>45854.645833333336</v>
      </c>
      <c r="B248" s="14">
        <v>-17.36</v>
      </c>
      <c r="C248" s="15">
        <v>-58.45</v>
      </c>
      <c r="D248" s="15">
        <v>32.04</v>
      </c>
      <c r="E248" s="15">
        <v>0</v>
      </c>
      <c r="F248" s="16">
        <v>0</v>
      </c>
      <c r="G248" s="19" t="str">
        <f>TEXT(Table4_137[[#This Row],[date]], "hh:mm")</f>
        <v>15:30</v>
      </c>
      <c r="H248" s="25" t="str">
        <f t="shared" si="3"/>
        <v/>
      </c>
      <c r="I248" s="22"/>
    </row>
    <row r="249" spans="1:9">
      <c r="A249" s="13">
        <v>45854.666666666664</v>
      </c>
      <c r="B249" s="14">
        <v>-16.07</v>
      </c>
      <c r="C249" s="15">
        <v>0</v>
      </c>
      <c r="D249" s="15">
        <v>46.69</v>
      </c>
      <c r="E249" s="15">
        <v>0</v>
      </c>
      <c r="F249" s="16">
        <v>102.78</v>
      </c>
      <c r="G249" s="19" t="str">
        <f>TEXT(Table4_137[[#This Row],[date]], "hh:mm")</f>
        <v>16:00</v>
      </c>
      <c r="H249" s="25" t="str">
        <f t="shared" si="3"/>
        <v/>
      </c>
      <c r="I249" s="22"/>
    </row>
    <row r="250" spans="1:9">
      <c r="A250" s="13">
        <v>45854.6875</v>
      </c>
      <c r="B250" s="14">
        <v>-155.34</v>
      </c>
      <c r="C250" s="15">
        <v>0</v>
      </c>
      <c r="D250" s="15">
        <v>117.61</v>
      </c>
      <c r="E250" s="15">
        <v>360.59</v>
      </c>
      <c r="F250" s="16">
        <v>97.87</v>
      </c>
      <c r="G250" s="19" t="str">
        <f>TEXT(Table4_137[[#This Row],[date]], "hh:mm")</f>
        <v>16:30</v>
      </c>
      <c r="H250" s="25" t="str">
        <f t="shared" si="3"/>
        <v/>
      </c>
      <c r="I250" s="22"/>
    </row>
    <row r="251" spans="1:9">
      <c r="A251" s="13">
        <v>45854.708333333336</v>
      </c>
      <c r="B251" s="14">
        <v>-8.01</v>
      </c>
      <c r="C251" s="15">
        <v>0</v>
      </c>
      <c r="D251" s="15">
        <v>269.66000000000003</v>
      </c>
      <c r="E251" s="15">
        <v>873.38</v>
      </c>
      <c r="F251" s="16">
        <v>173.64</v>
      </c>
      <c r="G251" s="19" t="str">
        <f>TEXT(Table4_137[[#This Row],[date]], "hh:mm")</f>
        <v>17:00</v>
      </c>
      <c r="H251" s="25" t="str">
        <f t="shared" si="3"/>
        <v/>
      </c>
      <c r="I251" s="22"/>
    </row>
    <row r="252" spans="1:9">
      <c r="A252" s="13">
        <v>45854.729166666664</v>
      </c>
      <c r="B252" s="14">
        <v>-1.68</v>
      </c>
      <c r="C252" s="15">
        <v>0</v>
      </c>
      <c r="D252" s="15">
        <v>307.17</v>
      </c>
      <c r="E252" s="15">
        <v>1086.53</v>
      </c>
      <c r="F252" s="16">
        <v>158.97999999999999</v>
      </c>
      <c r="G252" s="19" t="str">
        <f>TEXT(Table4_137[[#This Row],[date]], "hh:mm")</f>
        <v>17:30</v>
      </c>
      <c r="H252" s="25" t="str">
        <f t="shared" si="3"/>
        <v/>
      </c>
      <c r="I252" s="22"/>
    </row>
    <row r="253" spans="1:9">
      <c r="A253" s="13">
        <v>45854.75</v>
      </c>
      <c r="B253" s="14">
        <v>-2.61</v>
      </c>
      <c r="C253" s="15">
        <v>0</v>
      </c>
      <c r="D253" s="15">
        <v>253.76</v>
      </c>
      <c r="E253" s="15">
        <v>1265.21</v>
      </c>
      <c r="F253" s="16">
        <v>277.92</v>
      </c>
      <c r="G253" s="19" t="str">
        <f>TEXT(Table4_137[[#This Row],[date]], "hh:mm")</f>
        <v>18:00</v>
      </c>
      <c r="H253" s="25" t="str">
        <f t="shared" si="3"/>
        <v/>
      </c>
      <c r="I253" s="22"/>
    </row>
    <row r="254" spans="1:9">
      <c r="A254" s="13">
        <v>45854.770833333336</v>
      </c>
      <c r="B254" s="14">
        <v>-1.85</v>
      </c>
      <c r="C254" s="15">
        <v>0</v>
      </c>
      <c r="D254" s="15">
        <v>241.43</v>
      </c>
      <c r="E254" s="15">
        <v>1389.06</v>
      </c>
      <c r="F254" s="16">
        <v>261.18</v>
      </c>
      <c r="G254" s="19" t="str">
        <f>TEXT(Table4_137[[#This Row],[date]], "hh:mm")</f>
        <v>18:30</v>
      </c>
      <c r="H254" s="25" t="str">
        <f t="shared" si="3"/>
        <v/>
      </c>
      <c r="I254" s="22"/>
    </row>
    <row r="255" spans="1:9">
      <c r="A255" s="13">
        <v>45854.791666666664</v>
      </c>
      <c r="B255" s="14">
        <v>-1.62</v>
      </c>
      <c r="C255" s="15">
        <v>0</v>
      </c>
      <c r="D255" s="15">
        <v>186.71</v>
      </c>
      <c r="E255" s="15">
        <v>1433.19</v>
      </c>
      <c r="F255" s="16">
        <v>299.99</v>
      </c>
      <c r="G255" s="19" t="str">
        <f>TEXT(Table4_137[[#This Row],[date]], "hh:mm")</f>
        <v>19:00</v>
      </c>
      <c r="H255" s="25" t="str">
        <f t="shared" si="3"/>
        <v/>
      </c>
      <c r="I255" s="22"/>
    </row>
    <row r="256" spans="1:9">
      <c r="A256" s="13">
        <v>45854.8125</v>
      </c>
      <c r="B256" s="14">
        <v>-4.66</v>
      </c>
      <c r="C256" s="15">
        <v>0</v>
      </c>
      <c r="D256" s="15">
        <v>65.61</v>
      </c>
      <c r="E256" s="15">
        <v>1398.95</v>
      </c>
      <c r="F256" s="16">
        <v>240.57</v>
      </c>
      <c r="G256" s="19" t="str">
        <f>TEXT(Table4_137[[#This Row],[date]], "hh:mm")</f>
        <v>19:30</v>
      </c>
      <c r="H256" s="25" t="str">
        <f t="shared" si="3"/>
        <v/>
      </c>
      <c r="I256" s="22"/>
    </row>
    <row r="257" spans="1:9">
      <c r="A257" s="13">
        <v>45854.833333333336</v>
      </c>
      <c r="B257" s="14">
        <v>-2.19</v>
      </c>
      <c r="C257" s="15">
        <v>0</v>
      </c>
      <c r="D257" s="15">
        <v>38.51</v>
      </c>
      <c r="E257" s="15">
        <v>1178.3399999999999</v>
      </c>
      <c r="F257" s="16">
        <v>207.34</v>
      </c>
      <c r="G257" s="19" t="str">
        <f>TEXT(Table4_137[[#This Row],[date]], "hh:mm")</f>
        <v>20:00</v>
      </c>
      <c r="H257" s="25" t="str">
        <f t="shared" si="3"/>
        <v/>
      </c>
      <c r="I257" s="22"/>
    </row>
    <row r="258" spans="1:9">
      <c r="A258" s="13">
        <v>45854.854166666664</v>
      </c>
      <c r="B258" s="14">
        <v>-3.13</v>
      </c>
      <c r="C258" s="15">
        <v>0</v>
      </c>
      <c r="D258" s="15">
        <v>19.989999999999998</v>
      </c>
      <c r="E258" s="15">
        <v>1096.73</v>
      </c>
      <c r="F258" s="16">
        <v>175.46</v>
      </c>
      <c r="G258" s="19" t="str">
        <f>TEXT(Table4_137[[#This Row],[date]], "hh:mm")</f>
        <v>20:30</v>
      </c>
      <c r="H258" s="25" t="str">
        <f t="shared" ref="H258:H321" si="4">IF(AND(HOUR(A258)=0,MINUTE(A258)=0),TEXT(A258,"d mmm"),"")</f>
        <v/>
      </c>
      <c r="I258" s="22"/>
    </row>
    <row r="259" spans="1:9">
      <c r="A259" s="13">
        <v>45854.875</v>
      </c>
      <c r="B259" s="14">
        <v>-3.06</v>
      </c>
      <c r="C259" s="15">
        <v>0</v>
      </c>
      <c r="D259" s="15">
        <v>4.79</v>
      </c>
      <c r="E259" s="15">
        <v>1021.54</v>
      </c>
      <c r="F259" s="16">
        <v>158.97999999999999</v>
      </c>
      <c r="G259" s="19" t="str">
        <f>TEXT(Table4_137[[#This Row],[date]], "hh:mm")</f>
        <v>21:00</v>
      </c>
      <c r="H259" s="25" t="str">
        <f t="shared" si="4"/>
        <v/>
      </c>
      <c r="I259" s="22"/>
    </row>
    <row r="260" spans="1:9">
      <c r="A260" s="13">
        <v>45854.895833333336</v>
      </c>
      <c r="B260" s="14">
        <v>-9.59</v>
      </c>
      <c r="C260" s="15">
        <v>0</v>
      </c>
      <c r="D260" s="15">
        <v>0.43</v>
      </c>
      <c r="E260" s="15">
        <v>819.09</v>
      </c>
      <c r="F260" s="16">
        <v>158.99</v>
      </c>
      <c r="G260" s="19" t="str">
        <f>TEXT(Table4_137[[#This Row],[date]], "hh:mm")</f>
        <v>21:30</v>
      </c>
      <c r="H260" s="25" t="str">
        <f t="shared" si="4"/>
        <v/>
      </c>
      <c r="I260" s="22"/>
    </row>
    <row r="261" spans="1:9">
      <c r="A261" s="13">
        <v>45854.916666666664</v>
      </c>
      <c r="B261" s="14">
        <v>-4.28</v>
      </c>
      <c r="C261" s="15">
        <v>0</v>
      </c>
      <c r="D261" s="15">
        <v>5.94</v>
      </c>
      <c r="E261" s="15">
        <v>540.91</v>
      </c>
      <c r="F261" s="16">
        <v>149.99</v>
      </c>
      <c r="G261" s="19" t="str">
        <f>TEXT(Table4_137[[#This Row],[date]], "hh:mm")</f>
        <v>22:00</v>
      </c>
      <c r="H261" s="25" t="str">
        <f t="shared" si="4"/>
        <v/>
      </c>
      <c r="I261" s="22"/>
    </row>
    <row r="262" spans="1:9">
      <c r="A262" s="13">
        <v>45854.9375</v>
      </c>
      <c r="B262" s="14">
        <v>-5.45</v>
      </c>
      <c r="C262" s="15">
        <v>0</v>
      </c>
      <c r="D262" s="15">
        <v>6.51</v>
      </c>
      <c r="E262" s="15">
        <v>506.52</v>
      </c>
      <c r="F262" s="16">
        <v>158.97999999999999</v>
      </c>
      <c r="G262" s="19" t="str">
        <f>TEXT(Table4_137[[#This Row],[date]], "hh:mm")</f>
        <v>22:30</v>
      </c>
      <c r="H262" s="25" t="str">
        <f t="shared" si="4"/>
        <v/>
      </c>
      <c r="I262" s="22"/>
    </row>
    <row r="263" spans="1:9">
      <c r="A263" s="13">
        <v>45854.958333333336</v>
      </c>
      <c r="B263" s="14">
        <v>-7.99</v>
      </c>
      <c r="C263" s="15">
        <v>0</v>
      </c>
      <c r="D263" s="15">
        <v>0.17</v>
      </c>
      <c r="E263" s="15">
        <v>346.11</v>
      </c>
      <c r="F263" s="16">
        <v>120.01</v>
      </c>
      <c r="G263" s="19" t="str">
        <f>TEXT(Table4_137[[#This Row],[date]], "hh:mm")</f>
        <v>23:00</v>
      </c>
      <c r="H263" s="25" t="str">
        <f t="shared" si="4"/>
        <v/>
      </c>
      <c r="I263" s="22"/>
    </row>
    <row r="264" spans="1:9">
      <c r="A264" s="13">
        <v>45854.979166666664</v>
      </c>
      <c r="B264" s="14">
        <v>-21.5</v>
      </c>
      <c r="C264" s="15">
        <v>0</v>
      </c>
      <c r="D264" s="15">
        <v>0.15</v>
      </c>
      <c r="E264" s="15">
        <v>280.95999999999998</v>
      </c>
      <c r="F264" s="16">
        <v>101.36</v>
      </c>
      <c r="G264" s="19" t="str">
        <f>TEXT(Table4_137[[#This Row],[date]], "hh:mm")</f>
        <v>23:30</v>
      </c>
      <c r="H264" s="25" t="str">
        <f t="shared" si="4"/>
        <v/>
      </c>
      <c r="I264" s="22"/>
    </row>
    <row r="265" spans="1:9">
      <c r="A265" s="13">
        <v>45855</v>
      </c>
      <c r="B265" s="14">
        <v>-24.29</v>
      </c>
      <c r="C265" s="15">
        <v>0</v>
      </c>
      <c r="D265" s="15">
        <v>1.59</v>
      </c>
      <c r="E265" s="15">
        <v>258.74</v>
      </c>
      <c r="F265" s="16">
        <v>80.760000000000005</v>
      </c>
      <c r="G265" s="19" t="str">
        <f>TEXT(Table4_137[[#This Row],[date]], "hh:mm")</f>
        <v>00:00</v>
      </c>
      <c r="H265" s="25" t="str">
        <f t="shared" si="4"/>
        <v>17 Jul</v>
      </c>
      <c r="I265" s="22"/>
    </row>
    <row r="266" spans="1:9">
      <c r="A266" s="13">
        <v>45855.020833333336</v>
      </c>
      <c r="B266" s="14">
        <v>-53.84</v>
      </c>
      <c r="C266" s="15">
        <v>0</v>
      </c>
      <c r="D266" s="15">
        <v>3.05</v>
      </c>
      <c r="E266" s="15">
        <v>255.46</v>
      </c>
      <c r="F266" s="16">
        <v>80.02</v>
      </c>
      <c r="G266" s="19" t="str">
        <f>TEXT(Table4_137[[#This Row],[date]], "hh:mm")</f>
        <v>00:30</v>
      </c>
      <c r="H266" s="25" t="str">
        <f t="shared" si="4"/>
        <v/>
      </c>
      <c r="I266" s="22"/>
    </row>
    <row r="267" spans="1:9">
      <c r="A267" s="13">
        <v>45855.041666666664</v>
      </c>
      <c r="B267" s="14">
        <v>-7.03</v>
      </c>
      <c r="C267" s="15">
        <v>0</v>
      </c>
      <c r="D267" s="15">
        <v>0.6</v>
      </c>
      <c r="E267" s="15">
        <v>244.72</v>
      </c>
      <c r="F267" s="16">
        <v>84.19</v>
      </c>
      <c r="G267" s="19" t="str">
        <f>TEXT(Table4_137[[#This Row],[date]], "hh:mm")</f>
        <v>01:00</v>
      </c>
      <c r="H267" s="25" t="str">
        <f t="shared" si="4"/>
        <v/>
      </c>
      <c r="I267" s="22"/>
    </row>
    <row r="268" spans="1:9">
      <c r="A268" s="13">
        <v>45855.0625</v>
      </c>
      <c r="B268" s="14">
        <v>-9.25</v>
      </c>
      <c r="C268" s="15">
        <v>0</v>
      </c>
      <c r="D268" s="15">
        <v>1.62</v>
      </c>
      <c r="E268" s="15">
        <v>179.58</v>
      </c>
      <c r="F268" s="16">
        <v>80.02</v>
      </c>
      <c r="G268" s="19" t="str">
        <f>TEXT(Table4_137[[#This Row],[date]], "hh:mm")</f>
        <v>01:30</v>
      </c>
      <c r="H268" s="25" t="str">
        <f t="shared" si="4"/>
        <v/>
      </c>
      <c r="I268" s="22"/>
    </row>
    <row r="269" spans="1:9">
      <c r="A269" s="13">
        <v>45855.083333333336</v>
      </c>
      <c r="B269" s="14">
        <v>-80.16</v>
      </c>
      <c r="C269" s="15">
        <v>0</v>
      </c>
      <c r="D269" s="15">
        <v>0.28999999999999998</v>
      </c>
      <c r="E269" s="15">
        <v>106.65</v>
      </c>
      <c r="F269" s="16">
        <v>76.8</v>
      </c>
      <c r="G269" s="19" t="str">
        <f>TEXT(Table4_137[[#This Row],[date]], "hh:mm")</f>
        <v>02:00</v>
      </c>
      <c r="H269" s="25" t="str">
        <f t="shared" si="4"/>
        <v/>
      </c>
      <c r="I269" s="22"/>
    </row>
    <row r="270" spans="1:9">
      <c r="A270" s="13">
        <v>45855.104166666664</v>
      </c>
      <c r="B270" s="14">
        <v>-61.47</v>
      </c>
      <c r="C270" s="15">
        <v>0</v>
      </c>
      <c r="D270" s="15">
        <v>0.19</v>
      </c>
      <c r="E270" s="15">
        <v>99.53</v>
      </c>
      <c r="F270" s="16">
        <v>76.8</v>
      </c>
      <c r="G270" s="19" t="str">
        <f>TEXT(Table4_137[[#This Row],[date]], "hh:mm")</f>
        <v>02:30</v>
      </c>
      <c r="H270" s="25" t="str">
        <f t="shared" si="4"/>
        <v/>
      </c>
      <c r="I270" s="22"/>
    </row>
    <row r="271" spans="1:9">
      <c r="A271" s="13">
        <v>45855.125</v>
      </c>
      <c r="B271" s="14">
        <v>-37.4</v>
      </c>
      <c r="C271" s="15">
        <v>0</v>
      </c>
      <c r="D271" s="15">
        <v>0.42</v>
      </c>
      <c r="E271" s="15">
        <v>113.11</v>
      </c>
      <c r="F271" s="16">
        <v>80.02</v>
      </c>
      <c r="G271" s="19" t="str">
        <f>TEXT(Table4_137[[#This Row],[date]], "hh:mm")</f>
        <v>03:00</v>
      </c>
      <c r="H271" s="25" t="str">
        <f t="shared" si="4"/>
        <v/>
      </c>
      <c r="I271" s="22"/>
    </row>
    <row r="272" spans="1:9">
      <c r="A272" s="13">
        <v>45855.145833333336</v>
      </c>
      <c r="B272" s="14">
        <v>-72.31</v>
      </c>
      <c r="C272" s="15">
        <v>0</v>
      </c>
      <c r="D272" s="15">
        <v>0.71</v>
      </c>
      <c r="E272" s="15">
        <v>85.95</v>
      </c>
      <c r="F272" s="16">
        <v>80.02</v>
      </c>
      <c r="G272" s="19" t="str">
        <f>TEXT(Table4_137[[#This Row],[date]], "hh:mm")</f>
        <v>03:30</v>
      </c>
      <c r="H272" s="25" t="str">
        <f t="shared" si="4"/>
        <v/>
      </c>
      <c r="I272" s="22"/>
    </row>
    <row r="273" spans="1:9">
      <c r="A273" s="13">
        <v>45855.166666666664</v>
      </c>
      <c r="B273" s="14">
        <v>-76.900000000000006</v>
      </c>
      <c r="C273" s="15">
        <v>0</v>
      </c>
      <c r="D273" s="15">
        <v>0.53</v>
      </c>
      <c r="E273" s="15">
        <v>67.39</v>
      </c>
      <c r="F273" s="16">
        <v>80.02</v>
      </c>
      <c r="G273" s="19" t="str">
        <f>TEXT(Table4_137[[#This Row],[date]], "hh:mm")</f>
        <v>04:00</v>
      </c>
      <c r="H273" s="25" t="str">
        <f t="shared" si="4"/>
        <v/>
      </c>
      <c r="I273" s="22"/>
    </row>
    <row r="274" spans="1:9">
      <c r="A274" s="13">
        <v>45855.1875</v>
      </c>
      <c r="B274" s="14">
        <v>-114.78</v>
      </c>
      <c r="C274" s="15">
        <v>0</v>
      </c>
      <c r="D274" s="15">
        <v>0.45</v>
      </c>
      <c r="E274" s="15">
        <v>181.98</v>
      </c>
      <c r="F274" s="16">
        <v>84.85</v>
      </c>
      <c r="G274" s="19" t="str">
        <f>TEXT(Table4_137[[#This Row],[date]], "hh:mm")</f>
        <v>04:30</v>
      </c>
      <c r="H274" s="25" t="str">
        <f t="shared" si="4"/>
        <v/>
      </c>
      <c r="I274" s="22"/>
    </row>
    <row r="275" spans="1:9">
      <c r="A275" s="13">
        <v>45855.208333333336</v>
      </c>
      <c r="B275" s="14">
        <v>-111.86</v>
      </c>
      <c r="C275" s="15">
        <v>0</v>
      </c>
      <c r="D275" s="15">
        <v>0.62</v>
      </c>
      <c r="E275" s="15">
        <v>175.05</v>
      </c>
      <c r="F275" s="16">
        <v>78.47</v>
      </c>
      <c r="G275" s="19" t="str">
        <f>TEXT(Table4_137[[#This Row],[date]], "hh:mm")</f>
        <v>05:00</v>
      </c>
      <c r="H275" s="25" t="str">
        <f t="shared" si="4"/>
        <v/>
      </c>
      <c r="I275" s="22"/>
    </row>
    <row r="276" spans="1:9">
      <c r="A276" s="13">
        <v>45855.229166666664</v>
      </c>
      <c r="B276" s="14">
        <v>-78.739999999999995</v>
      </c>
      <c r="C276" s="15">
        <v>0</v>
      </c>
      <c r="D276" s="15">
        <v>0.39</v>
      </c>
      <c r="E276" s="15">
        <v>195.19</v>
      </c>
      <c r="F276" s="16">
        <v>80.010000000000005</v>
      </c>
      <c r="G276" s="19" t="str">
        <f>TEXT(Table4_137[[#This Row],[date]], "hh:mm")</f>
        <v>05:30</v>
      </c>
      <c r="H276" s="25" t="str">
        <f t="shared" si="4"/>
        <v/>
      </c>
      <c r="I276" s="22"/>
    </row>
    <row r="277" spans="1:9">
      <c r="A277" s="13">
        <v>45855.25</v>
      </c>
      <c r="B277" s="14">
        <v>-36.92</v>
      </c>
      <c r="C277" s="15">
        <v>0</v>
      </c>
      <c r="D277" s="15">
        <v>6.89</v>
      </c>
      <c r="E277" s="15">
        <v>246.57</v>
      </c>
      <c r="F277" s="16">
        <v>80.010000000000005</v>
      </c>
      <c r="G277" s="19" t="str">
        <f>TEXT(Table4_137[[#This Row],[date]], "hh:mm")</f>
        <v>06:00</v>
      </c>
      <c r="H277" s="25" t="str">
        <f t="shared" si="4"/>
        <v/>
      </c>
      <c r="I277" s="22"/>
    </row>
    <row r="278" spans="1:9">
      <c r="A278" s="13">
        <v>45855.270833333336</v>
      </c>
      <c r="B278" s="14">
        <v>-21.25</v>
      </c>
      <c r="C278" s="15">
        <v>0</v>
      </c>
      <c r="D278" s="15">
        <v>40.200000000000003</v>
      </c>
      <c r="E278" s="15">
        <v>397.02</v>
      </c>
      <c r="F278" s="16">
        <v>96.96</v>
      </c>
      <c r="G278" s="19" t="str">
        <f>TEXT(Table4_137[[#This Row],[date]], "hh:mm")</f>
        <v>06:30</v>
      </c>
      <c r="H278" s="25" t="str">
        <f t="shared" si="4"/>
        <v/>
      </c>
      <c r="I278" s="22"/>
    </row>
    <row r="279" spans="1:9">
      <c r="A279" s="13">
        <v>45855.291666666664</v>
      </c>
      <c r="B279" s="14">
        <v>-6.31</v>
      </c>
      <c r="C279" s="15">
        <v>0</v>
      </c>
      <c r="D279" s="15">
        <v>114.13</v>
      </c>
      <c r="E279" s="15">
        <v>557.1</v>
      </c>
      <c r="F279" s="16">
        <v>158.97999999999999</v>
      </c>
      <c r="G279" s="19" t="str">
        <f>TEXT(Table4_137[[#This Row],[date]], "hh:mm")</f>
        <v>07:00</v>
      </c>
      <c r="H279" s="25" t="str">
        <f t="shared" si="4"/>
        <v/>
      </c>
      <c r="I279" s="22"/>
    </row>
    <row r="280" spans="1:9">
      <c r="A280" s="13">
        <v>45855.3125</v>
      </c>
      <c r="B280" s="14">
        <v>-8.93</v>
      </c>
      <c r="C280" s="15">
        <v>0</v>
      </c>
      <c r="D280" s="15">
        <v>41.37</v>
      </c>
      <c r="E280" s="15">
        <v>679.26</v>
      </c>
      <c r="F280" s="16">
        <v>107.41</v>
      </c>
      <c r="G280" s="19" t="str">
        <f>TEXT(Table4_137[[#This Row],[date]], "hh:mm")</f>
        <v>07:30</v>
      </c>
      <c r="H280" s="25" t="str">
        <f t="shared" si="4"/>
        <v/>
      </c>
      <c r="I280" s="22"/>
    </row>
    <row r="281" spans="1:9">
      <c r="A281" s="13">
        <v>45855.333333333336</v>
      </c>
      <c r="B281" s="14">
        <v>-4.79</v>
      </c>
      <c r="C281" s="15">
        <v>0</v>
      </c>
      <c r="D281" s="15">
        <v>130</v>
      </c>
      <c r="E281" s="15">
        <v>395.6</v>
      </c>
      <c r="F281" s="16">
        <v>105.89</v>
      </c>
      <c r="G281" s="19" t="str">
        <f>TEXT(Table4_137[[#This Row],[date]], "hh:mm")</f>
        <v>08:00</v>
      </c>
      <c r="H281" s="25" t="str">
        <f t="shared" si="4"/>
        <v/>
      </c>
      <c r="I281" s="22"/>
    </row>
    <row r="282" spans="1:9">
      <c r="A282" s="13">
        <v>45855.354166666664</v>
      </c>
      <c r="B282" s="14">
        <v>-1.91</v>
      </c>
      <c r="C282" s="15">
        <v>0</v>
      </c>
      <c r="D282" s="15">
        <v>68.739999999999995</v>
      </c>
      <c r="E282" s="15">
        <v>218.88</v>
      </c>
      <c r="F282" s="16">
        <v>52.14</v>
      </c>
      <c r="G282" s="19" t="str">
        <f>TEXT(Table4_137[[#This Row],[date]], "hh:mm")</f>
        <v>08:30</v>
      </c>
      <c r="H282" s="25" t="str">
        <f t="shared" si="4"/>
        <v/>
      </c>
      <c r="I282" s="22"/>
    </row>
    <row r="283" spans="1:9">
      <c r="A283" s="13">
        <v>45855.375</v>
      </c>
      <c r="B283" s="14">
        <v>-5.2</v>
      </c>
      <c r="C283" s="15">
        <v>0</v>
      </c>
      <c r="D283" s="15">
        <v>240</v>
      </c>
      <c r="E283" s="15">
        <v>101.15</v>
      </c>
      <c r="F283" s="16">
        <v>76.8</v>
      </c>
      <c r="G283" s="19" t="str">
        <f>TEXT(Table4_137[[#This Row],[date]], "hh:mm")</f>
        <v>09:00</v>
      </c>
      <c r="H283" s="25" t="str">
        <f t="shared" si="4"/>
        <v/>
      </c>
      <c r="I283" s="22"/>
    </row>
    <row r="284" spans="1:9">
      <c r="A284" s="13">
        <v>45855.395833333336</v>
      </c>
      <c r="B284" s="14">
        <v>-7.06</v>
      </c>
      <c r="C284" s="15">
        <v>0</v>
      </c>
      <c r="D284" s="15">
        <v>278.85000000000002</v>
      </c>
      <c r="E284" s="15">
        <v>11.25</v>
      </c>
      <c r="F284" s="16">
        <v>76.8</v>
      </c>
      <c r="G284" s="19" t="str">
        <f>TEXT(Table4_137[[#This Row],[date]], "hh:mm")</f>
        <v>09:30</v>
      </c>
      <c r="H284" s="25" t="str">
        <f t="shared" si="4"/>
        <v/>
      </c>
      <c r="I284" s="22"/>
    </row>
    <row r="285" spans="1:9">
      <c r="A285" s="13">
        <v>45855.416666666664</v>
      </c>
      <c r="B285" s="14">
        <v>-2.8</v>
      </c>
      <c r="C285" s="15">
        <v>0</v>
      </c>
      <c r="D285" s="15">
        <v>37.770000000000003</v>
      </c>
      <c r="E285" s="15">
        <v>29.64</v>
      </c>
      <c r="F285" s="16">
        <v>44.76</v>
      </c>
      <c r="G285" s="19" t="str">
        <f>TEXT(Table4_137[[#This Row],[date]], "hh:mm")</f>
        <v>10:00</v>
      </c>
      <c r="H285" s="25" t="str">
        <f t="shared" si="4"/>
        <v/>
      </c>
      <c r="I285" s="22"/>
    </row>
    <row r="286" spans="1:9">
      <c r="A286" s="13">
        <v>45855.4375</v>
      </c>
      <c r="B286" s="14">
        <v>-10.07</v>
      </c>
      <c r="C286" s="15">
        <v>0</v>
      </c>
      <c r="D286" s="15">
        <v>2.42</v>
      </c>
      <c r="E286" s="15">
        <v>0</v>
      </c>
      <c r="F286" s="16">
        <v>84.85</v>
      </c>
      <c r="G286" s="19" t="str">
        <f>TEXT(Table4_137[[#This Row],[date]], "hh:mm")</f>
        <v>10:30</v>
      </c>
      <c r="H286" s="25" t="str">
        <f t="shared" si="4"/>
        <v/>
      </c>
      <c r="I286" s="22"/>
    </row>
    <row r="287" spans="1:9">
      <c r="A287" s="13">
        <v>45855.458333333336</v>
      </c>
      <c r="B287" s="14">
        <v>-38.36</v>
      </c>
      <c r="C287" s="15">
        <v>0</v>
      </c>
      <c r="D287" s="15">
        <v>0.64</v>
      </c>
      <c r="E287" s="15">
        <v>0</v>
      </c>
      <c r="F287" s="16">
        <v>57.01</v>
      </c>
      <c r="G287" s="19" t="str">
        <f>TEXT(Table4_137[[#This Row],[date]], "hh:mm")</f>
        <v>11:00</v>
      </c>
      <c r="H287" s="25" t="str">
        <f t="shared" si="4"/>
        <v/>
      </c>
      <c r="I287" s="22"/>
    </row>
    <row r="288" spans="1:9">
      <c r="A288" s="13">
        <v>45855.479166666664</v>
      </c>
      <c r="B288" s="14">
        <v>-123.22</v>
      </c>
      <c r="C288" s="15">
        <v>0</v>
      </c>
      <c r="D288" s="15">
        <v>36.93</v>
      </c>
      <c r="E288" s="15">
        <v>0</v>
      </c>
      <c r="F288" s="16">
        <v>0</v>
      </c>
      <c r="G288" s="19" t="str">
        <f>TEXT(Table4_137[[#This Row],[date]], "hh:mm")</f>
        <v>11:30</v>
      </c>
      <c r="H288" s="25" t="str">
        <f t="shared" si="4"/>
        <v/>
      </c>
      <c r="I288" s="22"/>
    </row>
    <row r="289" spans="1:9">
      <c r="A289" s="13">
        <v>45855.5</v>
      </c>
      <c r="B289" s="14">
        <v>-224.54</v>
      </c>
      <c r="C289" s="15">
        <v>-15.55</v>
      </c>
      <c r="D289" s="15">
        <v>9.25</v>
      </c>
      <c r="E289" s="15">
        <v>0</v>
      </c>
      <c r="F289" s="16">
        <v>48.23</v>
      </c>
      <c r="G289" s="19" t="str">
        <f>TEXT(Table4_137[[#This Row],[date]], "hh:mm")</f>
        <v>12:00</v>
      </c>
      <c r="H289" s="25" t="str">
        <f t="shared" si="4"/>
        <v/>
      </c>
      <c r="I289" s="22"/>
    </row>
    <row r="290" spans="1:9">
      <c r="A290" s="13">
        <v>45855.520833333336</v>
      </c>
      <c r="B290" s="14">
        <v>-156.88</v>
      </c>
      <c r="C290" s="15">
        <v>-205.37</v>
      </c>
      <c r="D290" s="15">
        <v>0.38</v>
      </c>
      <c r="E290" s="15">
        <v>20.54</v>
      </c>
      <c r="F290" s="16">
        <v>40.119999999999997</v>
      </c>
      <c r="G290" s="19" t="str">
        <f>TEXT(Table4_137[[#This Row],[date]], "hh:mm")</f>
        <v>12:30</v>
      </c>
      <c r="H290" s="25" t="str">
        <f t="shared" si="4"/>
        <v/>
      </c>
      <c r="I290" s="22"/>
    </row>
    <row r="291" spans="1:9">
      <c r="A291" s="13">
        <v>45855.541666666664</v>
      </c>
      <c r="B291" s="14">
        <v>-214.46</v>
      </c>
      <c r="C291" s="15">
        <v>-454.87</v>
      </c>
      <c r="D291" s="15">
        <v>0.51</v>
      </c>
      <c r="E291" s="15">
        <v>0</v>
      </c>
      <c r="F291" s="16">
        <v>20.43</v>
      </c>
      <c r="G291" s="19" t="str">
        <f>TEXT(Table4_137[[#This Row],[date]], "hh:mm")</f>
        <v>13:00</v>
      </c>
      <c r="H291" s="25" t="str">
        <f t="shared" si="4"/>
        <v/>
      </c>
      <c r="I291" s="22"/>
    </row>
    <row r="292" spans="1:9">
      <c r="A292" s="13">
        <v>45855.5625</v>
      </c>
      <c r="B292" s="14">
        <v>-199.66</v>
      </c>
      <c r="C292" s="15">
        <v>-470.54</v>
      </c>
      <c r="D292" s="15">
        <v>4.05</v>
      </c>
      <c r="E292" s="15">
        <v>0</v>
      </c>
      <c r="F292" s="16">
        <v>57.01</v>
      </c>
      <c r="G292" s="19" t="str">
        <f>TEXT(Table4_137[[#This Row],[date]], "hh:mm")</f>
        <v>13:30</v>
      </c>
      <c r="H292" s="25" t="str">
        <f t="shared" si="4"/>
        <v/>
      </c>
      <c r="I292" s="22"/>
    </row>
    <row r="293" spans="1:9">
      <c r="A293" s="13">
        <v>45855.583333333336</v>
      </c>
      <c r="B293" s="14">
        <v>-111.6</v>
      </c>
      <c r="C293" s="15">
        <v>-470.43</v>
      </c>
      <c r="D293" s="15">
        <v>2.91</v>
      </c>
      <c r="E293" s="15">
        <v>0</v>
      </c>
      <c r="F293" s="16">
        <v>1.65</v>
      </c>
      <c r="G293" s="19" t="str">
        <f>TEXT(Table4_137[[#This Row],[date]], "hh:mm")</f>
        <v>14:00</v>
      </c>
      <c r="H293" s="25" t="str">
        <f t="shared" si="4"/>
        <v/>
      </c>
      <c r="I293" s="22"/>
    </row>
    <row r="294" spans="1:9">
      <c r="A294" s="13">
        <v>45855.604166666664</v>
      </c>
      <c r="B294" s="14">
        <v>-25.92</v>
      </c>
      <c r="C294" s="15">
        <v>-470.54</v>
      </c>
      <c r="D294" s="15">
        <v>19.100000000000001</v>
      </c>
      <c r="E294" s="15">
        <v>0</v>
      </c>
      <c r="F294" s="16">
        <v>57.01</v>
      </c>
      <c r="G294" s="19" t="str">
        <f>TEXT(Table4_137[[#This Row],[date]], "hh:mm")</f>
        <v>14:30</v>
      </c>
      <c r="H294" s="25" t="str">
        <f t="shared" si="4"/>
        <v/>
      </c>
      <c r="I294" s="22"/>
    </row>
    <row r="295" spans="1:9">
      <c r="A295" s="13">
        <v>45855.625</v>
      </c>
      <c r="B295" s="14">
        <v>-27.79</v>
      </c>
      <c r="C295" s="15">
        <v>-241.81</v>
      </c>
      <c r="D295" s="15">
        <v>5.82</v>
      </c>
      <c r="E295" s="15">
        <v>0</v>
      </c>
      <c r="F295" s="16">
        <v>140.36000000000001</v>
      </c>
      <c r="G295" s="19" t="str">
        <f>TEXT(Table4_137[[#This Row],[date]], "hh:mm")</f>
        <v>15:00</v>
      </c>
      <c r="H295" s="25" t="str">
        <f t="shared" si="4"/>
        <v/>
      </c>
      <c r="I295" s="22"/>
    </row>
    <row r="296" spans="1:9">
      <c r="A296" s="13">
        <v>45855.645833333336</v>
      </c>
      <c r="B296" s="14">
        <v>-79.58</v>
      </c>
      <c r="C296" s="15">
        <v>-80.64</v>
      </c>
      <c r="D296" s="15">
        <v>6.11</v>
      </c>
      <c r="E296" s="15">
        <v>0</v>
      </c>
      <c r="F296" s="16">
        <v>0</v>
      </c>
      <c r="G296" s="19" t="str">
        <f>TEXT(Table4_137[[#This Row],[date]], "hh:mm")</f>
        <v>15:30</v>
      </c>
      <c r="H296" s="25" t="str">
        <f t="shared" si="4"/>
        <v/>
      </c>
      <c r="I296" s="22"/>
    </row>
    <row r="297" spans="1:9">
      <c r="A297" s="13">
        <v>45855.666666666664</v>
      </c>
      <c r="B297" s="14">
        <v>-105.3</v>
      </c>
      <c r="C297" s="15">
        <v>-67.239999999999995</v>
      </c>
      <c r="D297" s="15">
        <v>6.49</v>
      </c>
      <c r="E297" s="15">
        <v>0</v>
      </c>
      <c r="F297" s="16">
        <v>106.28</v>
      </c>
      <c r="G297" s="19" t="str">
        <f>TEXT(Table4_137[[#This Row],[date]], "hh:mm")</f>
        <v>16:00</v>
      </c>
      <c r="H297" s="25" t="str">
        <f t="shared" si="4"/>
        <v/>
      </c>
      <c r="I297" s="22"/>
    </row>
    <row r="298" spans="1:9">
      <c r="A298" s="13">
        <v>45855.6875</v>
      </c>
      <c r="B298" s="14">
        <v>-26.84</v>
      </c>
      <c r="C298" s="15">
        <v>0</v>
      </c>
      <c r="D298" s="15">
        <v>0.78</v>
      </c>
      <c r="E298" s="15">
        <v>62.31</v>
      </c>
      <c r="F298" s="16">
        <v>84.7</v>
      </c>
      <c r="G298" s="19" t="str">
        <f>TEXT(Table4_137[[#This Row],[date]], "hh:mm")</f>
        <v>16:30</v>
      </c>
      <c r="H298" s="25" t="str">
        <f t="shared" si="4"/>
        <v/>
      </c>
      <c r="I298" s="22"/>
    </row>
    <row r="299" spans="1:9">
      <c r="A299" s="13">
        <v>45855.708333333336</v>
      </c>
      <c r="B299" s="14">
        <v>-6.92</v>
      </c>
      <c r="C299" s="15">
        <v>0</v>
      </c>
      <c r="D299" s="15">
        <v>48.3</v>
      </c>
      <c r="E299" s="15">
        <v>528.14</v>
      </c>
      <c r="F299" s="16">
        <v>165.24</v>
      </c>
      <c r="G299" s="19" t="str">
        <f>TEXT(Table4_137[[#This Row],[date]], "hh:mm")</f>
        <v>17:00</v>
      </c>
      <c r="H299" s="25" t="str">
        <f t="shared" si="4"/>
        <v/>
      </c>
      <c r="I299" s="22"/>
    </row>
    <row r="300" spans="1:9">
      <c r="A300" s="13">
        <v>45855.729166666664</v>
      </c>
      <c r="B300" s="14">
        <v>-2.33</v>
      </c>
      <c r="C300" s="15">
        <v>0</v>
      </c>
      <c r="D300" s="15">
        <v>148.81</v>
      </c>
      <c r="E300" s="15">
        <v>781.62</v>
      </c>
      <c r="F300" s="16">
        <v>202.35</v>
      </c>
      <c r="G300" s="19" t="str">
        <f>TEXT(Table4_137[[#This Row],[date]], "hh:mm")</f>
        <v>17:30</v>
      </c>
      <c r="H300" s="25" t="str">
        <f t="shared" si="4"/>
        <v/>
      </c>
      <c r="I300" s="22"/>
    </row>
    <row r="301" spans="1:9">
      <c r="A301" s="13">
        <v>45855.75</v>
      </c>
      <c r="B301" s="14">
        <v>-2.59</v>
      </c>
      <c r="C301" s="15">
        <v>0</v>
      </c>
      <c r="D301" s="15">
        <v>225.61</v>
      </c>
      <c r="E301" s="15">
        <v>839.56</v>
      </c>
      <c r="F301" s="16">
        <v>254.96</v>
      </c>
      <c r="G301" s="19" t="str">
        <f>TEXT(Table4_137[[#This Row],[date]], "hh:mm")</f>
        <v>18:00</v>
      </c>
      <c r="H301" s="25" t="str">
        <f t="shared" si="4"/>
        <v/>
      </c>
      <c r="I301" s="22"/>
    </row>
    <row r="302" spans="1:9">
      <c r="A302" s="13">
        <v>45855.770833333336</v>
      </c>
      <c r="B302" s="14">
        <v>-3.52</v>
      </c>
      <c r="C302" s="15">
        <v>0</v>
      </c>
      <c r="D302" s="15">
        <v>194.77</v>
      </c>
      <c r="E302" s="15">
        <v>863.3</v>
      </c>
      <c r="F302" s="16">
        <v>186.83</v>
      </c>
      <c r="G302" s="19" t="str">
        <f>TEXT(Table4_137[[#This Row],[date]], "hh:mm")</f>
        <v>18:30</v>
      </c>
      <c r="H302" s="25" t="str">
        <f t="shared" si="4"/>
        <v/>
      </c>
      <c r="I302" s="22"/>
    </row>
    <row r="303" spans="1:9">
      <c r="A303" s="13">
        <v>45855.791666666664</v>
      </c>
      <c r="B303" s="14">
        <v>-4.9400000000000004</v>
      </c>
      <c r="C303" s="15">
        <v>0</v>
      </c>
      <c r="D303" s="15">
        <v>175.64</v>
      </c>
      <c r="E303" s="15">
        <v>876.02</v>
      </c>
      <c r="F303" s="16">
        <v>185.72</v>
      </c>
      <c r="G303" s="19" t="str">
        <f>TEXT(Table4_137[[#This Row],[date]], "hh:mm")</f>
        <v>19:00</v>
      </c>
      <c r="H303" s="25" t="str">
        <f t="shared" si="4"/>
        <v/>
      </c>
      <c r="I303" s="22"/>
    </row>
    <row r="304" spans="1:9">
      <c r="A304" s="13">
        <v>45855.8125</v>
      </c>
      <c r="B304" s="14">
        <v>-5.38</v>
      </c>
      <c r="C304" s="15">
        <v>0</v>
      </c>
      <c r="D304" s="15">
        <v>50.57</v>
      </c>
      <c r="E304" s="15">
        <v>876.66</v>
      </c>
      <c r="F304" s="16">
        <v>239.65</v>
      </c>
      <c r="G304" s="19" t="str">
        <f>TEXT(Table4_137[[#This Row],[date]], "hh:mm")</f>
        <v>19:30</v>
      </c>
      <c r="H304" s="25" t="str">
        <f t="shared" si="4"/>
        <v/>
      </c>
      <c r="I304" s="22"/>
    </row>
    <row r="305" spans="1:9">
      <c r="A305" s="13">
        <v>45855.833333333336</v>
      </c>
      <c r="B305" s="14">
        <v>-13.84</v>
      </c>
      <c r="C305" s="15">
        <v>0</v>
      </c>
      <c r="D305" s="15">
        <v>59.39</v>
      </c>
      <c r="E305" s="15">
        <v>866.48</v>
      </c>
      <c r="F305" s="16">
        <v>154.57</v>
      </c>
      <c r="G305" s="19" t="str">
        <f>TEXT(Table4_137[[#This Row],[date]], "hh:mm")</f>
        <v>20:00</v>
      </c>
      <c r="H305" s="25" t="str">
        <f t="shared" si="4"/>
        <v/>
      </c>
      <c r="I305" s="22"/>
    </row>
    <row r="306" spans="1:9">
      <c r="A306" s="13">
        <v>45855.854166666664</v>
      </c>
      <c r="B306" s="14">
        <v>-3.69</v>
      </c>
      <c r="C306" s="15">
        <v>0</v>
      </c>
      <c r="D306" s="15">
        <v>21.79</v>
      </c>
      <c r="E306" s="15">
        <v>837.13</v>
      </c>
      <c r="F306" s="16">
        <v>163.07</v>
      </c>
      <c r="G306" s="19" t="str">
        <f>TEXT(Table4_137[[#This Row],[date]], "hh:mm")</f>
        <v>20:30</v>
      </c>
      <c r="H306" s="25" t="str">
        <f t="shared" si="4"/>
        <v/>
      </c>
      <c r="I306" s="22"/>
    </row>
    <row r="307" spans="1:9">
      <c r="A307" s="13">
        <v>45855.875</v>
      </c>
      <c r="B307" s="14">
        <v>-10.78</v>
      </c>
      <c r="C307" s="15">
        <v>0</v>
      </c>
      <c r="D307" s="15">
        <v>44.87</v>
      </c>
      <c r="E307" s="15">
        <v>621.15</v>
      </c>
      <c r="F307" s="16">
        <v>234.56</v>
      </c>
      <c r="G307" s="19" t="str">
        <f>TEXT(Table4_137[[#This Row],[date]], "hh:mm")</f>
        <v>21:00</v>
      </c>
      <c r="H307" s="25" t="str">
        <f t="shared" si="4"/>
        <v/>
      </c>
      <c r="I307" s="22"/>
    </row>
    <row r="308" spans="1:9">
      <c r="A308" s="13">
        <v>45855.895833333336</v>
      </c>
      <c r="B308" s="14">
        <v>-14.03</v>
      </c>
      <c r="C308" s="15">
        <v>0</v>
      </c>
      <c r="D308" s="15">
        <v>18.8</v>
      </c>
      <c r="E308" s="15">
        <v>560</v>
      </c>
      <c r="F308" s="16">
        <v>134.12</v>
      </c>
      <c r="G308" s="19" t="str">
        <f>TEXT(Table4_137[[#This Row],[date]], "hh:mm")</f>
        <v>21:30</v>
      </c>
      <c r="H308" s="25" t="str">
        <f t="shared" si="4"/>
        <v/>
      </c>
      <c r="I308" s="22"/>
    </row>
    <row r="309" spans="1:9">
      <c r="A309" s="13">
        <v>45855.916666666664</v>
      </c>
      <c r="B309" s="14">
        <v>-13.46</v>
      </c>
      <c r="C309" s="15">
        <v>0</v>
      </c>
      <c r="D309" s="15">
        <v>5.35</v>
      </c>
      <c r="E309" s="15">
        <v>238.7</v>
      </c>
      <c r="F309" s="16">
        <v>134.53</v>
      </c>
      <c r="G309" s="19" t="str">
        <f>TEXT(Table4_137[[#This Row],[date]], "hh:mm")</f>
        <v>22:00</v>
      </c>
      <c r="H309" s="25" t="str">
        <f t="shared" si="4"/>
        <v/>
      </c>
      <c r="I309" s="22"/>
    </row>
    <row r="310" spans="1:9">
      <c r="A310" s="13">
        <v>45855.9375</v>
      </c>
      <c r="B310" s="14">
        <v>-12.4</v>
      </c>
      <c r="C310" s="15">
        <v>0</v>
      </c>
      <c r="D310" s="15">
        <v>3.78</v>
      </c>
      <c r="E310" s="15">
        <v>25.97</v>
      </c>
      <c r="F310" s="16">
        <v>171.65</v>
      </c>
      <c r="G310" s="19" t="str">
        <f>TEXT(Table4_137[[#This Row],[date]], "hh:mm")</f>
        <v>22:30</v>
      </c>
      <c r="H310" s="25" t="str">
        <f t="shared" si="4"/>
        <v/>
      </c>
      <c r="I310" s="22"/>
    </row>
    <row r="311" spans="1:9">
      <c r="A311" s="13">
        <v>45855.958333333336</v>
      </c>
      <c r="B311" s="14">
        <v>-11.46</v>
      </c>
      <c r="C311" s="15">
        <v>0</v>
      </c>
      <c r="D311" s="15">
        <v>0.21</v>
      </c>
      <c r="E311" s="15">
        <v>0</v>
      </c>
      <c r="F311" s="16">
        <v>140.94</v>
      </c>
      <c r="G311" s="19" t="str">
        <f>TEXT(Table4_137[[#This Row],[date]], "hh:mm")</f>
        <v>23:00</v>
      </c>
      <c r="H311" s="25" t="str">
        <f t="shared" si="4"/>
        <v/>
      </c>
      <c r="I311" s="22"/>
    </row>
    <row r="312" spans="1:9">
      <c r="A312" s="13">
        <v>45855.979166666664</v>
      </c>
      <c r="B312" s="14">
        <v>-10.81</v>
      </c>
      <c r="C312" s="15">
        <v>0</v>
      </c>
      <c r="D312" s="15">
        <v>0.72</v>
      </c>
      <c r="E312" s="15">
        <v>0</v>
      </c>
      <c r="F312" s="16">
        <v>109.92</v>
      </c>
      <c r="G312" s="19" t="str">
        <f>TEXT(Table4_137[[#This Row],[date]], "hh:mm")</f>
        <v>23:30</v>
      </c>
      <c r="H312" s="25" t="str">
        <f t="shared" si="4"/>
        <v/>
      </c>
      <c r="I312" s="22"/>
    </row>
    <row r="313" spans="1:9">
      <c r="A313" s="13">
        <v>45856</v>
      </c>
      <c r="B313" s="14">
        <v>-12.24</v>
      </c>
      <c r="C313" s="15">
        <v>0</v>
      </c>
      <c r="D313" s="15">
        <v>0.13</v>
      </c>
      <c r="E313" s="15">
        <v>0</v>
      </c>
      <c r="F313" s="16">
        <v>127.6</v>
      </c>
      <c r="G313" s="19" t="str">
        <f>TEXT(Table4_137[[#This Row],[date]], "hh:mm")</f>
        <v>00:00</v>
      </c>
      <c r="H313" s="25" t="str">
        <f t="shared" si="4"/>
        <v>18 Jul</v>
      </c>
      <c r="I313" s="22"/>
    </row>
    <row r="314" spans="1:9">
      <c r="A314" s="13">
        <v>45856.020833333336</v>
      </c>
      <c r="B314" s="14">
        <v>-20.67</v>
      </c>
      <c r="C314" s="15">
        <v>0</v>
      </c>
      <c r="D314" s="15">
        <v>0.28999999999999998</v>
      </c>
      <c r="E314" s="15">
        <v>0</v>
      </c>
      <c r="F314" s="16">
        <v>98.1</v>
      </c>
      <c r="G314" s="19" t="str">
        <f>TEXT(Table4_137[[#This Row],[date]], "hh:mm")</f>
        <v>00:30</v>
      </c>
      <c r="H314" s="25" t="str">
        <f t="shared" si="4"/>
        <v/>
      </c>
      <c r="I314" s="22"/>
    </row>
    <row r="315" spans="1:9">
      <c r="A315" s="13">
        <v>45856.041666666664</v>
      </c>
      <c r="B315" s="14">
        <v>-59.56</v>
      </c>
      <c r="C315" s="15">
        <v>0</v>
      </c>
      <c r="D315" s="15">
        <v>0.1</v>
      </c>
      <c r="E315" s="15">
        <v>0</v>
      </c>
      <c r="F315" s="16">
        <v>96.55</v>
      </c>
      <c r="G315" s="19" t="str">
        <f>TEXT(Table4_137[[#This Row],[date]], "hh:mm")</f>
        <v>01:00</v>
      </c>
      <c r="H315" s="25" t="str">
        <f t="shared" si="4"/>
        <v/>
      </c>
      <c r="I315" s="22"/>
    </row>
    <row r="316" spans="1:9">
      <c r="A316" s="13">
        <v>45856.0625</v>
      </c>
      <c r="B316" s="14">
        <v>-16.57</v>
      </c>
      <c r="C316" s="15">
        <v>-67.48</v>
      </c>
      <c r="D316" s="15">
        <v>0.06</v>
      </c>
      <c r="E316" s="15">
        <v>0</v>
      </c>
      <c r="F316" s="16">
        <v>90.63</v>
      </c>
      <c r="G316" s="19" t="str">
        <f>TEXT(Table4_137[[#This Row],[date]], "hh:mm")</f>
        <v>01:30</v>
      </c>
      <c r="H316" s="25" t="str">
        <f t="shared" si="4"/>
        <v/>
      </c>
      <c r="I316" s="22"/>
    </row>
    <row r="317" spans="1:9">
      <c r="A317" s="13">
        <v>45856.083333333336</v>
      </c>
      <c r="B317" s="14">
        <v>-16.52</v>
      </c>
      <c r="C317" s="15">
        <v>-80.81</v>
      </c>
      <c r="D317" s="15">
        <v>0.16</v>
      </c>
      <c r="E317" s="15">
        <v>0</v>
      </c>
      <c r="F317" s="16">
        <v>84.85</v>
      </c>
      <c r="G317" s="19" t="str">
        <f>TEXT(Table4_137[[#This Row],[date]], "hh:mm")</f>
        <v>02:00</v>
      </c>
      <c r="H317" s="25" t="str">
        <f t="shared" si="4"/>
        <v/>
      </c>
      <c r="I317" s="22"/>
    </row>
    <row r="318" spans="1:9">
      <c r="A318" s="13">
        <v>45856.104166666664</v>
      </c>
      <c r="B318" s="14">
        <v>-50.46</v>
      </c>
      <c r="C318" s="15">
        <v>-80.709999999999994</v>
      </c>
      <c r="D318" s="15">
        <v>0.13</v>
      </c>
      <c r="E318" s="15">
        <v>0</v>
      </c>
      <c r="F318" s="16">
        <v>90.36</v>
      </c>
      <c r="G318" s="19" t="str">
        <f>TEXT(Table4_137[[#This Row],[date]], "hh:mm")</f>
        <v>02:30</v>
      </c>
      <c r="H318" s="25" t="str">
        <f t="shared" si="4"/>
        <v/>
      </c>
      <c r="I318" s="22"/>
    </row>
    <row r="319" spans="1:9">
      <c r="A319" s="13">
        <v>45856.125</v>
      </c>
      <c r="B319" s="14">
        <v>-70.569999999999993</v>
      </c>
      <c r="C319" s="15">
        <v>-80.61</v>
      </c>
      <c r="D319" s="15">
        <v>0.42</v>
      </c>
      <c r="E319" s="15">
        <v>0</v>
      </c>
      <c r="F319" s="16">
        <v>81.17</v>
      </c>
      <c r="G319" s="19" t="str">
        <f>TEXT(Table4_137[[#This Row],[date]], "hh:mm")</f>
        <v>03:00</v>
      </c>
      <c r="H319" s="25" t="str">
        <f t="shared" si="4"/>
        <v/>
      </c>
      <c r="I319" s="22"/>
    </row>
    <row r="320" spans="1:9">
      <c r="A320" s="13">
        <v>45856.145833333336</v>
      </c>
      <c r="B320" s="14">
        <v>-67.290000000000006</v>
      </c>
      <c r="C320" s="15">
        <v>-80.709999999999994</v>
      </c>
      <c r="D320" s="15">
        <v>0.75</v>
      </c>
      <c r="E320" s="15">
        <v>0</v>
      </c>
      <c r="F320" s="16">
        <v>102.32</v>
      </c>
      <c r="G320" s="19" t="str">
        <f>TEXT(Table4_137[[#This Row],[date]], "hh:mm")</f>
        <v>03:30</v>
      </c>
      <c r="H320" s="25" t="str">
        <f t="shared" si="4"/>
        <v/>
      </c>
      <c r="I320" s="22"/>
    </row>
    <row r="321" spans="1:9">
      <c r="A321" s="13">
        <v>45856.166666666664</v>
      </c>
      <c r="B321" s="14">
        <v>-77.040000000000006</v>
      </c>
      <c r="C321" s="15">
        <v>-80.73</v>
      </c>
      <c r="D321" s="15">
        <v>0.44</v>
      </c>
      <c r="E321" s="15">
        <v>0</v>
      </c>
      <c r="F321" s="16">
        <v>85.84</v>
      </c>
      <c r="G321" s="19" t="str">
        <f>TEXT(Table4_137[[#This Row],[date]], "hh:mm")</f>
        <v>04:00</v>
      </c>
      <c r="H321" s="25" t="str">
        <f t="shared" si="4"/>
        <v/>
      </c>
      <c r="I321" s="22"/>
    </row>
    <row r="322" spans="1:9">
      <c r="A322" s="13">
        <v>45856.1875</v>
      </c>
      <c r="B322" s="14">
        <v>-76.790000000000006</v>
      </c>
      <c r="C322" s="15">
        <v>-80.75</v>
      </c>
      <c r="D322" s="15">
        <v>0.42</v>
      </c>
      <c r="E322" s="15">
        <v>0</v>
      </c>
      <c r="F322" s="16">
        <v>100.25</v>
      </c>
      <c r="G322" s="19" t="str">
        <f>TEXT(Table4_137[[#This Row],[date]], "hh:mm")</f>
        <v>04:30</v>
      </c>
      <c r="H322" s="25" t="str">
        <f t="shared" ref="H322:H338" si="5">IF(AND(HOUR(A322)=0,MINUTE(A322)=0),TEXT(A322,"d mmm"),"")</f>
        <v/>
      </c>
      <c r="I322" s="22"/>
    </row>
    <row r="323" spans="1:9">
      <c r="A323" s="13">
        <v>45856.208333333336</v>
      </c>
      <c r="B323" s="14">
        <v>-45.92</v>
      </c>
      <c r="C323" s="15">
        <v>-67.25</v>
      </c>
      <c r="D323" s="15">
        <v>3</v>
      </c>
      <c r="E323" s="15">
        <v>0</v>
      </c>
      <c r="F323" s="16">
        <v>112.24</v>
      </c>
      <c r="G323" s="19" t="str">
        <f>TEXT(Table4_137[[#This Row],[date]], "hh:mm")</f>
        <v>05:00</v>
      </c>
      <c r="H323" s="25" t="str">
        <f t="shared" si="5"/>
        <v/>
      </c>
      <c r="I323" s="22"/>
    </row>
    <row r="324" spans="1:9">
      <c r="A324" s="13">
        <v>45856.229166666664</v>
      </c>
      <c r="B324" s="14">
        <v>-78.44</v>
      </c>
      <c r="C324" s="15">
        <v>0</v>
      </c>
      <c r="D324" s="15">
        <v>0.28999999999999998</v>
      </c>
      <c r="E324" s="15">
        <v>43.07</v>
      </c>
      <c r="F324" s="16">
        <v>122.82</v>
      </c>
      <c r="G324" s="19" t="str">
        <f>TEXT(Table4_137[[#This Row],[date]], "hh:mm")</f>
        <v>05:30</v>
      </c>
      <c r="H324" s="25" t="str">
        <f t="shared" si="5"/>
        <v/>
      </c>
      <c r="I324" s="22"/>
    </row>
    <row r="325" spans="1:9">
      <c r="A325" s="13">
        <v>45856.25</v>
      </c>
      <c r="B325" s="14">
        <v>-95.53</v>
      </c>
      <c r="C325" s="15">
        <v>0</v>
      </c>
      <c r="D325" s="15">
        <v>6.73</v>
      </c>
      <c r="E325" s="15">
        <v>250.05</v>
      </c>
      <c r="F325" s="16">
        <v>120.89</v>
      </c>
      <c r="G325" s="19" t="str">
        <f>TEXT(Table4_137[[#This Row],[date]], "hh:mm")</f>
        <v>06:00</v>
      </c>
      <c r="H325" s="25" t="str">
        <f t="shared" si="5"/>
        <v/>
      </c>
      <c r="I325" s="22"/>
    </row>
    <row r="326" spans="1:9">
      <c r="A326" s="13">
        <v>45856.270833333336</v>
      </c>
      <c r="B326" s="14">
        <v>-32.76</v>
      </c>
      <c r="C326" s="15">
        <v>0</v>
      </c>
      <c r="D326" s="15">
        <v>0.49</v>
      </c>
      <c r="E326" s="15">
        <v>288.27999999999997</v>
      </c>
      <c r="F326" s="16">
        <v>162.19</v>
      </c>
      <c r="G326" s="19" t="str">
        <f>TEXT(Table4_137[[#This Row],[date]], "hh:mm")</f>
        <v>06:30</v>
      </c>
      <c r="H326" s="25" t="str">
        <f t="shared" si="5"/>
        <v/>
      </c>
      <c r="I326" s="22"/>
    </row>
    <row r="327" spans="1:9">
      <c r="A327" s="13">
        <v>45856.291666666664</v>
      </c>
      <c r="B327" s="14">
        <v>-6.85</v>
      </c>
      <c r="C327" s="15">
        <v>0</v>
      </c>
      <c r="D327" s="15">
        <v>125</v>
      </c>
      <c r="E327" s="15">
        <v>328.44</v>
      </c>
      <c r="F327" s="16">
        <v>202.46</v>
      </c>
      <c r="G327" s="19" t="str">
        <f>TEXT(Table4_137[[#This Row],[date]], "hh:mm")</f>
        <v>07:00</v>
      </c>
      <c r="H327" s="25" t="str">
        <f t="shared" si="5"/>
        <v/>
      </c>
      <c r="I327" s="22"/>
    </row>
    <row r="328" spans="1:9">
      <c r="A328" s="13">
        <v>45856.3125</v>
      </c>
      <c r="B328" s="14">
        <v>-6.86</v>
      </c>
      <c r="C328" s="15">
        <v>0</v>
      </c>
      <c r="D328" s="15">
        <v>159.91</v>
      </c>
      <c r="E328" s="15">
        <v>402.95</v>
      </c>
      <c r="F328" s="16">
        <v>299.98</v>
      </c>
      <c r="G328" s="19" t="str">
        <f>TEXT(Table4_137[[#This Row],[date]], "hh:mm")</f>
        <v>07:30</v>
      </c>
      <c r="H328" s="25" t="str">
        <f t="shared" si="5"/>
        <v/>
      </c>
      <c r="I328" s="22"/>
    </row>
    <row r="329" spans="1:9">
      <c r="A329" s="13">
        <v>45856.333333333336</v>
      </c>
      <c r="B329" s="14">
        <v>-7.68</v>
      </c>
      <c r="C329" s="15">
        <v>0</v>
      </c>
      <c r="D329" s="15">
        <v>118.35</v>
      </c>
      <c r="E329" s="15">
        <v>590.59</v>
      </c>
      <c r="F329" s="16">
        <v>291.7</v>
      </c>
      <c r="G329" s="19" t="str">
        <f>TEXT(Table4_137[[#This Row],[date]], "hh:mm")</f>
        <v>08:00</v>
      </c>
      <c r="H329" s="25" t="str">
        <f t="shared" si="5"/>
        <v/>
      </c>
      <c r="I329" s="22"/>
    </row>
    <row r="330" spans="1:9">
      <c r="A330" s="13">
        <v>45856.354166666664</v>
      </c>
      <c r="B330" s="14">
        <v>-6.08</v>
      </c>
      <c r="C330" s="15">
        <v>0</v>
      </c>
      <c r="D330" s="15">
        <v>89.09</v>
      </c>
      <c r="E330" s="15">
        <v>483.07</v>
      </c>
      <c r="F330" s="16">
        <v>263.02</v>
      </c>
      <c r="G330" s="19" t="str">
        <f>TEXT(Table4_137[[#This Row],[date]], "hh:mm")</f>
        <v>08:30</v>
      </c>
      <c r="H330" s="25" t="str">
        <f t="shared" si="5"/>
        <v/>
      </c>
      <c r="I330" s="22"/>
    </row>
    <row r="331" spans="1:9">
      <c r="A331" s="13">
        <v>45856.375</v>
      </c>
      <c r="B331" s="14">
        <v>-25.04</v>
      </c>
      <c r="C331" s="15">
        <v>0</v>
      </c>
      <c r="D331" s="15">
        <v>41.4</v>
      </c>
      <c r="E331" s="15">
        <v>335.99</v>
      </c>
      <c r="F331" s="16">
        <v>168.06</v>
      </c>
      <c r="G331" s="19" t="str">
        <f>TEXT(Table4_137[[#This Row],[date]], "hh:mm")</f>
        <v>09:00</v>
      </c>
      <c r="H331" s="25" t="str">
        <f t="shared" si="5"/>
        <v/>
      </c>
      <c r="I331" s="22"/>
    </row>
    <row r="332" spans="1:9">
      <c r="A332" s="13">
        <v>45856.395833333336</v>
      </c>
      <c r="B332" s="14">
        <v>-15.09</v>
      </c>
      <c r="C332" s="15">
        <v>0</v>
      </c>
      <c r="D332" s="15">
        <v>0.19</v>
      </c>
      <c r="E332" s="15">
        <v>0.08</v>
      </c>
      <c r="F332" s="16">
        <v>122.8</v>
      </c>
      <c r="G332" s="19" t="str">
        <f>TEXT(Table4_137[[#This Row],[date]], "hh:mm")</f>
        <v>09:30</v>
      </c>
      <c r="H332" s="25" t="str">
        <f t="shared" si="5"/>
        <v/>
      </c>
      <c r="I332" s="22"/>
    </row>
    <row r="333" spans="1:9">
      <c r="A333" s="13">
        <v>45856.416666666664</v>
      </c>
      <c r="B333" s="14">
        <v>-232.19</v>
      </c>
      <c r="C333" s="15">
        <v>0</v>
      </c>
      <c r="D333" s="15">
        <v>2.9</v>
      </c>
      <c r="E333" s="15">
        <v>0</v>
      </c>
      <c r="F333" s="16">
        <v>128.81</v>
      </c>
      <c r="G333" s="19" t="str">
        <f>TEXT(Table4_137[[#This Row],[date]], "hh:mm")</f>
        <v>10:00</v>
      </c>
      <c r="H333" s="25" t="str">
        <f t="shared" si="5"/>
        <v/>
      </c>
      <c r="I333" s="22"/>
    </row>
    <row r="334" spans="1:9">
      <c r="A334" s="13">
        <v>45856.4375</v>
      </c>
      <c r="B334" s="14">
        <v>-140.24</v>
      </c>
      <c r="C334" s="15">
        <v>0</v>
      </c>
      <c r="D334" s="15">
        <v>1.58</v>
      </c>
      <c r="E334" s="15">
        <v>0</v>
      </c>
      <c r="F334" s="16">
        <v>123.83</v>
      </c>
      <c r="G334" s="19" t="str">
        <f>TEXT(Table4_137[[#This Row],[date]], "hh:mm")</f>
        <v>10:30</v>
      </c>
      <c r="H334" s="25" t="str">
        <f t="shared" si="5"/>
        <v/>
      </c>
      <c r="I334" s="22"/>
    </row>
    <row r="335" spans="1:9">
      <c r="A335" s="13">
        <v>45856.458333333336</v>
      </c>
      <c r="B335" s="14">
        <v>-31.11</v>
      </c>
      <c r="C335" s="15">
        <v>-67.319999999999993</v>
      </c>
      <c r="D335" s="15">
        <v>30.87</v>
      </c>
      <c r="E335" s="15">
        <v>0</v>
      </c>
      <c r="F335" s="16">
        <v>94.8</v>
      </c>
      <c r="G335" s="19" t="str">
        <f>TEXT(Table4_137[[#This Row],[date]], "hh:mm")</f>
        <v>11:00</v>
      </c>
      <c r="H335" s="25" t="str">
        <f t="shared" si="5"/>
        <v/>
      </c>
      <c r="I335" s="22"/>
    </row>
    <row r="336" spans="1:9">
      <c r="A336" s="13">
        <v>45856.479166666664</v>
      </c>
      <c r="B336" s="14">
        <v>-134.41</v>
      </c>
      <c r="C336" s="15">
        <v>-80.92</v>
      </c>
      <c r="D336" s="15">
        <v>0.2</v>
      </c>
      <c r="E336" s="15">
        <v>0</v>
      </c>
      <c r="F336" s="16">
        <v>91.02</v>
      </c>
      <c r="G336" s="19" t="str">
        <f>TEXT(Table4_137[[#This Row],[date]], "hh:mm")</f>
        <v>11:30</v>
      </c>
      <c r="H336" s="25" t="str">
        <f t="shared" si="5"/>
        <v/>
      </c>
      <c r="I336" s="22"/>
    </row>
    <row r="337" spans="1:9">
      <c r="A337" s="13">
        <v>45856.5</v>
      </c>
      <c r="B337" s="14">
        <v>-217.25</v>
      </c>
      <c r="C337" s="15">
        <v>-80.709999999999994</v>
      </c>
      <c r="D337" s="15">
        <v>65.849999999999994</v>
      </c>
      <c r="E337" s="15">
        <v>0</v>
      </c>
      <c r="F337" s="16">
        <v>88.28</v>
      </c>
      <c r="G337" s="19" t="str">
        <f>TEXT(Table4_137[[#This Row],[date]], "hh:mm")</f>
        <v>12:00</v>
      </c>
      <c r="H337" s="25" t="str">
        <f t="shared" si="5"/>
        <v/>
      </c>
      <c r="I337" s="22"/>
    </row>
    <row r="338" spans="1:9">
      <c r="A338" s="17">
        <v>45856.520833333336</v>
      </c>
      <c r="B338" s="18">
        <v>-224.94</v>
      </c>
      <c r="C338" s="19">
        <v>-80.709999999999994</v>
      </c>
      <c r="D338" s="19">
        <v>67.41</v>
      </c>
      <c r="E338" s="19">
        <v>0</v>
      </c>
      <c r="F338" s="8">
        <v>59.52</v>
      </c>
      <c r="G338" s="15" t="str">
        <f>TEXT(Table4_137[[#This Row],[date]], "hh:mm")</f>
        <v>12:30</v>
      </c>
      <c r="H338" s="25" t="str">
        <f t="shared" si="5"/>
        <v/>
      </c>
      <c r="I338" s="22"/>
    </row>
    <row r="342" spans="1:9">
      <c r="A342" t="s">
        <v>76</v>
      </c>
      <c r="B342" t="s">
        <v>26</v>
      </c>
    </row>
    <row r="343" spans="1:9">
      <c r="A343" s="23" t="s">
        <v>28</v>
      </c>
      <c r="B343">
        <v>86.982857142857142</v>
      </c>
    </row>
    <row r="344" spans="1:9">
      <c r="A344" s="23" t="s">
        <v>29</v>
      </c>
      <c r="B344">
        <v>81.675714285714292</v>
      </c>
    </row>
    <row r="345" spans="1:9">
      <c r="A345" s="23" t="s">
        <v>30</v>
      </c>
      <c r="B345">
        <v>81.991428571428557</v>
      </c>
    </row>
    <row r="346" spans="1:9">
      <c r="A346" s="23" t="s">
        <v>31</v>
      </c>
      <c r="B346">
        <v>80.155714285714268</v>
      </c>
    </row>
    <row r="347" spans="1:9">
      <c r="A347" s="23" t="s">
        <v>32</v>
      </c>
      <c r="B347">
        <v>74.835714285714289</v>
      </c>
    </row>
    <row r="348" spans="1:9">
      <c r="A348" s="23" t="s">
        <v>33</v>
      </c>
      <c r="B348">
        <v>76.22571428571429</v>
      </c>
    </row>
    <row r="349" spans="1:9">
      <c r="A349" s="23" t="s">
        <v>34</v>
      </c>
      <c r="B349">
        <v>75.285714285714292</v>
      </c>
    </row>
    <row r="350" spans="1:9">
      <c r="A350" s="23" t="s">
        <v>35</v>
      </c>
      <c r="B350">
        <v>77.419999999999987</v>
      </c>
    </row>
    <row r="351" spans="1:9">
      <c r="A351" s="23" t="s">
        <v>36</v>
      </c>
      <c r="B351">
        <v>76.872857142857143</v>
      </c>
    </row>
    <row r="352" spans="1:9">
      <c r="A352" s="23" t="s">
        <v>37</v>
      </c>
      <c r="B352">
        <v>80.895714285714277</v>
      </c>
    </row>
    <row r="353" spans="1:2">
      <c r="A353" s="23" t="s">
        <v>38</v>
      </c>
      <c r="B353">
        <v>81.535714285714292</v>
      </c>
    </row>
    <row r="354" spans="1:2">
      <c r="A354" s="23" t="s">
        <v>39</v>
      </c>
      <c r="B354">
        <v>87.502857142857138</v>
      </c>
    </row>
    <row r="355" spans="1:2">
      <c r="A355" s="23" t="s">
        <v>40</v>
      </c>
      <c r="B355">
        <v>96.751428571428576</v>
      </c>
    </row>
    <row r="356" spans="1:2">
      <c r="A356" s="23" t="s">
        <v>41</v>
      </c>
      <c r="B356">
        <v>119.34142857142858</v>
      </c>
    </row>
    <row r="357" spans="1:2">
      <c r="A357" s="23" t="s">
        <v>42</v>
      </c>
      <c r="B357">
        <v>147.88428571428571</v>
      </c>
    </row>
    <row r="358" spans="1:2">
      <c r="A358" s="23" t="s">
        <v>43</v>
      </c>
      <c r="B358">
        <v>156.35142857142858</v>
      </c>
    </row>
    <row r="359" spans="1:2">
      <c r="A359" s="23" t="s">
        <v>44</v>
      </c>
      <c r="B359">
        <v>141.87285714285713</v>
      </c>
    </row>
    <row r="360" spans="1:2">
      <c r="A360" s="23" t="s">
        <v>45</v>
      </c>
      <c r="B360">
        <v>97.867142857142852</v>
      </c>
    </row>
    <row r="361" spans="1:2">
      <c r="A361" s="23" t="s">
        <v>46</v>
      </c>
      <c r="B361">
        <v>81.771428571428586</v>
      </c>
    </row>
    <row r="362" spans="1:2">
      <c r="A362" s="23" t="s">
        <v>47</v>
      </c>
      <c r="B362">
        <v>85.148571428571429</v>
      </c>
    </row>
    <row r="363" spans="1:2">
      <c r="A363" s="23" t="s">
        <v>48</v>
      </c>
      <c r="B363">
        <v>70.944285714285712</v>
      </c>
    </row>
    <row r="364" spans="1:2">
      <c r="A364" s="23" t="s">
        <v>49</v>
      </c>
      <c r="B364">
        <v>60.154285714285713</v>
      </c>
    </row>
    <row r="365" spans="1:2">
      <c r="A365" s="23" t="s">
        <v>50</v>
      </c>
      <c r="B365">
        <v>31.034285714285716</v>
      </c>
    </row>
    <row r="366" spans="1:2">
      <c r="A366" s="23" t="s">
        <v>51</v>
      </c>
      <c r="B366">
        <v>32.019999999999996</v>
      </c>
    </row>
    <row r="367" spans="1:2">
      <c r="A367" s="23" t="s">
        <v>52</v>
      </c>
      <c r="B367">
        <v>25.745714285714286</v>
      </c>
    </row>
    <row r="368" spans="1:2">
      <c r="A368" s="23" t="s">
        <v>53</v>
      </c>
      <c r="B368">
        <v>22.828750000000003</v>
      </c>
    </row>
    <row r="369" spans="1:2">
      <c r="A369" s="23" t="s">
        <v>54</v>
      </c>
      <c r="B369">
        <v>5.3885714285714297</v>
      </c>
    </row>
    <row r="370" spans="1:2">
      <c r="A370" s="23" t="s">
        <v>55</v>
      </c>
      <c r="B370">
        <v>14.288571428571428</v>
      </c>
    </row>
    <row r="371" spans="1:2">
      <c r="A371" s="23" t="s">
        <v>56</v>
      </c>
      <c r="B371">
        <v>4.0828571428571436</v>
      </c>
    </row>
    <row r="372" spans="1:2">
      <c r="A372" s="23" t="s">
        <v>57</v>
      </c>
      <c r="B372">
        <v>20.804285714285715</v>
      </c>
    </row>
    <row r="373" spans="1:2">
      <c r="A373" s="23" t="s">
        <v>58</v>
      </c>
      <c r="B373">
        <v>45.08428571428572</v>
      </c>
    </row>
    <row r="374" spans="1:2">
      <c r="A374" s="23" t="s">
        <v>59</v>
      </c>
      <c r="B374">
        <v>13.794285714285715</v>
      </c>
    </row>
    <row r="375" spans="1:2">
      <c r="A375" s="23" t="s">
        <v>60</v>
      </c>
      <c r="B375">
        <v>68.755714285714276</v>
      </c>
    </row>
    <row r="376" spans="1:2">
      <c r="A376" s="23" t="s">
        <v>61</v>
      </c>
      <c r="B376">
        <v>91.742857142857147</v>
      </c>
    </row>
    <row r="377" spans="1:2">
      <c r="A377" s="23" t="s">
        <v>62</v>
      </c>
      <c r="B377">
        <v>158.11142857142858</v>
      </c>
    </row>
    <row r="378" spans="1:2">
      <c r="A378" s="23" t="s">
        <v>63</v>
      </c>
      <c r="B378">
        <v>171.86142857142858</v>
      </c>
    </row>
    <row r="379" spans="1:2">
      <c r="A379" s="23" t="s">
        <v>64</v>
      </c>
      <c r="B379">
        <v>230.89000000000001</v>
      </c>
    </row>
    <row r="380" spans="1:2">
      <c r="A380" s="23" t="s">
        <v>65</v>
      </c>
      <c r="B380">
        <v>191.43714285714285</v>
      </c>
    </row>
    <row r="381" spans="1:2">
      <c r="A381" s="23" t="s">
        <v>66</v>
      </c>
      <c r="B381">
        <v>188.42285714285714</v>
      </c>
    </row>
    <row r="382" spans="1:2">
      <c r="A382" s="23" t="s">
        <v>67</v>
      </c>
      <c r="B382">
        <v>175.25285714285715</v>
      </c>
    </row>
    <row r="383" spans="1:2">
      <c r="A383" s="23" t="s">
        <v>68</v>
      </c>
      <c r="B383">
        <v>141.87285714285716</v>
      </c>
    </row>
    <row r="384" spans="1:2">
      <c r="A384" s="23" t="s">
        <v>69</v>
      </c>
      <c r="B384">
        <v>134.85285714285715</v>
      </c>
    </row>
    <row r="385" spans="1:2">
      <c r="A385" s="23" t="s">
        <v>70</v>
      </c>
      <c r="B385">
        <v>140.27714285714288</v>
      </c>
    </row>
    <row r="386" spans="1:2">
      <c r="A386" s="23" t="s">
        <v>71</v>
      </c>
      <c r="B386">
        <v>121.51428571428572</v>
      </c>
    </row>
    <row r="387" spans="1:2">
      <c r="A387" s="23" t="s">
        <v>72</v>
      </c>
      <c r="B387">
        <v>104.76285714285713</v>
      </c>
    </row>
    <row r="388" spans="1:2">
      <c r="A388" s="23" t="s">
        <v>73</v>
      </c>
      <c r="B388">
        <v>123.64571428571428</v>
      </c>
    </row>
    <row r="389" spans="1:2">
      <c r="A389" s="23" t="s">
        <v>74</v>
      </c>
      <c r="B389">
        <v>108.54571428571428</v>
      </c>
    </row>
    <row r="390" spans="1:2">
      <c r="A390" s="23" t="s">
        <v>75</v>
      </c>
      <c r="B390">
        <v>93.054285714285712</v>
      </c>
    </row>
    <row r="391" spans="1:2">
      <c r="A391" s="23" t="s">
        <v>25</v>
      </c>
      <c r="B391">
        <v>93.114540059347149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95BC-EED8-2941-B81A-A09F1DE785FF}">
  <dimension ref="A1:R338"/>
  <sheetViews>
    <sheetView tabSelected="1" zoomScale="141" zoomScaleNormal="90" workbookViewId="0">
      <selection activeCell="G217" sqref="G217:G264"/>
    </sheetView>
  </sheetViews>
  <sheetFormatPr baseColWidth="10" defaultRowHeight="13"/>
  <cols>
    <col min="1" max="1" width="17.19921875" bestFit="1" customWidth="1"/>
    <col min="2" max="2" width="22.3984375" customWidth="1"/>
    <col min="3" max="3" width="29.796875" customWidth="1"/>
    <col min="4" max="5" width="22.59765625" customWidth="1"/>
    <col min="6" max="6" width="15.796875" customWidth="1"/>
    <col min="7" max="7" width="21.796875" customWidth="1"/>
    <col min="8" max="8" width="37.59765625" customWidth="1"/>
    <col min="9" max="9" width="15.3984375" style="26" customWidth="1"/>
  </cols>
  <sheetData>
    <row r="1" spans="1:9" ht="28">
      <c r="A1" s="20" t="s">
        <v>2</v>
      </c>
      <c r="B1" s="20" t="s">
        <v>7</v>
      </c>
      <c r="C1" s="20" t="s">
        <v>8</v>
      </c>
      <c r="D1" s="20" t="s">
        <v>9</v>
      </c>
      <c r="E1" s="20" t="s">
        <v>10</v>
      </c>
      <c r="F1" s="20" t="s">
        <v>13</v>
      </c>
      <c r="G1" s="21" t="s">
        <v>24</v>
      </c>
      <c r="H1" s="21" t="s">
        <v>27</v>
      </c>
      <c r="I1" s="24" t="s">
        <v>77</v>
      </c>
    </row>
    <row r="2" spans="1:9">
      <c r="A2" s="9">
        <v>45849.520833333336</v>
      </c>
      <c r="B2" s="11">
        <v>3381.98</v>
      </c>
      <c r="C2" s="11">
        <v>28.92</v>
      </c>
      <c r="D2" s="11">
        <v>0</v>
      </c>
      <c r="E2" s="11">
        <v>37.35</v>
      </c>
      <c r="F2" s="11">
        <v>1569.25</v>
      </c>
      <c r="G2" s="12">
        <v>-22.01</v>
      </c>
      <c r="H2" s="22" t="str">
        <f>TEXT(Table4_138[[#This Row],[date]], "hh:mm")</f>
        <v>12:30</v>
      </c>
      <c r="I2" s="25" t="str">
        <f t="shared" ref="I2:I65" si="0">IF(AND(HOUR(A2)=0,MINUTE(A2)=0),TEXT(A2,"d mmm"),"")</f>
        <v/>
      </c>
    </row>
    <row r="3" spans="1:9">
      <c r="A3" s="13">
        <v>45849.541666666664</v>
      </c>
      <c r="B3" s="15">
        <v>3430.37</v>
      </c>
      <c r="C3" s="15">
        <v>29.64</v>
      </c>
      <c r="D3" s="15">
        <v>0</v>
      </c>
      <c r="E3" s="15">
        <v>37.369999999999997</v>
      </c>
      <c r="F3" s="15">
        <v>1626.93</v>
      </c>
      <c r="G3" s="16">
        <v>-14.01</v>
      </c>
      <c r="H3" s="19" t="str">
        <f>TEXT(Table4_138[[#This Row],[date]], "hh:mm")</f>
        <v>13:00</v>
      </c>
      <c r="I3" s="25" t="str">
        <f t="shared" si="0"/>
        <v/>
      </c>
    </row>
    <row r="4" spans="1:9">
      <c r="A4" s="13">
        <v>45849.5625</v>
      </c>
      <c r="B4" s="15">
        <v>3463.22</v>
      </c>
      <c r="C4" s="15">
        <v>20.71</v>
      </c>
      <c r="D4" s="15">
        <v>0</v>
      </c>
      <c r="E4" s="15">
        <v>37.19</v>
      </c>
      <c r="F4" s="15">
        <v>1717.61</v>
      </c>
      <c r="G4" s="16">
        <v>13.96</v>
      </c>
      <c r="H4" s="19" t="str">
        <f>TEXT(Table4_138[[#This Row],[date]], "hh:mm")</f>
        <v>13:30</v>
      </c>
      <c r="I4" s="25" t="str">
        <f t="shared" si="0"/>
        <v/>
      </c>
    </row>
    <row r="5" spans="1:9">
      <c r="A5" s="13">
        <v>45849.583333333336</v>
      </c>
      <c r="B5" s="15">
        <v>3444.6</v>
      </c>
      <c r="C5" s="15">
        <v>11.93</v>
      </c>
      <c r="D5" s="15">
        <v>1.17</v>
      </c>
      <c r="E5" s="15">
        <v>38.090000000000003</v>
      </c>
      <c r="F5" s="15">
        <v>1735.37</v>
      </c>
      <c r="G5" s="16">
        <v>0.04</v>
      </c>
      <c r="H5" s="19" t="str">
        <f>TEXT(Table4_138[[#This Row],[date]], "hh:mm")</f>
        <v>14:00</v>
      </c>
      <c r="I5" s="25" t="str">
        <f t="shared" si="0"/>
        <v/>
      </c>
    </row>
    <row r="6" spans="1:9">
      <c r="A6" s="13">
        <v>45849.604166666664</v>
      </c>
      <c r="B6" s="15">
        <v>3513.54</v>
      </c>
      <c r="C6" s="15">
        <v>11.22</v>
      </c>
      <c r="D6" s="15">
        <v>52.33</v>
      </c>
      <c r="E6" s="15">
        <v>38.33</v>
      </c>
      <c r="F6" s="15">
        <v>1759.84</v>
      </c>
      <c r="G6" s="16">
        <v>20.3</v>
      </c>
      <c r="H6" s="19" t="str">
        <f>TEXT(Table4_138[[#This Row],[date]], "hh:mm")</f>
        <v>14:30</v>
      </c>
      <c r="I6" s="25" t="str">
        <f t="shared" si="0"/>
        <v/>
      </c>
    </row>
    <row r="7" spans="1:9">
      <c r="A7" s="13">
        <v>45849.625</v>
      </c>
      <c r="B7" s="15">
        <v>3972.11</v>
      </c>
      <c r="C7" s="15">
        <v>12.25</v>
      </c>
      <c r="D7" s="15">
        <v>179.83</v>
      </c>
      <c r="E7" s="15">
        <v>37.979999999999997</v>
      </c>
      <c r="F7" s="15">
        <v>1832.99</v>
      </c>
      <c r="G7" s="16">
        <v>46.74</v>
      </c>
      <c r="H7" s="19" t="str">
        <f>TEXT(Table4_138[[#This Row],[date]], "hh:mm")</f>
        <v>15:00</v>
      </c>
      <c r="I7" s="25" t="str">
        <f t="shared" si="0"/>
        <v/>
      </c>
    </row>
    <row r="8" spans="1:9">
      <c r="A8" s="13">
        <v>45849.645833333336</v>
      </c>
      <c r="B8" s="15">
        <v>4521.03</v>
      </c>
      <c r="C8" s="15">
        <v>11.73</v>
      </c>
      <c r="D8" s="15">
        <v>190</v>
      </c>
      <c r="E8" s="15">
        <v>38.64</v>
      </c>
      <c r="F8" s="15">
        <v>1820.41</v>
      </c>
      <c r="G8" s="16">
        <v>-11.05</v>
      </c>
      <c r="H8" s="19" t="str">
        <f>TEXT(Table4_138[[#This Row],[date]], "hh:mm")</f>
        <v>15:30</v>
      </c>
      <c r="I8" s="25" t="str">
        <f t="shared" si="0"/>
        <v/>
      </c>
    </row>
    <row r="9" spans="1:9">
      <c r="A9" s="13">
        <v>45849.666666666664</v>
      </c>
      <c r="B9" s="15">
        <v>5370.25</v>
      </c>
      <c r="C9" s="15">
        <v>13.43</v>
      </c>
      <c r="D9" s="15">
        <v>199.67</v>
      </c>
      <c r="E9" s="15">
        <v>40.81</v>
      </c>
      <c r="F9" s="15">
        <v>1870.99</v>
      </c>
      <c r="G9" s="16">
        <v>37.74</v>
      </c>
      <c r="H9" s="19" t="str">
        <f>TEXT(Table4_138[[#This Row],[date]], "hh:mm")</f>
        <v>16:00</v>
      </c>
      <c r="I9" s="25" t="str">
        <f t="shared" si="0"/>
        <v/>
      </c>
    </row>
    <row r="10" spans="1:9">
      <c r="A10" s="13">
        <v>45849.6875</v>
      </c>
      <c r="B10" s="15">
        <v>6233.9</v>
      </c>
      <c r="C10" s="15">
        <v>1.38</v>
      </c>
      <c r="D10" s="15">
        <v>345.83</v>
      </c>
      <c r="E10" s="15">
        <v>41.5</v>
      </c>
      <c r="F10" s="15">
        <v>1904.08</v>
      </c>
      <c r="G10" s="16">
        <v>63.4</v>
      </c>
      <c r="H10" s="19" t="str">
        <f>TEXT(Table4_138[[#This Row],[date]], "hh:mm")</f>
        <v>16:30</v>
      </c>
      <c r="I10" s="25" t="str">
        <f t="shared" si="0"/>
        <v/>
      </c>
    </row>
    <row r="11" spans="1:9">
      <c r="A11" s="13">
        <v>45849.708333333336</v>
      </c>
      <c r="B11" s="15">
        <v>6792.19</v>
      </c>
      <c r="C11" s="15">
        <v>-0.54</v>
      </c>
      <c r="D11" s="15">
        <v>447.33</v>
      </c>
      <c r="E11" s="15">
        <v>159.38</v>
      </c>
      <c r="F11" s="15">
        <v>1924.31</v>
      </c>
      <c r="G11" s="16">
        <v>100.59</v>
      </c>
      <c r="H11" s="19" t="str">
        <f>TEXT(Table4_138[[#This Row],[date]], "hh:mm")</f>
        <v>17:00</v>
      </c>
      <c r="I11" s="25" t="str">
        <f t="shared" si="0"/>
        <v/>
      </c>
    </row>
    <row r="12" spans="1:9">
      <c r="A12" s="13">
        <v>45849.729166666664</v>
      </c>
      <c r="B12" s="15">
        <v>7173.65</v>
      </c>
      <c r="C12" s="15">
        <v>-1.78</v>
      </c>
      <c r="D12" s="15">
        <v>445.5</v>
      </c>
      <c r="E12" s="15">
        <v>207.84</v>
      </c>
      <c r="F12" s="15">
        <v>1944.45</v>
      </c>
      <c r="G12" s="16">
        <v>135.19999999999999</v>
      </c>
      <c r="H12" s="19" t="str">
        <f>TEXT(Table4_138[[#This Row],[date]], "hh:mm")</f>
        <v>17:30</v>
      </c>
      <c r="I12" s="25" t="str">
        <f t="shared" si="0"/>
        <v/>
      </c>
    </row>
    <row r="13" spans="1:9">
      <c r="A13" s="13">
        <v>45849.75</v>
      </c>
      <c r="B13" s="15">
        <v>7371.04</v>
      </c>
      <c r="C13" s="15">
        <v>-1.23</v>
      </c>
      <c r="D13" s="15">
        <v>445.5</v>
      </c>
      <c r="E13" s="15">
        <v>208.9</v>
      </c>
      <c r="F13" s="15">
        <v>1999.15</v>
      </c>
      <c r="G13" s="16">
        <v>163.44999999999999</v>
      </c>
      <c r="H13" s="19" t="str">
        <f>TEXT(Table4_138[[#This Row],[date]], "hh:mm")</f>
        <v>18:00</v>
      </c>
      <c r="I13" s="25" t="str">
        <f t="shared" si="0"/>
        <v/>
      </c>
    </row>
    <row r="14" spans="1:9">
      <c r="A14" s="13">
        <v>45849.770833333336</v>
      </c>
      <c r="B14" s="15">
        <v>7404.26</v>
      </c>
      <c r="C14" s="15">
        <v>-0.77</v>
      </c>
      <c r="D14" s="15">
        <v>445.33</v>
      </c>
      <c r="E14" s="15">
        <v>208.73</v>
      </c>
      <c r="F14" s="15">
        <v>2028.92</v>
      </c>
      <c r="G14" s="16">
        <v>129.05000000000001</v>
      </c>
      <c r="H14" s="19" t="str">
        <f>TEXT(Table4_138[[#This Row],[date]], "hh:mm")</f>
        <v>18:30</v>
      </c>
      <c r="I14" s="25" t="str">
        <f t="shared" si="0"/>
        <v/>
      </c>
    </row>
    <row r="15" spans="1:9">
      <c r="A15" s="13">
        <v>45849.791666666664</v>
      </c>
      <c r="B15" s="15">
        <v>7406.87</v>
      </c>
      <c r="C15" s="15">
        <v>-0.91</v>
      </c>
      <c r="D15" s="15">
        <v>446</v>
      </c>
      <c r="E15" s="15">
        <v>207.75</v>
      </c>
      <c r="F15" s="15">
        <v>1986.17</v>
      </c>
      <c r="G15" s="16">
        <v>133.6</v>
      </c>
      <c r="H15" s="19" t="str">
        <f>TEXT(Table4_138[[#This Row],[date]], "hh:mm")</f>
        <v>19:00</v>
      </c>
      <c r="I15" s="25" t="str">
        <f t="shared" si="0"/>
        <v/>
      </c>
    </row>
    <row r="16" spans="1:9">
      <c r="A16" s="13">
        <v>45849.8125</v>
      </c>
      <c r="B16" s="15">
        <v>7405.12</v>
      </c>
      <c r="C16" s="15">
        <v>-0.89</v>
      </c>
      <c r="D16" s="15">
        <v>445.83</v>
      </c>
      <c r="E16" s="15">
        <v>208.19</v>
      </c>
      <c r="F16" s="15">
        <v>1944.55</v>
      </c>
      <c r="G16" s="16">
        <v>123.74</v>
      </c>
      <c r="H16" s="19" t="str">
        <f>TEXT(Table4_138[[#This Row],[date]], "hh:mm")</f>
        <v>19:30</v>
      </c>
      <c r="I16" s="25" t="str">
        <f t="shared" si="0"/>
        <v/>
      </c>
    </row>
    <row r="17" spans="1:9">
      <c r="A17" s="13">
        <v>45849.833333333336</v>
      </c>
      <c r="B17" s="15">
        <v>7406.79</v>
      </c>
      <c r="C17" s="15">
        <v>-0.47</v>
      </c>
      <c r="D17" s="15">
        <v>446</v>
      </c>
      <c r="E17" s="15">
        <v>202.7</v>
      </c>
      <c r="F17" s="15">
        <v>1893.48</v>
      </c>
      <c r="G17" s="16">
        <v>111.94</v>
      </c>
      <c r="H17" s="19" t="str">
        <f>TEXT(Table4_138[[#This Row],[date]], "hh:mm")</f>
        <v>20:00</v>
      </c>
      <c r="I17" s="25" t="str">
        <f t="shared" si="0"/>
        <v/>
      </c>
    </row>
    <row r="18" spans="1:9">
      <c r="A18" s="13">
        <v>45849.854166666664</v>
      </c>
      <c r="B18" s="15">
        <v>7394.76</v>
      </c>
      <c r="C18" s="15">
        <v>-0.82</v>
      </c>
      <c r="D18" s="15">
        <v>448.33</v>
      </c>
      <c r="E18" s="15">
        <v>134.81</v>
      </c>
      <c r="F18" s="15">
        <v>1840.63</v>
      </c>
      <c r="G18" s="16">
        <v>96.23</v>
      </c>
      <c r="H18" s="19" t="str">
        <f>TEXT(Table4_138[[#This Row],[date]], "hh:mm")</f>
        <v>20:30</v>
      </c>
      <c r="I18" s="25" t="str">
        <f t="shared" si="0"/>
        <v/>
      </c>
    </row>
    <row r="19" spans="1:9">
      <c r="A19" s="13">
        <v>45849.875</v>
      </c>
      <c r="B19" s="15">
        <v>7400.16</v>
      </c>
      <c r="C19" s="15">
        <v>-1.1000000000000001</v>
      </c>
      <c r="D19" s="15">
        <v>446.83</v>
      </c>
      <c r="E19" s="15">
        <v>43.05</v>
      </c>
      <c r="F19" s="15">
        <v>1711.43</v>
      </c>
      <c r="G19" s="16">
        <v>96.52</v>
      </c>
      <c r="H19" s="19" t="str">
        <f>TEXT(Table4_138[[#This Row],[date]], "hh:mm")</f>
        <v>21:00</v>
      </c>
      <c r="I19" s="25" t="str">
        <f t="shared" si="0"/>
        <v/>
      </c>
    </row>
    <row r="20" spans="1:9">
      <c r="A20" s="13">
        <v>45849.895833333336</v>
      </c>
      <c r="B20" s="15">
        <v>7394.61</v>
      </c>
      <c r="C20" s="15">
        <v>-0.79</v>
      </c>
      <c r="D20" s="15">
        <v>445.67</v>
      </c>
      <c r="E20" s="15">
        <v>42.96</v>
      </c>
      <c r="F20" s="15">
        <v>1597.28</v>
      </c>
      <c r="G20" s="16">
        <v>106.16</v>
      </c>
      <c r="H20" s="19" t="str">
        <f>TEXT(Table4_138[[#This Row],[date]], "hh:mm")</f>
        <v>21:30</v>
      </c>
      <c r="I20" s="25" t="str">
        <f t="shared" si="0"/>
        <v/>
      </c>
    </row>
    <row r="21" spans="1:9">
      <c r="A21" s="13">
        <v>45849.916666666664</v>
      </c>
      <c r="B21" s="15">
        <v>7344.47</v>
      </c>
      <c r="C21" s="15">
        <v>-0.79</v>
      </c>
      <c r="D21" s="15">
        <v>437.5</v>
      </c>
      <c r="E21" s="15">
        <v>43.81</v>
      </c>
      <c r="F21" s="15">
        <v>1542.07</v>
      </c>
      <c r="G21" s="16">
        <v>100.01</v>
      </c>
      <c r="H21" s="19" t="str">
        <f>TEXT(Table4_138[[#This Row],[date]], "hh:mm")</f>
        <v>22:00</v>
      </c>
      <c r="I21" s="25" t="str">
        <f t="shared" si="0"/>
        <v/>
      </c>
    </row>
    <row r="22" spans="1:9">
      <c r="A22" s="13">
        <v>45849.9375</v>
      </c>
      <c r="B22" s="15">
        <v>7331.12</v>
      </c>
      <c r="C22" s="15">
        <v>-0.99</v>
      </c>
      <c r="D22" s="15">
        <v>448.67</v>
      </c>
      <c r="E22" s="15">
        <v>44.19</v>
      </c>
      <c r="F22" s="15">
        <v>1524.18</v>
      </c>
      <c r="G22" s="16">
        <v>100.01</v>
      </c>
      <c r="H22" s="19" t="str">
        <f>TEXT(Table4_138[[#This Row],[date]], "hh:mm")</f>
        <v>22:30</v>
      </c>
      <c r="I22" s="25" t="str">
        <f t="shared" si="0"/>
        <v/>
      </c>
    </row>
    <row r="23" spans="1:9">
      <c r="A23" s="13">
        <v>45849.958333333336</v>
      </c>
      <c r="B23" s="15">
        <v>7136.3</v>
      </c>
      <c r="C23" s="15">
        <v>-0.71</v>
      </c>
      <c r="D23" s="15">
        <v>440.5</v>
      </c>
      <c r="E23" s="15">
        <v>44.26</v>
      </c>
      <c r="F23" s="15">
        <v>1476.49</v>
      </c>
      <c r="G23" s="16">
        <v>100.01</v>
      </c>
      <c r="H23" s="19" t="str">
        <f>TEXT(Table4_138[[#This Row],[date]], "hh:mm")</f>
        <v>23:00</v>
      </c>
      <c r="I23" s="25" t="str">
        <f t="shared" si="0"/>
        <v/>
      </c>
    </row>
    <row r="24" spans="1:9">
      <c r="A24" s="13">
        <v>45849.979166666664</v>
      </c>
      <c r="B24" s="15">
        <v>6924.32</v>
      </c>
      <c r="C24" s="15">
        <v>-1.29</v>
      </c>
      <c r="D24" s="15">
        <v>443</v>
      </c>
      <c r="E24" s="15">
        <v>43.43</v>
      </c>
      <c r="F24" s="15">
        <v>1382.8</v>
      </c>
      <c r="G24" s="16">
        <v>99.24</v>
      </c>
      <c r="H24" s="19" t="str">
        <f>TEXT(Table4_138[[#This Row],[date]], "hh:mm")</f>
        <v>23:30</v>
      </c>
      <c r="I24" s="25" t="str">
        <f t="shared" si="0"/>
        <v/>
      </c>
    </row>
    <row r="25" spans="1:9">
      <c r="A25" s="13">
        <v>45850</v>
      </c>
      <c r="B25" s="15">
        <v>6706.91</v>
      </c>
      <c r="C25" s="15">
        <v>-1.49</v>
      </c>
      <c r="D25" s="15">
        <v>357.83</v>
      </c>
      <c r="E25" s="15">
        <v>43.2</v>
      </c>
      <c r="F25" s="15">
        <v>1309.52</v>
      </c>
      <c r="G25" s="16">
        <v>88.25</v>
      </c>
      <c r="H25" s="19" t="str">
        <f>TEXT(Table4_138[[#This Row],[date]], "hh:mm")</f>
        <v>00:00</v>
      </c>
      <c r="I25" s="25" t="str">
        <f t="shared" si="0"/>
        <v>12 Jul</v>
      </c>
    </row>
    <row r="26" spans="1:9">
      <c r="A26" s="13">
        <v>45850.020833333336</v>
      </c>
      <c r="B26" s="15">
        <v>6653.65</v>
      </c>
      <c r="C26" s="15">
        <v>-0.83</v>
      </c>
      <c r="D26" s="15">
        <v>300.5</v>
      </c>
      <c r="E26" s="15">
        <v>43.07</v>
      </c>
      <c r="F26" s="15">
        <v>1326.11</v>
      </c>
      <c r="G26" s="16">
        <v>78.92</v>
      </c>
      <c r="H26" s="19" t="str">
        <f>TEXT(Table4_138[[#This Row],[date]], "hh:mm")</f>
        <v>00:30</v>
      </c>
      <c r="I26" s="25" t="str">
        <f t="shared" si="0"/>
        <v/>
      </c>
    </row>
    <row r="27" spans="1:9">
      <c r="A27" s="13">
        <v>45850.041666666664</v>
      </c>
      <c r="B27" s="15">
        <v>6514.32</v>
      </c>
      <c r="C27" s="15">
        <v>-0.99</v>
      </c>
      <c r="D27" s="15">
        <v>291.83</v>
      </c>
      <c r="E27" s="15">
        <v>43.06</v>
      </c>
      <c r="F27" s="15">
        <v>1360.1</v>
      </c>
      <c r="G27" s="16">
        <v>80.59</v>
      </c>
      <c r="H27" s="19" t="str">
        <f>TEXT(Table4_138[[#This Row],[date]], "hh:mm")</f>
        <v>01:00</v>
      </c>
      <c r="I27" s="25" t="str">
        <f t="shared" si="0"/>
        <v/>
      </c>
    </row>
    <row r="28" spans="1:9">
      <c r="A28" s="13">
        <v>45850.0625</v>
      </c>
      <c r="B28" s="15">
        <v>6333.29</v>
      </c>
      <c r="C28" s="15">
        <v>-0.74</v>
      </c>
      <c r="D28" s="15">
        <v>194.17</v>
      </c>
      <c r="E28" s="15">
        <v>43.13</v>
      </c>
      <c r="F28" s="15">
        <v>1420.98</v>
      </c>
      <c r="G28" s="16">
        <v>82.29</v>
      </c>
      <c r="H28" s="19" t="str">
        <f>TEXT(Table4_138[[#This Row],[date]], "hh:mm")</f>
        <v>01:30</v>
      </c>
      <c r="I28" s="25" t="str">
        <f t="shared" si="0"/>
        <v/>
      </c>
    </row>
    <row r="29" spans="1:9">
      <c r="A29" s="13">
        <v>45850.083333333336</v>
      </c>
      <c r="B29" s="15">
        <v>6183.43</v>
      </c>
      <c r="C29" s="15">
        <v>-0.75</v>
      </c>
      <c r="D29" s="15">
        <v>190</v>
      </c>
      <c r="E29" s="15">
        <v>43.12</v>
      </c>
      <c r="F29" s="15">
        <v>1340.77</v>
      </c>
      <c r="G29" s="16">
        <v>80.709999999999994</v>
      </c>
      <c r="H29" s="19" t="str">
        <f>TEXT(Table4_138[[#This Row],[date]], "hh:mm")</f>
        <v>02:00</v>
      </c>
      <c r="I29" s="25" t="str">
        <f t="shared" si="0"/>
        <v/>
      </c>
    </row>
    <row r="30" spans="1:9">
      <c r="A30" s="13">
        <v>45850.104166666664</v>
      </c>
      <c r="B30" s="15">
        <v>6012.58</v>
      </c>
      <c r="C30" s="15">
        <v>-0.76</v>
      </c>
      <c r="D30" s="15">
        <v>190</v>
      </c>
      <c r="E30" s="15">
        <v>43.23</v>
      </c>
      <c r="F30" s="15">
        <v>1443.86</v>
      </c>
      <c r="G30" s="16">
        <v>84.85</v>
      </c>
      <c r="H30" s="19" t="str">
        <f>TEXT(Table4_138[[#This Row],[date]], "hh:mm")</f>
        <v>02:30</v>
      </c>
      <c r="I30" s="25" t="str">
        <f t="shared" si="0"/>
        <v/>
      </c>
    </row>
    <row r="31" spans="1:9">
      <c r="A31" s="13">
        <v>45850.125</v>
      </c>
      <c r="B31" s="15">
        <v>5886.86</v>
      </c>
      <c r="C31" s="15">
        <v>-0.85</v>
      </c>
      <c r="D31" s="15">
        <v>190</v>
      </c>
      <c r="E31" s="15">
        <v>43.27</v>
      </c>
      <c r="F31" s="15">
        <v>1499.18</v>
      </c>
      <c r="G31" s="16">
        <v>79.08</v>
      </c>
      <c r="H31" s="19" t="str">
        <f>TEXT(Table4_138[[#This Row],[date]], "hh:mm")</f>
        <v>03:00</v>
      </c>
      <c r="I31" s="25" t="str">
        <f t="shared" si="0"/>
        <v/>
      </c>
    </row>
    <row r="32" spans="1:9">
      <c r="A32" s="13">
        <v>45850.145833333336</v>
      </c>
      <c r="B32" s="15">
        <v>5576.23</v>
      </c>
      <c r="C32" s="15">
        <v>-0.73</v>
      </c>
      <c r="D32" s="15">
        <v>190</v>
      </c>
      <c r="E32" s="15">
        <v>43.26</v>
      </c>
      <c r="F32" s="15">
        <v>1488.17</v>
      </c>
      <c r="G32" s="16">
        <v>84.85</v>
      </c>
      <c r="H32" s="19" t="str">
        <f>TEXT(Table4_138[[#This Row],[date]], "hh:mm")</f>
        <v>03:30</v>
      </c>
      <c r="I32" s="25" t="str">
        <f t="shared" si="0"/>
        <v/>
      </c>
    </row>
    <row r="33" spans="1:18">
      <c r="A33" s="13">
        <v>45850.166666666664</v>
      </c>
      <c r="B33" s="15">
        <v>5208.9399999999996</v>
      </c>
      <c r="C33" s="15">
        <v>-1.29</v>
      </c>
      <c r="D33" s="15">
        <v>199</v>
      </c>
      <c r="E33" s="15">
        <v>43.36</v>
      </c>
      <c r="F33" s="15">
        <v>1509.53</v>
      </c>
      <c r="G33" s="16">
        <v>84.85</v>
      </c>
      <c r="H33" s="19" t="str">
        <f>TEXT(Table4_138[[#This Row],[date]], "hh:mm")</f>
        <v>04:00</v>
      </c>
      <c r="I33" s="25" t="str">
        <f t="shared" si="0"/>
        <v/>
      </c>
      <c r="R33" s="6"/>
    </row>
    <row r="34" spans="1:18">
      <c r="A34" s="13">
        <v>45850.1875</v>
      </c>
      <c r="B34" s="15">
        <v>4885.05</v>
      </c>
      <c r="C34" s="15">
        <v>-0.95</v>
      </c>
      <c r="D34" s="15">
        <v>208.33</v>
      </c>
      <c r="E34" s="15">
        <v>43.29</v>
      </c>
      <c r="F34" s="15">
        <v>1425.83</v>
      </c>
      <c r="G34" s="16">
        <v>85.11</v>
      </c>
      <c r="H34" s="19" t="str">
        <f>TEXT(Table4_138[[#This Row],[date]], "hh:mm")</f>
        <v>04:30</v>
      </c>
      <c r="I34" s="25" t="str">
        <f t="shared" si="0"/>
        <v/>
      </c>
    </row>
    <row r="35" spans="1:18">
      <c r="A35" s="13">
        <v>45850.208333333336</v>
      </c>
      <c r="B35" s="15">
        <v>4551.1000000000004</v>
      </c>
      <c r="C35" s="15">
        <v>-0.84</v>
      </c>
      <c r="D35" s="15">
        <v>258.33</v>
      </c>
      <c r="E35" s="15">
        <v>43.34</v>
      </c>
      <c r="F35" s="15">
        <v>1482.43</v>
      </c>
      <c r="G35" s="16">
        <v>84.85</v>
      </c>
      <c r="H35" s="19" t="str">
        <f>TEXT(Table4_138[[#This Row],[date]], "hh:mm")</f>
        <v>05:00</v>
      </c>
      <c r="I35" s="25" t="str">
        <f t="shared" si="0"/>
        <v/>
      </c>
    </row>
    <row r="36" spans="1:18">
      <c r="A36" s="13">
        <v>45850.229166666664</v>
      </c>
      <c r="B36" s="15">
        <v>4439.37</v>
      </c>
      <c r="C36" s="15">
        <v>-1.22</v>
      </c>
      <c r="D36" s="15">
        <v>308</v>
      </c>
      <c r="E36" s="15">
        <v>188.84</v>
      </c>
      <c r="F36" s="15">
        <v>1371.53</v>
      </c>
      <c r="G36" s="16">
        <v>91.72</v>
      </c>
      <c r="H36" s="19" t="str">
        <f>TEXT(Table4_138[[#This Row],[date]], "hh:mm")</f>
        <v>05:30</v>
      </c>
      <c r="I36" s="25" t="str">
        <f t="shared" si="0"/>
        <v/>
      </c>
    </row>
    <row r="37" spans="1:18">
      <c r="A37" s="13">
        <v>45850.25</v>
      </c>
      <c r="B37" s="15">
        <v>4467.91</v>
      </c>
      <c r="C37" s="15">
        <v>-1.65</v>
      </c>
      <c r="D37" s="15">
        <v>442.17</v>
      </c>
      <c r="E37" s="15">
        <v>276.87</v>
      </c>
      <c r="F37" s="15">
        <v>1262.98</v>
      </c>
      <c r="G37" s="16">
        <v>96.72</v>
      </c>
      <c r="H37" s="19" t="str">
        <f>TEXT(Table4_138[[#This Row],[date]], "hh:mm")</f>
        <v>06:00</v>
      </c>
      <c r="I37" s="25" t="str">
        <f t="shared" si="0"/>
        <v/>
      </c>
    </row>
    <row r="38" spans="1:18">
      <c r="A38" s="13">
        <v>45850.270833333336</v>
      </c>
      <c r="B38" s="15">
        <v>4683.13</v>
      </c>
      <c r="C38" s="15">
        <v>-0.77</v>
      </c>
      <c r="D38" s="15">
        <v>444.67</v>
      </c>
      <c r="E38" s="15">
        <v>366.33</v>
      </c>
      <c r="F38" s="15">
        <v>1211.46</v>
      </c>
      <c r="G38" s="16">
        <v>108.08</v>
      </c>
      <c r="H38" s="19" t="str">
        <f>TEXT(Table4_138[[#This Row],[date]], "hh:mm")</f>
        <v>06:30</v>
      </c>
      <c r="I38" s="25" t="str">
        <f t="shared" si="0"/>
        <v/>
      </c>
    </row>
    <row r="39" spans="1:18">
      <c r="A39" s="13">
        <v>45850.291666666664</v>
      </c>
      <c r="B39" s="15">
        <v>4935.49</v>
      </c>
      <c r="C39" s="15">
        <v>-0.84</v>
      </c>
      <c r="D39" s="15">
        <v>445.83</v>
      </c>
      <c r="E39" s="15">
        <v>398.12</v>
      </c>
      <c r="F39" s="15">
        <v>1196.57</v>
      </c>
      <c r="G39" s="16">
        <v>138.79</v>
      </c>
      <c r="H39" s="19" t="str">
        <f>TEXT(Table4_138[[#This Row],[date]], "hh:mm")</f>
        <v>07:00</v>
      </c>
      <c r="I39" s="25" t="str">
        <f t="shared" si="0"/>
        <v/>
      </c>
    </row>
    <row r="40" spans="1:18">
      <c r="A40" s="13">
        <v>45850.3125</v>
      </c>
      <c r="B40" s="15">
        <v>5117.78</v>
      </c>
      <c r="C40" s="15">
        <v>-0.57999999999999996</v>
      </c>
      <c r="D40" s="15">
        <v>444.83</v>
      </c>
      <c r="E40" s="15">
        <v>470.75</v>
      </c>
      <c r="F40" s="15">
        <v>1088.75</v>
      </c>
      <c r="G40" s="16">
        <v>144.01</v>
      </c>
      <c r="H40" s="19" t="str">
        <f>TEXT(Table4_138[[#This Row],[date]], "hh:mm")</f>
        <v>07:30</v>
      </c>
      <c r="I40" s="25" t="str">
        <f t="shared" si="0"/>
        <v/>
      </c>
    </row>
    <row r="41" spans="1:18">
      <c r="A41" s="13">
        <v>45850.333333333336</v>
      </c>
      <c r="B41" s="15">
        <v>5303.66</v>
      </c>
      <c r="C41" s="15">
        <v>-0.16</v>
      </c>
      <c r="D41" s="15">
        <v>443.83</v>
      </c>
      <c r="E41" s="15">
        <v>526.64</v>
      </c>
      <c r="F41" s="15">
        <v>1027.05</v>
      </c>
      <c r="G41" s="16">
        <v>178</v>
      </c>
      <c r="H41" s="19" t="str">
        <f>TEXT(Table4_138[[#This Row],[date]], "hh:mm")</f>
        <v>08:00</v>
      </c>
      <c r="I41" s="25" t="str">
        <f t="shared" si="0"/>
        <v/>
      </c>
    </row>
    <row r="42" spans="1:18">
      <c r="A42" s="13">
        <v>45850.354166666664</v>
      </c>
      <c r="B42" s="15">
        <v>5316.74</v>
      </c>
      <c r="C42" s="15">
        <v>-0.73</v>
      </c>
      <c r="D42" s="15">
        <v>429.67</v>
      </c>
      <c r="E42" s="15">
        <v>443.49</v>
      </c>
      <c r="F42" s="15">
        <v>922.26</v>
      </c>
      <c r="G42" s="16">
        <v>127.56</v>
      </c>
      <c r="H42" s="19" t="str">
        <f>TEXT(Table4_138[[#This Row],[date]], "hh:mm")</f>
        <v>08:30</v>
      </c>
      <c r="I42" s="25" t="str">
        <f t="shared" si="0"/>
        <v/>
      </c>
    </row>
    <row r="43" spans="1:18">
      <c r="A43" s="13">
        <v>45850.375</v>
      </c>
      <c r="B43" s="15">
        <v>4978.33</v>
      </c>
      <c r="C43" s="15">
        <v>-0.99</v>
      </c>
      <c r="D43" s="15">
        <v>240</v>
      </c>
      <c r="E43" s="15">
        <v>272.06</v>
      </c>
      <c r="F43" s="15">
        <v>928.76</v>
      </c>
      <c r="G43" s="16">
        <v>100.01</v>
      </c>
      <c r="H43" s="19" t="str">
        <f>TEXT(Table4_138[[#This Row],[date]], "hh:mm")</f>
        <v>09:00</v>
      </c>
      <c r="I43" s="25" t="str">
        <f t="shared" si="0"/>
        <v/>
      </c>
    </row>
    <row r="44" spans="1:18">
      <c r="A44" s="13">
        <v>45850.395833333336</v>
      </c>
      <c r="B44" s="15">
        <v>4610.5200000000004</v>
      </c>
      <c r="C44" s="15">
        <v>-1.86</v>
      </c>
      <c r="D44" s="15">
        <v>6.33</v>
      </c>
      <c r="E44" s="15">
        <v>138.19999999999999</v>
      </c>
      <c r="F44" s="15">
        <v>954.13</v>
      </c>
      <c r="G44" s="16">
        <v>100.01</v>
      </c>
      <c r="H44" s="19" t="str">
        <f>TEXT(Table4_138[[#This Row],[date]], "hh:mm")</f>
        <v>09:30</v>
      </c>
      <c r="I44" s="25" t="str">
        <f t="shared" si="0"/>
        <v/>
      </c>
    </row>
    <row r="45" spans="1:18">
      <c r="A45" s="13">
        <v>45850.416666666664</v>
      </c>
      <c r="B45" s="15">
        <v>4159.3</v>
      </c>
      <c r="C45" s="15">
        <v>-4.28</v>
      </c>
      <c r="D45" s="15">
        <v>0</v>
      </c>
      <c r="E45" s="15">
        <v>44.13</v>
      </c>
      <c r="F45" s="15">
        <v>950.09</v>
      </c>
      <c r="G45" s="16">
        <v>84.85</v>
      </c>
      <c r="H45" s="19" t="str">
        <f>TEXT(Table4_138[[#This Row],[date]], "hh:mm")</f>
        <v>10:00</v>
      </c>
      <c r="I45" s="25" t="str">
        <f t="shared" si="0"/>
        <v/>
      </c>
    </row>
    <row r="46" spans="1:18">
      <c r="A46" s="13">
        <v>45850.4375</v>
      </c>
      <c r="B46" s="15">
        <v>3605.46</v>
      </c>
      <c r="C46" s="15">
        <v>-5.28</v>
      </c>
      <c r="D46" s="15">
        <v>0</v>
      </c>
      <c r="E46" s="15">
        <v>41.45</v>
      </c>
      <c r="F46" s="15">
        <v>940.09</v>
      </c>
      <c r="G46" s="16">
        <v>8.01</v>
      </c>
      <c r="H46" s="19" t="str">
        <f>TEXT(Table4_138[[#This Row],[date]], "hh:mm")</f>
        <v>10:30</v>
      </c>
      <c r="I46" s="25" t="str">
        <f t="shared" si="0"/>
        <v/>
      </c>
    </row>
    <row r="47" spans="1:18">
      <c r="A47" s="13">
        <v>45850.458333333336</v>
      </c>
      <c r="B47" s="15">
        <v>3174.08</v>
      </c>
      <c r="C47" s="15">
        <v>-2.37</v>
      </c>
      <c r="D47" s="15">
        <v>0</v>
      </c>
      <c r="E47" s="15">
        <v>45.3</v>
      </c>
      <c r="F47" s="15">
        <v>934</v>
      </c>
      <c r="G47" s="16">
        <v>5</v>
      </c>
      <c r="H47" s="19" t="str">
        <f>TEXT(Table4_138[[#This Row],[date]], "hh:mm")</f>
        <v>11:00</v>
      </c>
      <c r="I47" s="25" t="str">
        <f t="shared" si="0"/>
        <v/>
      </c>
    </row>
    <row r="48" spans="1:18">
      <c r="A48" s="13">
        <v>45850.479166666664</v>
      </c>
      <c r="B48" s="15">
        <v>3001.72</v>
      </c>
      <c r="C48" s="15">
        <v>1.53</v>
      </c>
      <c r="D48" s="15">
        <v>0</v>
      </c>
      <c r="E48" s="15">
        <v>44.94</v>
      </c>
      <c r="F48" s="15">
        <v>990.65</v>
      </c>
      <c r="G48" s="16">
        <v>-8.9499999999999993</v>
      </c>
      <c r="H48" s="19" t="str">
        <f>TEXT(Table4_138[[#This Row],[date]], "hh:mm")</f>
        <v>11:30</v>
      </c>
      <c r="I48" s="25" t="str">
        <f t="shared" si="0"/>
        <v/>
      </c>
    </row>
    <row r="49" spans="1:9">
      <c r="A49" s="13">
        <v>45850.5</v>
      </c>
      <c r="B49" s="15">
        <v>2956.86</v>
      </c>
      <c r="C49" s="15">
        <v>1.76</v>
      </c>
      <c r="D49" s="15">
        <v>0</v>
      </c>
      <c r="E49" s="15">
        <v>44.95</v>
      </c>
      <c r="F49" s="15">
        <v>997.2</v>
      </c>
      <c r="G49" s="16">
        <v>-14.01</v>
      </c>
      <c r="H49" s="19" t="str">
        <f>TEXT(Table4_138[[#This Row],[date]], "hh:mm")</f>
        <v>12:00</v>
      </c>
      <c r="I49" s="25" t="str">
        <f t="shared" si="0"/>
        <v/>
      </c>
    </row>
    <row r="50" spans="1:9">
      <c r="A50" s="13">
        <v>45850.520833333336</v>
      </c>
      <c r="B50" s="15">
        <v>2976.78</v>
      </c>
      <c r="C50" s="15">
        <v>2.52</v>
      </c>
      <c r="D50" s="15">
        <v>0</v>
      </c>
      <c r="E50" s="15">
        <v>44.78</v>
      </c>
      <c r="F50" s="15">
        <v>942.36</v>
      </c>
      <c r="G50" s="16">
        <v>-22.01</v>
      </c>
      <c r="H50" s="19" t="str">
        <f>TEXT(Table4_138[[#This Row],[date]], "hh:mm")</f>
        <v>12:30</v>
      </c>
      <c r="I50" s="25" t="str">
        <f t="shared" si="0"/>
        <v/>
      </c>
    </row>
    <row r="51" spans="1:9">
      <c r="A51" s="13">
        <v>45850.541666666664</v>
      </c>
      <c r="B51" s="15">
        <v>2954.66</v>
      </c>
      <c r="C51" s="15">
        <v>8.02</v>
      </c>
      <c r="D51" s="15">
        <v>0</v>
      </c>
      <c r="E51" s="15">
        <v>44.91</v>
      </c>
      <c r="F51" s="15">
        <v>897.81</v>
      </c>
      <c r="G51" s="16">
        <v>-18</v>
      </c>
      <c r="H51" s="19" t="str">
        <f>TEXT(Table4_138[[#This Row],[date]], "hh:mm")</f>
        <v>13:00</v>
      </c>
      <c r="I51" s="25" t="str">
        <f t="shared" si="0"/>
        <v/>
      </c>
    </row>
    <row r="52" spans="1:9">
      <c r="A52" s="13">
        <v>45850.5625</v>
      </c>
      <c r="B52" s="15">
        <v>2922.89</v>
      </c>
      <c r="C52" s="15">
        <v>8.64</v>
      </c>
      <c r="D52" s="15">
        <v>0</v>
      </c>
      <c r="E52" s="15">
        <v>38.96</v>
      </c>
      <c r="F52" s="15">
        <v>937.44</v>
      </c>
      <c r="G52" s="16">
        <v>-14.01</v>
      </c>
      <c r="H52" s="19" t="str">
        <f>TEXT(Table4_138[[#This Row],[date]], "hh:mm")</f>
        <v>13:30</v>
      </c>
      <c r="I52" s="25" t="str">
        <f t="shared" si="0"/>
        <v/>
      </c>
    </row>
    <row r="53" spans="1:9">
      <c r="A53" s="13">
        <v>45850.583333333336</v>
      </c>
      <c r="B53" s="15">
        <v>2930.97</v>
      </c>
      <c r="C53" s="15">
        <v>9.1</v>
      </c>
      <c r="D53" s="15">
        <v>0</v>
      </c>
      <c r="E53" s="15">
        <v>37.880000000000003</v>
      </c>
      <c r="F53" s="15">
        <v>886.17</v>
      </c>
      <c r="G53" s="16">
        <v>-14.01</v>
      </c>
      <c r="H53" s="19" t="str">
        <f>TEXT(Table4_138[[#This Row],[date]], "hh:mm")</f>
        <v>14:00</v>
      </c>
      <c r="I53" s="25" t="str">
        <f t="shared" si="0"/>
        <v/>
      </c>
    </row>
    <row r="54" spans="1:9">
      <c r="A54" s="13">
        <v>45850.604166666664</v>
      </c>
      <c r="B54" s="15">
        <v>2953.08</v>
      </c>
      <c r="C54" s="15">
        <v>8.36</v>
      </c>
      <c r="D54" s="15">
        <v>0</v>
      </c>
      <c r="E54" s="15">
        <v>37.840000000000003</v>
      </c>
      <c r="F54" s="15">
        <v>882.42</v>
      </c>
      <c r="G54" s="16">
        <v>-8.91</v>
      </c>
      <c r="H54" s="19" t="str">
        <f>TEXT(Table4_138[[#This Row],[date]], "hh:mm")</f>
        <v>14:30</v>
      </c>
      <c r="I54" s="25" t="str">
        <f t="shared" si="0"/>
        <v/>
      </c>
    </row>
    <row r="55" spans="1:9">
      <c r="A55" s="13">
        <v>45850.625</v>
      </c>
      <c r="B55" s="15">
        <v>3081.65</v>
      </c>
      <c r="C55" s="15">
        <v>8.32</v>
      </c>
      <c r="D55" s="15">
        <v>2</v>
      </c>
      <c r="E55" s="15">
        <v>37.83</v>
      </c>
      <c r="F55" s="15">
        <v>948.74</v>
      </c>
      <c r="G55" s="16">
        <v>9.06</v>
      </c>
      <c r="H55" s="19" t="str">
        <f>TEXT(Table4_138[[#This Row],[date]], "hh:mm")</f>
        <v>15:00</v>
      </c>
      <c r="I55" s="25" t="str">
        <f t="shared" si="0"/>
        <v/>
      </c>
    </row>
    <row r="56" spans="1:9">
      <c r="A56" s="13">
        <v>45850.645833333336</v>
      </c>
      <c r="B56" s="15">
        <v>3254.49</v>
      </c>
      <c r="C56" s="15">
        <v>9.65</v>
      </c>
      <c r="D56" s="15">
        <v>131</v>
      </c>
      <c r="E56" s="15">
        <v>37.880000000000003</v>
      </c>
      <c r="F56" s="15">
        <v>972.05</v>
      </c>
      <c r="G56" s="16">
        <v>35.880000000000003</v>
      </c>
      <c r="H56" s="19" t="str">
        <f>TEXT(Table4_138[[#This Row],[date]], "hh:mm")</f>
        <v>15:30</v>
      </c>
      <c r="I56" s="25" t="str">
        <f t="shared" si="0"/>
        <v/>
      </c>
    </row>
    <row r="57" spans="1:9">
      <c r="A57" s="13">
        <v>45850.666666666664</v>
      </c>
      <c r="B57" s="15">
        <v>3737.21</v>
      </c>
      <c r="C57" s="15">
        <v>5.32</v>
      </c>
      <c r="D57" s="15">
        <v>264.5</v>
      </c>
      <c r="E57" s="15">
        <v>42.68</v>
      </c>
      <c r="F57" s="15">
        <v>928.08</v>
      </c>
      <c r="G57" s="16">
        <v>51.95</v>
      </c>
      <c r="H57" s="19" t="str">
        <f>TEXT(Table4_138[[#This Row],[date]], "hh:mm")</f>
        <v>16:00</v>
      </c>
      <c r="I57" s="25" t="str">
        <f t="shared" si="0"/>
        <v/>
      </c>
    </row>
    <row r="58" spans="1:9">
      <c r="A58" s="13">
        <v>45850.6875</v>
      </c>
      <c r="B58" s="15">
        <v>4544.6099999999997</v>
      </c>
      <c r="C58" s="15">
        <v>1.41</v>
      </c>
      <c r="D58" s="15">
        <v>399.67</v>
      </c>
      <c r="E58" s="15">
        <v>45.07</v>
      </c>
      <c r="F58" s="15">
        <v>936.68</v>
      </c>
      <c r="G58" s="16">
        <v>140.01</v>
      </c>
      <c r="H58" s="19" t="str">
        <f>TEXT(Table4_138[[#This Row],[date]], "hh:mm")</f>
        <v>16:30</v>
      </c>
      <c r="I58" s="25" t="str">
        <f t="shared" si="0"/>
        <v/>
      </c>
    </row>
    <row r="59" spans="1:9">
      <c r="A59" s="13">
        <v>45850.708333333336</v>
      </c>
      <c r="B59" s="15">
        <v>5435.55</v>
      </c>
      <c r="C59" s="15">
        <v>-1.76</v>
      </c>
      <c r="D59" s="15">
        <v>270.83</v>
      </c>
      <c r="E59" s="15">
        <v>121.89</v>
      </c>
      <c r="F59" s="15">
        <v>842.16</v>
      </c>
      <c r="G59" s="16">
        <v>191.18</v>
      </c>
      <c r="H59" s="19" t="str">
        <f>TEXT(Table4_138[[#This Row],[date]], "hh:mm")</f>
        <v>17:00</v>
      </c>
      <c r="I59" s="25" t="str">
        <f t="shared" si="0"/>
        <v/>
      </c>
    </row>
    <row r="60" spans="1:9">
      <c r="A60" s="13">
        <v>45850.729166666664</v>
      </c>
      <c r="B60" s="15">
        <v>6348.36</v>
      </c>
      <c r="C60" s="15">
        <v>-1.57</v>
      </c>
      <c r="D60" s="15">
        <v>4</v>
      </c>
      <c r="E60" s="15">
        <v>512.5</v>
      </c>
      <c r="F60" s="15">
        <v>849.72</v>
      </c>
      <c r="G60" s="16">
        <v>186.38</v>
      </c>
      <c r="H60" s="19" t="str">
        <f>TEXT(Table4_138[[#This Row],[date]], "hh:mm")</f>
        <v>17:30</v>
      </c>
      <c r="I60" s="25" t="str">
        <f t="shared" si="0"/>
        <v/>
      </c>
    </row>
    <row r="61" spans="1:9">
      <c r="A61" s="13">
        <v>45850.75</v>
      </c>
      <c r="B61" s="15">
        <v>6998.02</v>
      </c>
      <c r="C61" s="15">
        <v>-1.22</v>
      </c>
      <c r="D61" s="15">
        <v>26.63</v>
      </c>
      <c r="E61" s="15">
        <v>570.39</v>
      </c>
      <c r="F61" s="15">
        <v>918.11</v>
      </c>
      <c r="G61" s="16">
        <v>299.99</v>
      </c>
      <c r="H61" s="19" t="str">
        <f>TEXT(Table4_138[[#This Row],[date]], "hh:mm")</f>
        <v>18:00</v>
      </c>
      <c r="I61" s="25" t="str">
        <f t="shared" si="0"/>
        <v/>
      </c>
    </row>
    <row r="62" spans="1:9">
      <c r="A62" s="13">
        <v>45850.770833333336</v>
      </c>
      <c r="B62" s="15">
        <v>7255.17</v>
      </c>
      <c r="C62" s="15">
        <v>-0.99</v>
      </c>
      <c r="D62" s="15">
        <v>26.56</v>
      </c>
      <c r="E62" s="15">
        <v>581.52</v>
      </c>
      <c r="F62" s="15">
        <v>892.72</v>
      </c>
      <c r="G62" s="16">
        <v>147.96</v>
      </c>
      <c r="H62" s="19" t="str">
        <f>TEXT(Table4_138[[#This Row],[date]], "hh:mm")</f>
        <v>18:30</v>
      </c>
      <c r="I62" s="25" t="str">
        <f t="shared" si="0"/>
        <v/>
      </c>
    </row>
    <row r="63" spans="1:9">
      <c r="A63" s="13">
        <v>45850.791666666664</v>
      </c>
      <c r="B63" s="15">
        <v>7304.28</v>
      </c>
      <c r="C63" s="15">
        <v>-0.62</v>
      </c>
      <c r="D63" s="15">
        <v>0</v>
      </c>
      <c r="E63" s="15">
        <v>659.66</v>
      </c>
      <c r="F63" s="15">
        <v>834.08</v>
      </c>
      <c r="G63" s="16">
        <v>252.64</v>
      </c>
      <c r="H63" s="19" t="str">
        <f>TEXT(Table4_138[[#This Row],[date]], "hh:mm")</f>
        <v>19:00</v>
      </c>
      <c r="I63" s="25" t="str">
        <f t="shared" si="0"/>
        <v/>
      </c>
    </row>
    <row r="64" spans="1:9">
      <c r="A64" s="13">
        <v>45850.8125</v>
      </c>
      <c r="B64" s="15">
        <v>7304.57</v>
      </c>
      <c r="C64" s="15">
        <v>-0.75</v>
      </c>
      <c r="D64" s="15">
        <v>0</v>
      </c>
      <c r="E64" s="15">
        <v>579.75</v>
      </c>
      <c r="F64" s="15">
        <v>773.64</v>
      </c>
      <c r="G64" s="16">
        <v>139.18</v>
      </c>
      <c r="H64" s="19" t="str">
        <f>TEXT(Table4_138[[#This Row],[date]], "hh:mm")</f>
        <v>19:30</v>
      </c>
      <c r="I64" s="25" t="str">
        <f t="shared" si="0"/>
        <v/>
      </c>
    </row>
    <row r="65" spans="1:9">
      <c r="A65" s="13">
        <v>45850.833333333336</v>
      </c>
      <c r="B65" s="15">
        <v>7305.94</v>
      </c>
      <c r="C65" s="15">
        <v>-1.31</v>
      </c>
      <c r="D65" s="15">
        <v>0</v>
      </c>
      <c r="E65" s="15">
        <v>496.44</v>
      </c>
      <c r="F65" s="15">
        <v>612.73</v>
      </c>
      <c r="G65" s="16">
        <v>112.18</v>
      </c>
      <c r="H65" s="19" t="str">
        <f>TEXT(Table4_138[[#This Row],[date]], "hh:mm")</f>
        <v>20:00</v>
      </c>
      <c r="I65" s="25" t="str">
        <f t="shared" si="0"/>
        <v/>
      </c>
    </row>
    <row r="66" spans="1:9">
      <c r="A66" s="13">
        <v>45850.854166666664</v>
      </c>
      <c r="B66" s="15">
        <v>7345.75</v>
      </c>
      <c r="C66" s="15">
        <v>-0.97</v>
      </c>
      <c r="D66" s="15">
        <v>0</v>
      </c>
      <c r="E66" s="15">
        <v>273.85000000000002</v>
      </c>
      <c r="F66" s="15">
        <v>613.29999999999995</v>
      </c>
      <c r="G66" s="16">
        <v>100.02</v>
      </c>
      <c r="H66" s="19" t="str">
        <f>TEXT(Table4_138[[#This Row],[date]], "hh:mm")</f>
        <v>20:30</v>
      </c>
      <c r="I66" s="25" t="str">
        <f t="shared" ref="I66:I129" si="1">IF(AND(HOUR(A66)=0,MINUTE(A66)=0),TEXT(A66,"d mmm"),"")</f>
        <v/>
      </c>
    </row>
    <row r="67" spans="1:9">
      <c r="A67" s="13">
        <v>45850.875</v>
      </c>
      <c r="B67" s="15">
        <v>7322.64</v>
      </c>
      <c r="C67" s="15">
        <v>-1.25</v>
      </c>
      <c r="D67" s="15">
        <v>0</v>
      </c>
      <c r="E67" s="15">
        <v>43.6</v>
      </c>
      <c r="F67" s="15">
        <v>679.39</v>
      </c>
      <c r="G67" s="16">
        <v>88.68</v>
      </c>
      <c r="H67" s="19" t="str">
        <f>TEXT(Table4_138[[#This Row],[date]], "hh:mm")</f>
        <v>21:00</v>
      </c>
      <c r="I67" s="25" t="str">
        <f t="shared" si="1"/>
        <v/>
      </c>
    </row>
    <row r="68" spans="1:9">
      <c r="A68" s="13">
        <v>45850.895833333336</v>
      </c>
      <c r="B68" s="15">
        <v>7337.44</v>
      </c>
      <c r="C68" s="15">
        <v>-1.28</v>
      </c>
      <c r="D68" s="15">
        <v>0</v>
      </c>
      <c r="E68" s="15">
        <v>43.97</v>
      </c>
      <c r="F68" s="15">
        <v>731.77</v>
      </c>
      <c r="G68" s="16">
        <v>87.25</v>
      </c>
      <c r="H68" s="19" t="str">
        <f>TEXT(Table4_138[[#This Row],[date]], "hh:mm")</f>
        <v>21:30</v>
      </c>
      <c r="I68" s="25" t="str">
        <f t="shared" si="1"/>
        <v/>
      </c>
    </row>
    <row r="69" spans="1:9">
      <c r="A69" s="13">
        <v>45850.916666666664</v>
      </c>
      <c r="B69" s="15">
        <v>7279.91</v>
      </c>
      <c r="C69" s="15">
        <v>-1.21</v>
      </c>
      <c r="D69" s="15">
        <v>0</v>
      </c>
      <c r="E69" s="15">
        <v>43.78</v>
      </c>
      <c r="F69" s="15">
        <v>696.27</v>
      </c>
      <c r="G69" s="16">
        <v>79.02</v>
      </c>
      <c r="H69" s="19" t="str">
        <f>TEXT(Table4_138[[#This Row],[date]], "hh:mm")</f>
        <v>22:00</v>
      </c>
      <c r="I69" s="25" t="str">
        <f t="shared" si="1"/>
        <v/>
      </c>
    </row>
    <row r="70" spans="1:9">
      <c r="A70" s="13">
        <v>45850.9375</v>
      </c>
      <c r="B70" s="15">
        <v>7283.77</v>
      </c>
      <c r="C70" s="15">
        <v>-1.43</v>
      </c>
      <c r="D70" s="15">
        <v>0</v>
      </c>
      <c r="E70" s="15">
        <v>43.82</v>
      </c>
      <c r="F70" s="15">
        <v>658.89</v>
      </c>
      <c r="G70" s="16">
        <v>100.02</v>
      </c>
      <c r="H70" s="19" t="str">
        <f>TEXT(Table4_138[[#This Row],[date]], "hh:mm")</f>
        <v>22:30</v>
      </c>
      <c r="I70" s="25" t="str">
        <f t="shared" si="1"/>
        <v/>
      </c>
    </row>
    <row r="71" spans="1:9">
      <c r="A71" s="13">
        <v>45850.958333333336</v>
      </c>
      <c r="B71" s="15">
        <v>7263.7</v>
      </c>
      <c r="C71" s="15">
        <v>-1.1299999999999999</v>
      </c>
      <c r="D71" s="15">
        <v>0</v>
      </c>
      <c r="E71" s="15">
        <v>43.54</v>
      </c>
      <c r="F71" s="15">
        <v>637.21</v>
      </c>
      <c r="G71" s="16">
        <v>102.76</v>
      </c>
      <c r="H71" s="19" t="str">
        <f>TEXT(Table4_138[[#This Row],[date]], "hh:mm")</f>
        <v>23:00</v>
      </c>
      <c r="I71" s="25" t="str">
        <f t="shared" si="1"/>
        <v/>
      </c>
    </row>
    <row r="72" spans="1:9">
      <c r="A72" s="13">
        <v>45850.979166666664</v>
      </c>
      <c r="B72" s="15">
        <v>7253.23</v>
      </c>
      <c r="C72" s="15">
        <v>-1.45</v>
      </c>
      <c r="D72" s="15">
        <v>0</v>
      </c>
      <c r="E72" s="15">
        <v>43.46</v>
      </c>
      <c r="F72" s="15">
        <v>532.70000000000005</v>
      </c>
      <c r="G72" s="16">
        <v>100.02</v>
      </c>
      <c r="H72" s="19" t="str">
        <f>TEXT(Table4_138[[#This Row],[date]], "hh:mm")</f>
        <v>23:30</v>
      </c>
      <c r="I72" s="25" t="str">
        <f t="shared" si="1"/>
        <v/>
      </c>
    </row>
    <row r="73" spans="1:9">
      <c r="A73" s="13">
        <v>45851</v>
      </c>
      <c r="B73" s="15">
        <v>7003.96</v>
      </c>
      <c r="C73" s="15">
        <v>-1.01</v>
      </c>
      <c r="D73" s="15">
        <v>0</v>
      </c>
      <c r="E73" s="15">
        <v>43.51</v>
      </c>
      <c r="F73" s="15">
        <v>502.98</v>
      </c>
      <c r="G73" s="16">
        <v>81.67</v>
      </c>
      <c r="H73" s="19" t="str">
        <f>TEXT(Table4_138[[#This Row],[date]], "hh:mm")</f>
        <v>00:00</v>
      </c>
      <c r="I73" s="25" t="str">
        <f t="shared" si="1"/>
        <v>13 Jul</v>
      </c>
    </row>
    <row r="74" spans="1:9">
      <c r="A74" s="13">
        <v>45851.020833333336</v>
      </c>
      <c r="B74" s="15">
        <v>6735.58</v>
      </c>
      <c r="C74" s="15">
        <v>-1.24</v>
      </c>
      <c r="D74" s="15">
        <v>0</v>
      </c>
      <c r="E74" s="15">
        <v>43.54</v>
      </c>
      <c r="F74" s="15">
        <v>492.94</v>
      </c>
      <c r="G74" s="16">
        <v>88.84</v>
      </c>
      <c r="H74" s="19" t="str">
        <f>TEXT(Table4_138[[#This Row],[date]], "hh:mm")</f>
        <v>00:30</v>
      </c>
      <c r="I74" s="25" t="str">
        <f t="shared" si="1"/>
        <v/>
      </c>
    </row>
    <row r="75" spans="1:9">
      <c r="A75" s="13">
        <v>45851.041666666664</v>
      </c>
      <c r="B75" s="15">
        <v>6466.19</v>
      </c>
      <c r="C75" s="15">
        <v>-3.77</v>
      </c>
      <c r="D75" s="15">
        <v>0</v>
      </c>
      <c r="E75" s="15">
        <v>43.1</v>
      </c>
      <c r="F75" s="15">
        <v>516.82000000000005</v>
      </c>
      <c r="G75" s="16">
        <v>86.23</v>
      </c>
      <c r="H75" s="19" t="str">
        <f>TEXT(Table4_138[[#This Row],[date]], "hh:mm")</f>
        <v>01:00</v>
      </c>
      <c r="I75" s="25" t="str">
        <f t="shared" si="1"/>
        <v/>
      </c>
    </row>
    <row r="76" spans="1:9">
      <c r="A76" s="13">
        <v>45851.0625</v>
      </c>
      <c r="B76" s="15">
        <v>6103.18</v>
      </c>
      <c r="C76" s="15">
        <v>-1.63</v>
      </c>
      <c r="D76" s="15">
        <v>0</v>
      </c>
      <c r="E76" s="15">
        <v>43.18</v>
      </c>
      <c r="F76" s="15">
        <v>616.01</v>
      </c>
      <c r="G76" s="16">
        <v>76.58</v>
      </c>
      <c r="H76" s="19" t="str">
        <f>TEXT(Table4_138[[#This Row],[date]], "hh:mm")</f>
        <v>01:30</v>
      </c>
      <c r="I76" s="25" t="str">
        <f t="shared" si="1"/>
        <v/>
      </c>
    </row>
    <row r="77" spans="1:9">
      <c r="A77" s="13">
        <v>45851.083333333336</v>
      </c>
      <c r="B77" s="15">
        <v>5914.4</v>
      </c>
      <c r="C77" s="15">
        <v>-1.05</v>
      </c>
      <c r="D77" s="15">
        <v>0</v>
      </c>
      <c r="E77" s="15">
        <v>42.7</v>
      </c>
      <c r="F77" s="15">
        <v>587.45000000000005</v>
      </c>
      <c r="G77" s="16">
        <v>76.58</v>
      </c>
      <c r="H77" s="19" t="str">
        <f>TEXT(Table4_138[[#This Row],[date]], "hh:mm")</f>
        <v>02:00</v>
      </c>
      <c r="I77" s="25" t="str">
        <f t="shared" si="1"/>
        <v/>
      </c>
    </row>
    <row r="78" spans="1:9">
      <c r="A78" s="13">
        <v>45851.104166666664</v>
      </c>
      <c r="B78" s="15">
        <v>5907.53</v>
      </c>
      <c r="C78" s="15">
        <v>-1.07</v>
      </c>
      <c r="D78" s="15">
        <v>0</v>
      </c>
      <c r="E78" s="15">
        <v>42.92</v>
      </c>
      <c r="F78" s="15">
        <v>458.51</v>
      </c>
      <c r="G78" s="16">
        <v>76.8</v>
      </c>
      <c r="H78" s="19" t="str">
        <f>TEXT(Table4_138[[#This Row],[date]], "hh:mm")</f>
        <v>02:30</v>
      </c>
      <c r="I78" s="25" t="str">
        <f t="shared" si="1"/>
        <v/>
      </c>
    </row>
    <row r="79" spans="1:9">
      <c r="A79" s="13">
        <v>45851.125</v>
      </c>
      <c r="B79" s="15">
        <v>5740.51</v>
      </c>
      <c r="C79" s="15">
        <v>-2.63</v>
      </c>
      <c r="D79" s="15">
        <v>0</v>
      </c>
      <c r="E79" s="15">
        <v>42.79</v>
      </c>
      <c r="F79" s="15">
        <v>495.65</v>
      </c>
      <c r="G79" s="16">
        <v>76.42</v>
      </c>
      <c r="H79" s="19" t="str">
        <f>TEXT(Table4_138[[#This Row],[date]], "hh:mm")</f>
        <v>03:00</v>
      </c>
      <c r="I79" s="25" t="str">
        <f t="shared" si="1"/>
        <v/>
      </c>
    </row>
    <row r="80" spans="1:9">
      <c r="A80" s="13">
        <v>45851.145833333336</v>
      </c>
      <c r="B80" s="15">
        <v>5590.23</v>
      </c>
      <c r="C80" s="15">
        <v>-0.85</v>
      </c>
      <c r="D80" s="15">
        <v>0</v>
      </c>
      <c r="E80" s="15">
        <v>42.66</v>
      </c>
      <c r="F80" s="15">
        <v>560.57000000000005</v>
      </c>
      <c r="G80" s="16">
        <v>76.58</v>
      </c>
      <c r="H80" s="19" t="str">
        <f>TEXT(Table4_138[[#This Row],[date]], "hh:mm")</f>
        <v>03:30</v>
      </c>
      <c r="I80" s="25" t="str">
        <f t="shared" si="1"/>
        <v/>
      </c>
    </row>
    <row r="81" spans="1:9">
      <c r="A81" s="13">
        <v>45851.166666666664</v>
      </c>
      <c r="B81" s="15">
        <v>5569.67</v>
      </c>
      <c r="C81" s="15">
        <v>-1.02</v>
      </c>
      <c r="D81" s="15">
        <v>0</v>
      </c>
      <c r="E81" s="15">
        <v>42.41</v>
      </c>
      <c r="F81" s="15">
        <v>565.66999999999996</v>
      </c>
      <c r="G81" s="16">
        <v>75.84</v>
      </c>
      <c r="H81" s="19" t="str">
        <f>TEXT(Table4_138[[#This Row],[date]], "hh:mm")</f>
        <v>04:00</v>
      </c>
      <c r="I81" s="25" t="str">
        <f t="shared" si="1"/>
        <v/>
      </c>
    </row>
    <row r="82" spans="1:9">
      <c r="A82" s="13">
        <v>45851.1875</v>
      </c>
      <c r="B82" s="15">
        <v>5769.39</v>
      </c>
      <c r="C82" s="15">
        <v>-1.77</v>
      </c>
      <c r="D82" s="15">
        <v>0</v>
      </c>
      <c r="E82" s="15">
        <v>43.34</v>
      </c>
      <c r="F82" s="15">
        <v>572.49</v>
      </c>
      <c r="G82" s="16">
        <v>72.2</v>
      </c>
      <c r="H82" s="19" t="str">
        <f>TEXT(Table4_138[[#This Row],[date]], "hh:mm")</f>
        <v>04:30</v>
      </c>
      <c r="I82" s="25" t="str">
        <f t="shared" si="1"/>
        <v/>
      </c>
    </row>
    <row r="83" spans="1:9">
      <c r="A83" s="13">
        <v>45851.208333333336</v>
      </c>
      <c r="B83" s="15">
        <v>5952.8</v>
      </c>
      <c r="C83" s="15">
        <v>-0.21</v>
      </c>
      <c r="D83" s="15">
        <v>0</v>
      </c>
      <c r="E83" s="15">
        <v>44.17</v>
      </c>
      <c r="F83" s="15">
        <v>561.38</v>
      </c>
      <c r="G83" s="16">
        <v>75.760000000000005</v>
      </c>
      <c r="H83" s="19" t="str">
        <f>TEXT(Table4_138[[#This Row],[date]], "hh:mm")</f>
        <v>05:00</v>
      </c>
      <c r="I83" s="25" t="str">
        <f t="shared" si="1"/>
        <v/>
      </c>
    </row>
    <row r="84" spans="1:9">
      <c r="A84" s="13">
        <v>45851.229166666664</v>
      </c>
      <c r="B84" s="15">
        <v>6074.21</v>
      </c>
      <c r="C84" s="15">
        <v>-0.14000000000000001</v>
      </c>
      <c r="D84" s="15">
        <v>0</v>
      </c>
      <c r="E84" s="15">
        <v>44.79</v>
      </c>
      <c r="F84" s="15">
        <v>539.91999999999996</v>
      </c>
      <c r="G84" s="16">
        <v>76.58</v>
      </c>
      <c r="H84" s="19" t="str">
        <f>TEXT(Table4_138[[#This Row],[date]], "hh:mm")</f>
        <v>05:30</v>
      </c>
      <c r="I84" s="25" t="str">
        <f t="shared" si="1"/>
        <v/>
      </c>
    </row>
    <row r="85" spans="1:9">
      <c r="A85" s="13">
        <v>45851.25</v>
      </c>
      <c r="B85" s="15">
        <v>6290</v>
      </c>
      <c r="C85" s="15">
        <v>-2.2200000000000002</v>
      </c>
      <c r="D85" s="15">
        <v>0</v>
      </c>
      <c r="E85" s="15">
        <v>44.89</v>
      </c>
      <c r="F85" s="15">
        <v>529.91</v>
      </c>
      <c r="G85" s="16">
        <v>76.89</v>
      </c>
      <c r="H85" s="19" t="str">
        <f>TEXT(Table4_138[[#This Row],[date]], "hh:mm")</f>
        <v>06:00</v>
      </c>
      <c r="I85" s="25" t="str">
        <f t="shared" si="1"/>
        <v/>
      </c>
    </row>
    <row r="86" spans="1:9">
      <c r="A86" s="13">
        <v>45851.270833333336</v>
      </c>
      <c r="B86" s="15">
        <v>6564.67</v>
      </c>
      <c r="C86" s="15">
        <v>-0.64</v>
      </c>
      <c r="D86" s="15">
        <v>0</v>
      </c>
      <c r="E86" s="15">
        <v>44.66</v>
      </c>
      <c r="F86" s="15">
        <v>542.15</v>
      </c>
      <c r="G86" s="16">
        <v>81.209999999999994</v>
      </c>
      <c r="H86" s="19" t="str">
        <f>TEXT(Table4_138[[#This Row],[date]], "hh:mm")</f>
        <v>06:30</v>
      </c>
      <c r="I86" s="25" t="str">
        <f t="shared" si="1"/>
        <v/>
      </c>
    </row>
    <row r="87" spans="1:9">
      <c r="A87" s="13">
        <v>45851.291666666664</v>
      </c>
      <c r="B87" s="15">
        <v>6830.02</v>
      </c>
      <c r="C87" s="15">
        <v>-0.47</v>
      </c>
      <c r="D87" s="15">
        <v>0</v>
      </c>
      <c r="E87" s="15">
        <v>44.76</v>
      </c>
      <c r="F87" s="15">
        <v>548.48</v>
      </c>
      <c r="G87" s="16">
        <v>93.02</v>
      </c>
      <c r="H87" s="19" t="str">
        <f>TEXT(Table4_138[[#This Row],[date]], "hh:mm")</f>
        <v>07:00</v>
      </c>
      <c r="I87" s="25" t="str">
        <f t="shared" si="1"/>
        <v/>
      </c>
    </row>
    <row r="88" spans="1:9">
      <c r="A88" s="13">
        <v>45851.3125</v>
      </c>
      <c r="B88" s="15">
        <v>6744.1</v>
      </c>
      <c r="C88" s="15">
        <v>-1.1599999999999999</v>
      </c>
      <c r="D88" s="15">
        <v>0</v>
      </c>
      <c r="E88" s="15">
        <v>44.81</v>
      </c>
      <c r="F88" s="15">
        <v>650.45000000000005</v>
      </c>
      <c r="G88" s="16">
        <v>81.73</v>
      </c>
      <c r="H88" s="19" t="str">
        <f>TEXT(Table4_138[[#This Row],[date]], "hh:mm")</f>
        <v>07:30</v>
      </c>
      <c r="I88" s="25" t="str">
        <f t="shared" si="1"/>
        <v/>
      </c>
    </row>
    <row r="89" spans="1:9">
      <c r="A89" s="13">
        <v>45851.333333333336</v>
      </c>
      <c r="B89" s="15">
        <v>5955.03</v>
      </c>
      <c r="C89" s="15">
        <v>-0.05</v>
      </c>
      <c r="D89" s="15">
        <v>0</v>
      </c>
      <c r="E89" s="15">
        <v>42.18</v>
      </c>
      <c r="F89" s="15">
        <v>815.1</v>
      </c>
      <c r="G89" s="16">
        <v>57.01</v>
      </c>
      <c r="H89" s="19" t="str">
        <f>TEXT(Table4_138[[#This Row],[date]], "hh:mm")</f>
        <v>08:00</v>
      </c>
      <c r="I89" s="25" t="str">
        <f t="shared" si="1"/>
        <v/>
      </c>
    </row>
    <row r="90" spans="1:9">
      <c r="A90" s="13">
        <v>45851.354166666664</v>
      </c>
      <c r="B90" s="15">
        <v>4894.42</v>
      </c>
      <c r="C90" s="15">
        <v>-0.27</v>
      </c>
      <c r="D90" s="15">
        <v>0</v>
      </c>
      <c r="E90" s="15">
        <v>37.869999999999997</v>
      </c>
      <c r="F90" s="15">
        <v>909.3</v>
      </c>
      <c r="G90" s="16">
        <v>-11.86</v>
      </c>
      <c r="H90" s="19" t="str">
        <f>TEXT(Table4_138[[#This Row],[date]], "hh:mm")</f>
        <v>08:30</v>
      </c>
      <c r="I90" s="25" t="str">
        <f t="shared" si="1"/>
        <v/>
      </c>
    </row>
    <row r="91" spans="1:9">
      <c r="A91" s="13">
        <v>45851.375</v>
      </c>
      <c r="B91" s="15">
        <v>4349.53</v>
      </c>
      <c r="C91" s="15">
        <v>0.14000000000000001</v>
      </c>
      <c r="D91" s="15">
        <v>0</v>
      </c>
      <c r="E91" s="15">
        <v>37.840000000000003</v>
      </c>
      <c r="F91" s="15">
        <v>852.04</v>
      </c>
      <c r="G91" s="16">
        <v>0</v>
      </c>
      <c r="H91" s="19" t="str">
        <f>TEXT(Table4_138[[#This Row],[date]], "hh:mm")</f>
        <v>09:00</v>
      </c>
      <c r="I91" s="25" t="str">
        <f t="shared" si="1"/>
        <v/>
      </c>
    </row>
    <row r="92" spans="1:9">
      <c r="A92" s="13">
        <v>45851.395833333336</v>
      </c>
      <c r="B92" s="15">
        <v>4108.16</v>
      </c>
      <c r="C92" s="15">
        <v>9.33</v>
      </c>
      <c r="D92" s="15">
        <v>0</v>
      </c>
      <c r="E92" s="15">
        <v>37.83</v>
      </c>
      <c r="F92" s="15">
        <v>822.65</v>
      </c>
      <c r="G92" s="16">
        <v>76.58</v>
      </c>
      <c r="H92" s="19" t="str">
        <f>TEXT(Table4_138[[#This Row],[date]], "hh:mm")</f>
        <v>09:30</v>
      </c>
      <c r="I92" s="25" t="str">
        <f t="shared" si="1"/>
        <v/>
      </c>
    </row>
    <row r="93" spans="1:9">
      <c r="A93" s="13">
        <v>45851.416666666664</v>
      </c>
      <c r="B93" s="15">
        <v>3656.04</v>
      </c>
      <c r="C93" s="15">
        <v>9.5399999999999991</v>
      </c>
      <c r="D93" s="15">
        <v>0</v>
      </c>
      <c r="E93" s="15">
        <v>37.89</v>
      </c>
      <c r="F93" s="15">
        <v>862.94</v>
      </c>
      <c r="G93" s="16">
        <v>24</v>
      </c>
      <c r="H93" s="19" t="str">
        <f>TEXT(Table4_138[[#This Row],[date]], "hh:mm")</f>
        <v>10:00</v>
      </c>
      <c r="I93" s="25" t="str">
        <f t="shared" si="1"/>
        <v/>
      </c>
    </row>
    <row r="94" spans="1:9">
      <c r="A94" s="13">
        <v>45851.4375</v>
      </c>
      <c r="B94" s="15">
        <v>2964.61</v>
      </c>
      <c r="C94" s="15">
        <v>9.11</v>
      </c>
      <c r="D94" s="15">
        <v>0</v>
      </c>
      <c r="E94" s="15">
        <v>37.880000000000003</v>
      </c>
      <c r="F94" s="15">
        <v>914.75</v>
      </c>
      <c r="G94" s="16">
        <v>-16.54</v>
      </c>
      <c r="H94" s="19" t="str">
        <f>TEXT(Table4_138[[#This Row],[date]], "hh:mm")</f>
        <v>10:30</v>
      </c>
      <c r="I94" s="25" t="str">
        <f t="shared" si="1"/>
        <v/>
      </c>
    </row>
    <row r="95" spans="1:9">
      <c r="A95" s="13">
        <v>45851.458333333336</v>
      </c>
      <c r="B95" s="15">
        <v>2519.48</v>
      </c>
      <c r="C95" s="15">
        <v>7.68</v>
      </c>
      <c r="D95" s="15">
        <v>0</v>
      </c>
      <c r="E95" s="15">
        <v>37.83</v>
      </c>
      <c r="F95" s="15">
        <v>981.91</v>
      </c>
      <c r="G95" s="16">
        <v>-16.54</v>
      </c>
      <c r="H95" s="19" t="str">
        <f>TEXT(Table4_138[[#This Row],[date]], "hh:mm")</f>
        <v>11:00</v>
      </c>
      <c r="I95" s="25" t="str">
        <f t="shared" si="1"/>
        <v/>
      </c>
    </row>
    <row r="96" spans="1:9">
      <c r="A96" s="13">
        <v>45851.479166666664</v>
      </c>
      <c r="B96" s="15">
        <v>2448.65</v>
      </c>
      <c r="C96" s="15">
        <v>4.12</v>
      </c>
      <c r="D96" s="15">
        <v>0</v>
      </c>
      <c r="E96" s="15">
        <v>37.840000000000003</v>
      </c>
      <c r="F96" s="15">
        <v>968.43</v>
      </c>
      <c r="G96" s="16">
        <v>-16.18</v>
      </c>
      <c r="H96" s="19" t="str">
        <f>TEXT(Table4_138[[#This Row],[date]], "hh:mm")</f>
        <v>11:30</v>
      </c>
      <c r="I96" s="25" t="str">
        <f t="shared" si="1"/>
        <v/>
      </c>
    </row>
    <row r="97" spans="1:9">
      <c r="A97" s="13">
        <v>45851.5</v>
      </c>
      <c r="B97" s="15">
        <v>2458.89</v>
      </c>
      <c r="C97" s="15">
        <v>1.95</v>
      </c>
      <c r="D97" s="15">
        <v>0</v>
      </c>
      <c r="E97" s="15">
        <v>37.89</v>
      </c>
      <c r="F97" s="15">
        <v>1108.4000000000001</v>
      </c>
      <c r="G97" s="16">
        <v>-14.71</v>
      </c>
      <c r="H97" s="19" t="str">
        <f>TEXT(Table4_138[[#This Row],[date]], "hh:mm")</f>
        <v>12:00</v>
      </c>
      <c r="I97" s="25" t="str">
        <f t="shared" si="1"/>
        <v/>
      </c>
    </row>
    <row r="98" spans="1:9">
      <c r="A98" s="13">
        <v>45851.520833333336</v>
      </c>
      <c r="B98" s="15">
        <v>2389.2800000000002</v>
      </c>
      <c r="C98" s="15">
        <v>0.11</v>
      </c>
      <c r="D98" s="15">
        <v>0</v>
      </c>
      <c r="E98" s="15">
        <v>37.840000000000003</v>
      </c>
      <c r="F98" s="15">
        <v>1244.3499999999999</v>
      </c>
      <c r="G98" s="16">
        <v>-14.01</v>
      </c>
      <c r="H98" s="19" t="str">
        <f>TEXT(Table4_138[[#This Row],[date]], "hh:mm")</f>
        <v>12:30</v>
      </c>
      <c r="I98" s="25" t="str">
        <f t="shared" si="1"/>
        <v/>
      </c>
    </row>
    <row r="99" spans="1:9">
      <c r="A99" s="13">
        <v>45851.541666666664</v>
      </c>
      <c r="B99" s="15">
        <v>2388.5500000000002</v>
      </c>
      <c r="C99" s="15">
        <v>-0.12</v>
      </c>
      <c r="D99" s="15">
        <v>0</v>
      </c>
      <c r="E99" s="15">
        <v>37.81</v>
      </c>
      <c r="F99" s="15">
        <v>1347.9</v>
      </c>
      <c r="G99" s="16">
        <v>-14.01</v>
      </c>
      <c r="H99" s="19" t="str">
        <f>TEXT(Table4_138[[#This Row],[date]], "hh:mm")</f>
        <v>13:00</v>
      </c>
      <c r="I99" s="25" t="str">
        <f t="shared" si="1"/>
        <v/>
      </c>
    </row>
    <row r="100" spans="1:9">
      <c r="A100" s="13">
        <v>45851.5625</v>
      </c>
      <c r="B100" s="15">
        <v>2374.46</v>
      </c>
      <c r="C100" s="15">
        <v>-0.39</v>
      </c>
      <c r="D100" s="15">
        <v>0</v>
      </c>
      <c r="E100" s="15">
        <v>37.82</v>
      </c>
      <c r="F100" s="15">
        <v>1414.94</v>
      </c>
      <c r="G100" s="16">
        <v>-15.17</v>
      </c>
      <c r="H100" s="19" t="str">
        <f>TEXT(Table4_138[[#This Row],[date]], "hh:mm")</f>
        <v>13:30</v>
      </c>
      <c r="I100" s="25" t="str">
        <f t="shared" si="1"/>
        <v/>
      </c>
    </row>
    <row r="101" spans="1:9">
      <c r="A101" s="13">
        <v>45851.583333333336</v>
      </c>
      <c r="B101" s="15">
        <v>2492.27</v>
      </c>
      <c r="C101" s="15">
        <v>-0.02</v>
      </c>
      <c r="D101" s="15">
        <v>0</v>
      </c>
      <c r="E101" s="15">
        <v>37.880000000000003</v>
      </c>
      <c r="F101" s="15">
        <v>1447.94</v>
      </c>
      <c r="G101" s="16">
        <v>-17.28</v>
      </c>
      <c r="H101" s="19" t="str">
        <f>TEXT(Table4_138[[#This Row],[date]], "hh:mm")</f>
        <v>14:00</v>
      </c>
      <c r="I101" s="25" t="str">
        <f t="shared" si="1"/>
        <v/>
      </c>
    </row>
    <row r="102" spans="1:9">
      <c r="A102" s="13">
        <v>45851.604166666664</v>
      </c>
      <c r="B102" s="15">
        <v>2708.77</v>
      </c>
      <c r="C102" s="15">
        <v>-0.12</v>
      </c>
      <c r="D102" s="15">
        <v>0</v>
      </c>
      <c r="E102" s="15">
        <v>37.82</v>
      </c>
      <c r="F102" s="15">
        <v>1471.44</v>
      </c>
      <c r="G102" s="16">
        <v>24</v>
      </c>
      <c r="H102" s="19" t="str">
        <f>TEXT(Table4_138[[#This Row],[date]], "hh:mm")</f>
        <v>14:30</v>
      </c>
      <c r="I102" s="25" t="str">
        <f t="shared" si="1"/>
        <v/>
      </c>
    </row>
    <row r="103" spans="1:9">
      <c r="A103" s="13">
        <v>45851.625</v>
      </c>
      <c r="B103" s="15">
        <v>3432.06</v>
      </c>
      <c r="C103" s="15">
        <v>-0.49</v>
      </c>
      <c r="D103" s="15">
        <v>0</v>
      </c>
      <c r="E103" s="15">
        <v>37.83</v>
      </c>
      <c r="F103" s="15">
        <v>1450.15</v>
      </c>
      <c r="G103" s="16">
        <v>4.71</v>
      </c>
      <c r="H103" s="19" t="str">
        <f>TEXT(Table4_138[[#This Row],[date]], "hh:mm")</f>
        <v>15:00</v>
      </c>
      <c r="I103" s="25" t="str">
        <f t="shared" si="1"/>
        <v/>
      </c>
    </row>
    <row r="104" spans="1:9">
      <c r="A104" s="13">
        <v>45851.645833333336</v>
      </c>
      <c r="B104" s="15">
        <v>4114.53</v>
      </c>
      <c r="C104" s="15">
        <v>0.55000000000000004</v>
      </c>
      <c r="D104" s="15">
        <v>0</v>
      </c>
      <c r="E104" s="15">
        <v>37.869999999999997</v>
      </c>
      <c r="F104" s="15">
        <v>1513.1</v>
      </c>
      <c r="G104" s="16">
        <v>-0.02</v>
      </c>
      <c r="H104" s="19" t="str">
        <f>TEXT(Table4_138[[#This Row],[date]], "hh:mm")</f>
        <v>15:30</v>
      </c>
      <c r="I104" s="25" t="str">
        <f t="shared" si="1"/>
        <v/>
      </c>
    </row>
    <row r="105" spans="1:9">
      <c r="A105" s="13">
        <v>45851.666666666664</v>
      </c>
      <c r="B105" s="15">
        <v>4724.3100000000004</v>
      </c>
      <c r="C105" s="15">
        <v>7.25</v>
      </c>
      <c r="D105" s="15">
        <v>0</v>
      </c>
      <c r="E105" s="15">
        <v>39.4</v>
      </c>
      <c r="F105" s="15">
        <v>1592.88</v>
      </c>
      <c r="G105" s="16">
        <v>21.26</v>
      </c>
      <c r="H105" s="19" t="str">
        <f>TEXT(Table4_138[[#This Row],[date]], "hh:mm")</f>
        <v>16:00</v>
      </c>
      <c r="I105" s="25" t="str">
        <f t="shared" si="1"/>
        <v/>
      </c>
    </row>
    <row r="106" spans="1:9">
      <c r="A106" s="13">
        <v>45851.6875</v>
      </c>
      <c r="B106" s="15">
        <v>5543.33</v>
      </c>
      <c r="C106" s="15">
        <v>3.33</v>
      </c>
      <c r="D106" s="15">
        <v>0</v>
      </c>
      <c r="E106" s="15">
        <v>42.78</v>
      </c>
      <c r="F106" s="15">
        <v>1627.76</v>
      </c>
      <c r="G106" s="16">
        <v>57.01</v>
      </c>
      <c r="H106" s="19" t="str">
        <f>TEXT(Table4_138[[#This Row],[date]], "hh:mm")</f>
        <v>16:30</v>
      </c>
      <c r="I106" s="25" t="str">
        <f t="shared" si="1"/>
        <v/>
      </c>
    </row>
    <row r="107" spans="1:9">
      <c r="A107" s="13">
        <v>45851.708333333336</v>
      </c>
      <c r="B107" s="15">
        <v>6377.1</v>
      </c>
      <c r="C107" s="15">
        <v>-1.0900000000000001</v>
      </c>
      <c r="D107" s="15">
        <v>0</v>
      </c>
      <c r="E107" s="15">
        <v>42.55</v>
      </c>
      <c r="F107" s="15">
        <v>1637.74</v>
      </c>
      <c r="G107" s="16">
        <v>125.69</v>
      </c>
      <c r="H107" s="19" t="str">
        <f>TEXT(Table4_138[[#This Row],[date]], "hh:mm")</f>
        <v>17:00</v>
      </c>
      <c r="I107" s="25" t="str">
        <f t="shared" si="1"/>
        <v/>
      </c>
    </row>
    <row r="108" spans="1:9">
      <c r="A108" s="13">
        <v>45851.729166666664</v>
      </c>
      <c r="B108" s="15">
        <v>6798.69</v>
      </c>
      <c r="C108" s="15">
        <v>-2.9</v>
      </c>
      <c r="D108" s="15">
        <v>0</v>
      </c>
      <c r="E108" s="15">
        <v>71.83</v>
      </c>
      <c r="F108" s="15">
        <v>1641.12</v>
      </c>
      <c r="G108" s="16">
        <v>138.72999999999999</v>
      </c>
      <c r="H108" s="19" t="str">
        <f>TEXT(Table4_138[[#This Row],[date]], "hh:mm")</f>
        <v>17:30</v>
      </c>
      <c r="I108" s="25" t="str">
        <f t="shared" si="1"/>
        <v/>
      </c>
    </row>
    <row r="109" spans="1:9">
      <c r="A109" s="13">
        <v>45851.75</v>
      </c>
      <c r="B109" s="15">
        <v>6926.95</v>
      </c>
      <c r="C109" s="15">
        <v>-3.66</v>
      </c>
      <c r="D109" s="15">
        <v>0</v>
      </c>
      <c r="E109" s="15">
        <v>341.22</v>
      </c>
      <c r="F109" s="15">
        <v>1690.78</v>
      </c>
      <c r="G109" s="16">
        <v>140.03</v>
      </c>
      <c r="H109" s="19" t="str">
        <f>TEXT(Table4_138[[#This Row],[date]], "hh:mm")</f>
        <v>18:00</v>
      </c>
      <c r="I109" s="25" t="str">
        <f t="shared" si="1"/>
        <v/>
      </c>
    </row>
    <row r="110" spans="1:9">
      <c r="A110" s="13">
        <v>45851.770833333336</v>
      </c>
      <c r="B110" s="15">
        <v>6945.25</v>
      </c>
      <c r="C110" s="15">
        <v>-2.25</v>
      </c>
      <c r="D110" s="15">
        <v>0</v>
      </c>
      <c r="E110" s="15">
        <v>354.04</v>
      </c>
      <c r="F110" s="15">
        <v>1801.5</v>
      </c>
      <c r="G110" s="16">
        <v>185.01</v>
      </c>
      <c r="H110" s="19" t="str">
        <f>TEXT(Table4_138[[#This Row],[date]], "hh:mm")</f>
        <v>18:30</v>
      </c>
      <c r="I110" s="25" t="str">
        <f t="shared" si="1"/>
        <v/>
      </c>
    </row>
    <row r="111" spans="1:9">
      <c r="A111" s="13">
        <v>45851.791666666664</v>
      </c>
      <c r="B111" s="15">
        <v>6942.21</v>
      </c>
      <c r="C111" s="15">
        <v>-2.2599999999999998</v>
      </c>
      <c r="D111" s="15">
        <v>0</v>
      </c>
      <c r="E111" s="15">
        <v>353.65</v>
      </c>
      <c r="F111" s="15">
        <v>1949.97</v>
      </c>
      <c r="G111" s="16">
        <v>138.06</v>
      </c>
      <c r="H111" s="19" t="str">
        <f>TEXT(Table4_138[[#This Row],[date]], "hh:mm")</f>
        <v>19:00</v>
      </c>
      <c r="I111" s="25" t="str">
        <f t="shared" si="1"/>
        <v/>
      </c>
    </row>
    <row r="112" spans="1:9">
      <c r="A112" s="13">
        <v>45851.8125</v>
      </c>
      <c r="B112" s="15">
        <v>6938.83</v>
      </c>
      <c r="C112" s="15">
        <v>-2.15</v>
      </c>
      <c r="D112" s="15">
        <v>0</v>
      </c>
      <c r="E112" s="15">
        <v>330.67</v>
      </c>
      <c r="F112" s="15">
        <v>2046.18</v>
      </c>
      <c r="G112" s="16">
        <v>136.86000000000001</v>
      </c>
      <c r="H112" s="19" t="str">
        <f>TEXT(Table4_138[[#This Row],[date]], "hh:mm")</f>
        <v>19:30</v>
      </c>
      <c r="I112" s="25" t="str">
        <f t="shared" si="1"/>
        <v/>
      </c>
    </row>
    <row r="113" spans="1:9">
      <c r="A113" s="13">
        <v>45851.833333333336</v>
      </c>
      <c r="B113" s="15">
        <v>6935.89</v>
      </c>
      <c r="C113" s="15">
        <v>-0.85</v>
      </c>
      <c r="D113" s="15">
        <v>0</v>
      </c>
      <c r="E113" s="15">
        <v>305.45</v>
      </c>
      <c r="F113" s="15">
        <v>2096.2800000000002</v>
      </c>
      <c r="G113" s="16">
        <v>110.96</v>
      </c>
      <c r="H113" s="19" t="str">
        <f>TEXT(Table4_138[[#This Row],[date]], "hh:mm")</f>
        <v>20:00</v>
      </c>
      <c r="I113" s="25" t="str">
        <f t="shared" si="1"/>
        <v/>
      </c>
    </row>
    <row r="114" spans="1:9">
      <c r="A114" s="13">
        <v>45851.854166666664</v>
      </c>
      <c r="B114" s="15">
        <v>6948.12</v>
      </c>
      <c r="C114" s="15">
        <v>-0.95</v>
      </c>
      <c r="D114" s="15">
        <v>0</v>
      </c>
      <c r="E114" s="15">
        <v>187.96</v>
      </c>
      <c r="F114" s="15">
        <v>2138.23</v>
      </c>
      <c r="G114" s="16">
        <v>140.03</v>
      </c>
      <c r="H114" s="19" t="str">
        <f>TEXT(Table4_138[[#This Row],[date]], "hh:mm")</f>
        <v>20:30</v>
      </c>
      <c r="I114" s="25" t="str">
        <f t="shared" si="1"/>
        <v/>
      </c>
    </row>
    <row r="115" spans="1:9">
      <c r="A115" s="13">
        <v>45851.875</v>
      </c>
      <c r="B115" s="15">
        <v>6973.47</v>
      </c>
      <c r="C115" s="15">
        <v>-1.49</v>
      </c>
      <c r="D115" s="15">
        <v>0</v>
      </c>
      <c r="E115" s="15">
        <v>42.95</v>
      </c>
      <c r="F115" s="15">
        <v>2158.5300000000002</v>
      </c>
      <c r="G115" s="16">
        <v>100.01</v>
      </c>
      <c r="H115" s="19" t="str">
        <f>TEXT(Table4_138[[#This Row],[date]], "hh:mm")</f>
        <v>21:00</v>
      </c>
      <c r="I115" s="25" t="str">
        <f t="shared" si="1"/>
        <v/>
      </c>
    </row>
    <row r="116" spans="1:9">
      <c r="A116" s="13">
        <v>45851.895833333336</v>
      </c>
      <c r="B116" s="15">
        <v>6949.76</v>
      </c>
      <c r="C116" s="15">
        <v>-0.97</v>
      </c>
      <c r="D116" s="15">
        <v>0</v>
      </c>
      <c r="E116" s="15">
        <v>43.15</v>
      </c>
      <c r="F116" s="15">
        <v>2151.7600000000002</v>
      </c>
      <c r="G116" s="16">
        <v>76.8</v>
      </c>
      <c r="H116" s="19" t="str">
        <f>TEXT(Table4_138[[#This Row],[date]], "hh:mm")</f>
        <v>21:30</v>
      </c>
      <c r="I116" s="25" t="str">
        <f t="shared" si="1"/>
        <v/>
      </c>
    </row>
    <row r="117" spans="1:9">
      <c r="A117" s="13">
        <v>45851.916666666664</v>
      </c>
      <c r="B117" s="15">
        <v>6692.86</v>
      </c>
      <c r="C117" s="15">
        <v>-0.57999999999999996</v>
      </c>
      <c r="D117" s="15">
        <v>0</v>
      </c>
      <c r="E117" s="15">
        <v>43.14</v>
      </c>
      <c r="F117" s="15">
        <v>2106.94</v>
      </c>
      <c r="G117" s="16">
        <v>49.78</v>
      </c>
      <c r="H117" s="19" t="str">
        <f>TEXT(Table4_138[[#This Row],[date]], "hh:mm")</f>
        <v>22:00</v>
      </c>
      <c r="I117" s="25" t="str">
        <f t="shared" si="1"/>
        <v/>
      </c>
    </row>
    <row r="118" spans="1:9">
      <c r="A118" s="13">
        <v>45851.9375</v>
      </c>
      <c r="B118" s="15">
        <v>6625.97</v>
      </c>
      <c r="C118" s="15">
        <v>-0.85</v>
      </c>
      <c r="D118" s="15">
        <v>0</v>
      </c>
      <c r="E118" s="15">
        <v>42.51</v>
      </c>
      <c r="F118" s="15">
        <v>2065.66</v>
      </c>
      <c r="G118" s="16">
        <v>65.23</v>
      </c>
      <c r="H118" s="19" t="str">
        <f>TEXT(Table4_138[[#This Row],[date]], "hh:mm")</f>
        <v>22:30</v>
      </c>
      <c r="I118" s="25" t="str">
        <f t="shared" si="1"/>
        <v/>
      </c>
    </row>
    <row r="119" spans="1:9">
      <c r="A119" s="13">
        <v>45851.958333333336</v>
      </c>
      <c r="B119" s="15">
        <v>6276.39</v>
      </c>
      <c r="C119" s="15">
        <v>1.53</v>
      </c>
      <c r="D119" s="15">
        <v>0</v>
      </c>
      <c r="E119" s="15">
        <v>42.52</v>
      </c>
      <c r="F119" s="15">
        <v>2095.64</v>
      </c>
      <c r="G119" s="16">
        <v>58.83</v>
      </c>
      <c r="H119" s="19" t="str">
        <f>TEXT(Table4_138[[#This Row],[date]], "hh:mm")</f>
        <v>23:00</v>
      </c>
      <c r="I119" s="25" t="str">
        <f t="shared" si="1"/>
        <v/>
      </c>
    </row>
    <row r="120" spans="1:9">
      <c r="A120" s="13">
        <v>45851.979166666664</v>
      </c>
      <c r="B120" s="15">
        <v>5983.07</v>
      </c>
      <c r="C120" s="15">
        <v>2.4</v>
      </c>
      <c r="D120" s="15">
        <v>0</v>
      </c>
      <c r="E120" s="15">
        <v>43.16</v>
      </c>
      <c r="F120" s="15">
        <v>2144.85</v>
      </c>
      <c r="G120" s="16">
        <v>53.54</v>
      </c>
      <c r="H120" s="19" t="str">
        <f>TEXT(Table4_138[[#This Row],[date]], "hh:mm")</f>
        <v>23:30</v>
      </c>
      <c r="I120" s="25" t="str">
        <f t="shared" si="1"/>
        <v/>
      </c>
    </row>
    <row r="121" spans="1:9">
      <c r="A121" s="13">
        <v>45852</v>
      </c>
      <c r="B121" s="15">
        <v>5820.55</v>
      </c>
      <c r="C121" s="15">
        <v>1.32</v>
      </c>
      <c r="D121" s="15">
        <v>0</v>
      </c>
      <c r="E121" s="15">
        <v>43.36</v>
      </c>
      <c r="F121" s="15">
        <v>2190.79</v>
      </c>
      <c r="G121" s="16">
        <v>65.36</v>
      </c>
      <c r="H121" s="19" t="str">
        <f>TEXT(Table4_138[[#This Row],[date]], "hh:mm")</f>
        <v>00:00</v>
      </c>
      <c r="I121" s="25" t="str">
        <f t="shared" si="1"/>
        <v>14 Jul</v>
      </c>
    </row>
    <row r="122" spans="1:9">
      <c r="A122" s="13">
        <v>45852.020833333336</v>
      </c>
      <c r="B122" s="15">
        <v>5517.03</v>
      </c>
      <c r="C122" s="15">
        <v>-0.23</v>
      </c>
      <c r="D122" s="15">
        <v>0</v>
      </c>
      <c r="E122" s="15">
        <v>43.19</v>
      </c>
      <c r="F122" s="15">
        <v>2233.4299999999998</v>
      </c>
      <c r="G122" s="16">
        <v>57.01</v>
      </c>
      <c r="H122" s="19" t="str">
        <f>TEXT(Table4_138[[#This Row],[date]], "hh:mm")</f>
        <v>00:30</v>
      </c>
      <c r="I122" s="25" t="str">
        <f t="shared" si="1"/>
        <v/>
      </c>
    </row>
    <row r="123" spans="1:9">
      <c r="A123" s="13">
        <v>45852.041666666664</v>
      </c>
      <c r="B123" s="15">
        <v>5349.02</v>
      </c>
      <c r="C123" s="15">
        <v>0.21</v>
      </c>
      <c r="D123" s="15">
        <v>0</v>
      </c>
      <c r="E123" s="15">
        <v>42.53</v>
      </c>
      <c r="F123" s="15">
        <v>2282.92</v>
      </c>
      <c r="G123" s="16">
        <v>64.89</v>
      </c>
      <c r="H123" s="19" t="str">
        <f>TEXT(Table4_138[[#This Row],[date]], "hh:mm")</f>
        <v>01:00</v>
      </c>
      <c r="I123" s="25" t="str">
        <f t="shared" si="1"/>
        <v/>
      </c>
    </row>
    <row r="124" spans="1:9">
      <c r="A124" s="13">
        <v>45852.0625</v>
      </c>
      <c r="B124" s="15">
        <v>5143.7</v>
      </c>
      <c r="C124" s="15">
        <v>0.69</v>
      </c>
      <c r="D124" s="15">
        <v>0</v>
      </c>
      <c r="E124" s="15">
        <v>42.41</v>
      </c>
      <c r="F124" s="15">
        <v>2301.21</v>
      </c>
      <c r="G124" s="16">
        <v>68.540000000000006</v>
      </c>
      <c r="H124" s="19" t="str">
        <f>TEXT(Table4_138[[#This Row],[date]], "hh:mm")</f>
        <v>01:30</v>
      </c>
      <c r="I124" s="25" t="str">
        <f t="shared" si="1"/>
        <v/>
      </c>
    </row>
    <row r="125" spans="1:9">
      <c r="A125" s="13">
        <v>45852.083333333336</v>
      </c>
      <c r="B125" s="15">
        <v>4920.88</v>
      </c>
      <c r="C125" s="15">
        <v>0.38</v>
      </c>
      <c r="D125" s="15">
        <v>0</v>
      </c>
      <c r="E125" s="15">
        <v>42.87</v>
      </c>
      <c r="F125" s="15">
        <v>2267.08</v>
      </c>
      <c r="G125" s="16">
        <v>69.52</v>
      </c>
      <c r="H125" s="19" t="str">
        <f>TEXT(Table4_138[[#This Row],[date]], "hh:mm")</f>
        <v>02:00</v>
      </c>
      <c r="I125" s="25" t="str">
        <f t="shared" si="1"/>
        <v/>
      </c>
    </row>
    <row r="126" spans="1:9">
      <c r="A126" s="13">
        <v>45852.104166666664</v>
      </c>
      <c r="B126" s="15">
        <v>4781.75</v>
      </c>
      <c r="C126" s="15">
        <v>0.89</v>
      </c>
      <c r="D126" s="15">
        <v>0</v>
      </c>
      <c r="E126" s="15">
        <v>43.16</v>
      </c>
      <c r="F126" s="15">
        <v>2249.91</v>
      </c>
      <c r="G126" s="16">
        <v>51.17</v>
      </c>
      <c r="H126" s="19" t="str">
        <f>TEXT(Table4_138[[#This Row],[date]], "hh:mm")</f>
        <v>02:30</v>
      </c>
      <c r="I126" s="25" t="str">
        <f t="shared" si="1"/>
        <v/>
      </c>
    </row>
    <row r="127" spans="1:9">
      <c r="A127" s="13">
        <v>45852.125</v>
      </c>
      <c r="B127" s="15">
        <v>4703</v>
      </c>
      <c r="C127" s="15">
        <v>-0.04</v>
      </c>
      <c r="D127" s="15">
        <v>0</v>
      </c>
      <c r="E127" s="15">
        <v>43.29</v>
      </c>
      <c r="F127" s="15">
        <v>2264.0500000000002</v>
      </c>
      <c r="G127" s="16">
        <v>56.71</v>
      </c>
      <c r="H127" s="19" t="str">
        <f>TEXT(Table4_138[[#This Row],[date]], "hh:mm")</f>
        <v>03:00</v>
      </c>
      <c r="I127" s="25" t="str">
        <f t="shared" si="1"/>
        <v/>
      </c>
    </row>
    <row r="128" spans="1:9">
      <c r="A128" s="13">
        <v>45852.145833333336</v>
      </c>
      <c r="B128" s="15">
        <v>4627.54</v>
      </c>
      <c r="C128" s="15">
        <v>-0.24</v>
      </c>
      <c r="D128" s="15">
        <v>0</v>
      </c>
      <c r="E128" s="15">
        <v>43.32</v>
      </c>
      <c r="F128" s="15">
        <v>2116.71</v>
      </c>
      <c r="G128" s="16">
        <v>56.98</v>
      </c>
      <c r="H128" s="19" t="str">
        <f>TEXT(Table4_138[[#This Row],[date]], "hh:mm")</f>
        <v>03:30</v>
      </c>
      <c r="I128" s="25" t="str">
        <f t="shared" si="1"/>
        <v/>
      </c>
    </row>
    <row r="129" spans="1:9">
      <c r="A129" s="13">
        <v>45852.166666666664</v>
      </c>
      <c r="B129" s="15">
        <v>4765.43</v>
      </c>
      <c r="C129" s="15">
        <v>-1.26</v>
      </c>
      <c r="D129" s="15">
        <v>0</v>
      </c>
      <c r="E129" s="15">
        <v>43.3</v>
      </c>
      <c r="F129" s="15">
        <v>2004.46</v>
      </c>
      <c r="G129" s="16">
        <v>57.01</v>
      </c>
      <c r="H129" s="19" t="str">
        <f>TEXT(Table4_138[[#This Row],[date]], "hh:mm")</f>
        <v>04:00</v>
      </c>
      <c r="I129" s="25" t="str">
        <f t="shared" si="1"/>
        <v/>
      </c>
    </row>
    <row r="130" spans="1:9">
      <c r="A130" s="13">
        <v>45852.1875</v>
      </c>
      <c r="B130" s="15">
        <v>5265.24</v>
      </c>
      <c r="C130" s="15">
        <v>-0.54</v>
      </c>
      <c r="D130" s="15">
        <v>0</v>
      </c>
      <c r="E130" s="15">
        <v>43.4</v>
      </c>
      <c r="F130" s="15">
        <v>1914.67</v>
      </c>
      <c r="G130" s="16">
        <v>72.489999999999995</v>
      </c>
      <c r="H130" s="19" t="str">
        <f>TEXT(Table4_138[[#This Row],[date]], "hh:mm")</f>
        <v>04:30</v>
      </c>
      <c r="I130" s="25" t="str">
        <f t="shared" ref="I130:I193" si="2">IF(AND(HOUR(A130)=0,MINUTE(A130)=0),TEXT(A130,"d mmm"),"")</f>
        <v/>
      </c>
    </row>
    <row r="131" spans="1:9">
      <c r="A131" s="13">
        <v>45852.208333333336</v>
      </c>
      <c r="B131" s="15">
        <v>5618.82</v>
      </c>
      <c r="C131" s="15">
        <v>0.56999999999999995</v>
      </c>
      <c r="D131" s="15">
        <v>0</v>
      </c>
      <c r="E131" s="15">
        <v>42.88</v>
      </c>
      <c r="F131" s="15">
        <v>1963.07</v>
      </c>
      <c r="G131" s="16">
        <v>69.599999999999994</v>
      </c>
      <c r="H131" s="19" t="str">
        <f>TEXT(Table4_138[[#This Row],[date]], "hh:mm")</f>
        <v>05:00</v>
      </c>
      <c r="I131" s="25" t="str">
        <f t="shared" si="2"/>
        <v/>
      </c>
    </row>
    <row r="132" spans="1:9">
      <c r="A132" s="13">
        <v>45852.229166666664</v>
      </c>
      <c r="B132" s="15">
        <v>6309.23</v>
      </c>
      <c r="C132" s="15">
        <v>-0.28999999999999998</v>
      </c>
      <c r="D132" s="15">
        <v>0</v>
      </c>
      <c r="E132" s="15">
        <v>42.53</v>
      </c>
      <c r="F132" s="15">
        <v>1767.6</v>
      </c>
      <c r="G132" s="16">
        <v>77.510000000000005</v>
      </c>
      <c r="H132" s="19" t="str">
        <f>TEXT(Table4_138[[#This Row],[date]], "hh:mm")</f>
        <v>05:30</v>
      </c>
      <c r="I132" s="25" t="str">
        <f t="shared" si="2"/>
        <v/>
      </c>
    </row>
    <row r="133" spans="1:9">
      <c r="A133" s="13">
        <v>45852.25</v>
      </c>
      <c r="B133" s="15">
        <v>6751.5</v>
      </c>
      <c r="C133" s="15">
        <v>-1.1299999999999999</v>
      </c>
      <c r="D133" s="15">
        <v>0</v>
      </c>
      <c r="E133" s="15">
        <v>43</v>
      </c>
      <c r="F133" s="15">
        <v>1750.97</v>
      </c>
      <c r="G133" s="16">
        <v>93.14</v>
      </c>
      <c r="H133" s="19" t="str">
        <f>TEXT(Table4_138[[#This Row],[date]], "hh:mm")</f>
        <v>06:00</v>
      </c>
      <c r="I133" s="25" t="str">
        <f t="shared" si="2"/>
        <v/>
      </c>
    </row>
    <row r="134" spans="1:9">
      <c r="A134" s="13">
        <v>45852.270833333336</v>
      </c>
      <c r="B134" s="15">
        <v>7123.99</v>
      </c>
      <c r="C134" s="15">
        <v>-3.58</v>
      </c>
      <c r="D134" s="15">
        <v>0</v>
      </c>
      <c r="E134" s="15">
        <v>43.75</v>
      </c>
      <c r="F134" s="15">
        <v>1760.49</v>
      </c>
      <c r="G134" s="16">
        <v>153.1</v>
      </c>
      <c r="H134" s="19" t="str">
        <f>TEXT(Table4_138[[#This Row],[date]], "hh:mm")</f>
        <v>06:30</v>
      </c>
      <c r="I134" s="25" t="str">
        <f t="shared" si="2"/>
        <v/>
      </c>
    </row>
    <row r="135" spans="1:9">
      <c r="A135" s="13">
        <v>45852.291666666664</v>
      </c>
      <c r="B135" s="15">
        <v>7297.42</v>
      </c>
      <c r="C135" s="15">
        <v>-1.92</v>
      </c>
      <c r="D135" s="15">
        <v>0</v>
      </c>
      <c r="E135" s="15">
        <v>43.23</v>
      </c>
      <c r="F135" s="15">
        <v>1750.08</v>
      </c>
      <c r="G135" s="16">
        <v>147.21</v>
      </c>
      <c r="H135" s="19" t="str">
        <f>TEXT(Table4_138[[#This Row],[date]], "hh:mm")</f>
        <v>07:00</v>
      </c>
      <c r="I135" s="25" t="str">
        <f t="shared" si="2"/>
        <v/>
      </c>
    </row>
    <row r="136" spans="1:9">
      <c r="A136" s="13">
        <v>45852.3125</v>
      </c>
      <c r="B136" s="15">
        <v>7328.85</v>
      </c>
      <c r="C136" s="15">
        <v>-3.31</v>
      </c>
      <c r="D136" s="15">
        <v>0</v>
      </c>
      <c r="E136" s="15">
        <v>43.32</v>
      </c>
      <c r="F136" s="15">
        <v>1818.48</v>
      </c>
      <c r="G136" s="16">
        <v>154.78</v>
      </c>
      <c r="H136" s="19" t="str">
        <f>TEXT(Table4_138[[#This Row],[date]], "hh:mm")</f>
        <v>07:30</v>
      </c>
      <c r="I136" s="25" t="str">
        <f t="shared" si="2"/>
        <v/>
      </c>
    </row>
    <row r="137" spans="1:9">
      <c r="A137" s="13">
        <v>45852.333333333336</v>
      </c>
      <c r="B137" s="15">
        <v>6969.81</v>
      </c>
      <c r="C137" s="15">
        <v>-3.44</v>
      </c>
      <c r="D137" s="15">
        <v>0</v>
      </c>
      <c r="E137" s="15">
        <v>43.3</v>
      </c>
      <c r="F137" s="15">
        <v>1670.48</v>
      </c>
      <c r="G137" s="16">
        <v>81.06</v>
      </c>
      <c r="H137" s="19" t="str">
        <f>TEXT(Table4_138[[#This Row],[date]], "hh:mm")</f>
        <v>08:00</v>
      </c>
      <c r="I137" s="25" t="str">
        <f t="shared" si="2"/>
        <v/>
      </c>
    </row>
    <row r="138" spans="1:9">
      <c r="A138" s="13">
        <v>45852.354166666664</v>
      </c>
      <c r="B138" s="15">
        <v>5979.68</v>
      </c>
      <c r="C138" s="15">
        <v>-3.45</v>
      </c>
      <c r="D138" s="15">
        <v>0</v>
      </c>
      <c r="E138" s="15">
        <v>43.44</v>
      </c>
      <c r="F138" s="15">
        <v>1447.65</v>
      </c>
      <c r="G138" s="16">
        <v>-14.01</v>
      </c>
      <c r="H138" s="19" t="str">
        <f>TEXT(Table4_138[[#This Row],[date]], "hh:mm")</f>
        <v>08:30</v>
      </c>
      <c r="I138" s="25" t="str">
        <f t="shared" si="2"/>
        <v/>
      </c>
    </row>
    <row r="139" spans="1:9">
      <c r="A139" s="13">
        <v>45852.375</v>
      </c>
      <c r="B139" s="15">
        <v>5028.6499999999996</v>
      </c>
      <c r="C139" s="15">
        <v>0.96</v>
      </c>
      <c r="D139" s="15">
        <v>0</v>
      </c>
      <c r="E139" s="15">
        <v>42.44</v>
      </c>
      <c r="F139" s="15">
        <v>1171.56</v>
      </c>
      <c r="G139" s="16">
        <v>16.04</v>
      </c>
      <c r="H139" s="19" t="str">
        <f>TEXT(Table4_138[[#This Row],[date]], "hh:mm")</f>
        <v>09:00</v>
      </c>
      <c r="I139" s="25" t="str">
        <f t="shared" si="2"/>
        <v/>
      </c>
    </row>
    <row r="140" spans="1:9">
      <c r="A140" s="13">
        <v>45852.395833333336</v>
      </c>
      <c r="B140" s="15">
        <v>4242.24</v>
      </c>
      <c r="C140" s="15">
        <v>11.53</v>
      </c>
      <c r="D140" s="15">
        <v>0</v>
      </c>
      <c r="E140" s="15">
        <v>40.770000000000003</v>
      </c>
      <c r="F140" s="15">
        <v>1027.68</v>
      </c>
      <c r="G140" s="16">
        <v>50.35</v>
      </c>
      <c r="H140" s="19" t="str">
        <f>TEXT(Table4_138[[#This Row],[date]], "hh:mm")</f>
        <v>09:30</v>
      </c>
      <c r="I140" s="25" t="str">
        <f t="shared" si="2"/>
        <v/>
      </c>
    </row>
    <row r="141" spans="1:9">
      <c r="A141" s="13">
        <v>45852.416666666664</v>
      </c>
      <c r="B141" s="15">
        <v>3632.09</v>
      </c>
      <c r="C141" s="15">
        <v>13.54</v>
      </c>
      <c r="D141" s="15">
        <v>0</v>
      </c>
      <c r="E141" s="15">
        <v>38.119999999999997</v>
      </c>
      <c r="F141" s="15">
        <v>960.08</v>
      </c>
      <c r="G141" s="16">
        <v>24</v>
      </c>
      <c r="H141" s="19" t="str">
        <f>TEXT(Table4_138[[#This Row],[date]], "hh:mm")</f>
        <v>10:00</v>
      </c>
      <c r="I141" s="25" t="str">
        <f t="shared" si="2"/>
        <v/>
      </c>
    </row>
    <row r="142" spans="1:9">
      <c r="A142" s="13">
        <v>45852.4375</v>
      </c>
      <c r="B142" s="15">
        <v>3455.68</v>
      </c>
      <c r="C142" s="15">
        <v>13.92</v>
      </c>
      <c r="D142" s="15">
        <v>0</v>
      </c>
      <c r="E142" s="15">
        <v>40.619999999999997</v>
      </c>
      <c r="F142" s="15">
        <v>905.81</v>
      </c>
      <c r="G142" s="16">
        <v>45</v>
      </c>
      <c r="H142" s="19" t="str">
        <f>TEXT(Table4_138[[#This Row],[date]], "hh:mm")</f>
        <v>10:30</v>
      </c>
      <c r="I142" s="25" t="str">
        <f t="shared" si="2"/>
        <v/>
      </c>
    </row>
    <row r="143" spans="1:9">
      <c r="A143" s="13">
        <v>45852.458333333336</v>
      </c>
      <c r="B143" s="15">
        <v>3370.09</v>
      </c>
      <c r="C143" s="15">
        <v>13.54</v>
      </c>
      <c r="D143" s="15">
        <v>0</v>
      </c>
      <c r="E143" s="15">
        <v>38.700000000000003</v>
      </c>
      <c r="F143" s="15">
        <v>892.28</v>
      </c>
      <c r="G143" s="16">
        <v>-9.5</v>
      </c>
      <c r="H143" s="19" t="str">
        <f>TEXT(Table4_138[[#This Row],[date]], "hh:mm")</f>
        <v>11:00</v>
      </c>
      <c r="I143" s="25" t="str">
        <f t="shared" si="2"/>
        <v/>
      </c>
    </row>
    <row r="144" spans="1:9">
      <c r="A144" s="13">
        <v>45852.479166666664</v>
      </c>
      <c r="B144" s="15">
        <v>3416</v>
      </c>
      <c r="C144" s="15">
        <v>13.34</v>
      </c>
      <c r="D144" s="15">
        <v>0</v>
      </c>
      <c r="E144" s="15">
        <v>38.369999999999997</v>
      </c>
      <c r="F144" s="15">
        <v>952.99</v>
      </c>
      <c r="G144" s="16">
        <v>22.93</v>
      </c>
      <c r="H144" s="19" t="str">
        <f>TEXT(Table4_138[[#This Row],[date]], "hh:mm")</f>
        <v>11:30</v>
      </c>
      <c r="I144" s="25" t="str">
        <f t="shared" si="2"/>
        <v/>
      </c>
    </row>
    <row r="145" spans="1:9">
      <c r="A145" s="13">
        <v>45852.5</v>
      </c>
      <c r="B145" s="15">
        <v>3325.91</v>
      </c>
      <c r="C145" s="15">
        <v>9.8000000000000007</v>
      </c>
      <c r="D145" s="15">
        <v>0</v>
      </c>
      <c r="E145" s="15">
        <v>38.18</v>
      </c>
      <c r="F145" s="15">
        <v>940.11</v>
      </c>
      <c r="G145" s="16">
        <v>-18</v>
      </c>
      <c r="H145" s="19" t="str">
        <f>TEXT(Table4_138[[#This Row],[date]], "hh:mm")</f>
        <v>12:00</v>
      </c>
      <c r="I145" s="25" t="str">
        <f t="shared" si="2"/>
        <v/>
      </c>
    </row>
    <row r="146" spans="1:9">
      <c r="A146" s="13">
        <v>45852.520833333336</v>
      </c>
      <c r="B146" s="15">
        <v>3347.89</v>
      </c>
      <c r="C146" s="15">
        <v>7.17</v>
      </c>
      <c r="D146" s="15">
        <v>0</v>
      </c>
      <c r="E146" s="15">
        <v>37.9</v>
      </c>
      <c r="F146" s="15">
        <v>1044</v>
      </c>
      <c r="G146" s="16">
        <v>-19.690000000000001</v>
      </c>
      <c r="H146" s="19" t="str">
        <f>TEXT(Table4_138[[#This Row],[date]], "hh:mm")</f>
        <v>12:30</v>
      </c>
      <c r="I146" s="25" t="str">
        <f t="shared" si="2"/>
        <v/>
      </c>
    </row>
    <row r="147" spans="1:9">
      <c r="A147" s="13">
        <v>45852.541666666664</v>
      </c>
      <c r="B147" s="15">
        <v>3353.05</v>
      </c>
      <c r="C147" s="15">
        <v>6.59</v>
      </c>
      <c r="D147" s="15">
        <v>0</v>
      </c>
      <c r="E147" s="15">
        <v>37.869999999999997</v>
      </c>
      <c r="F147" s="15">
        <v>1128.8499999999999</v>
      </c>
      <c r="G147" s="16">
        <v>-14.01</v>
      </c>
      <c r="H147" s="19" t="str">
        <f>TEXT(Table4_138[[#This Row],[date]], "hh:mm")</f>
        <v>13:00</v>
      </c>
      <c r="I147" s="25" t="str">
        <f t="shared" si="2"/>
        <v/>
      </c>
    </row>
    <row r="148" spans="1:9">
      <c r="A148" s="13">
        <v>45852.5625</v>
      </c>
      <c r="B148" s="15">
        <v>3321.31</v>
      </c>
      <c r="C148" s="15">
        <v>6.74</v>
      </c>
      <c r="D148" s="15">
        <v>0</v>
      </c>
      <c r="E148" s="15">
        <v>37.799999999999997</v>
      </c>
      <c r="F148" s="15">
        <v>1011.38</v>
      </c>
      <c r="G148" s="16">
        <v>-14.01</v>
      </c>
      <c r="H148" s="19" t="str">
        <f>TEXT(Table4_138[[#This Row],[date]], "hh:mm")</f>
        <v>13:30</v>
      </c>
      <c r="I148" s="25" t="str">
        <f t="shared" si="2"/>
        <v/>
      </c>
    </row>
    <row r="149" spans="1:9">
      <c r="A149" s="13">
        <v>45852.583333333336</v>
      </c>
      <c r="B149" s="15">
        <v>3353.2</v>
      </c>
      <c r="C149" s="15">
        <v>6.09</v>
      </c>
      <c r="D149" s="15">
        <v>1.33</v>
      </c>
      <c r="E149" s="15">
        <v>37.9</v>
      </c>
      <c r="F149" s="15">
        <v>910.82</v>
      </c>
      <c r="G149" s="16">
        <v>-18</v>
      </c>
      <c r="H149" s="19" t="str">
        <f>TEXT(Table4_138[[#This Row],[date]], "hh:mm")</f>
        <v>14:00</v>
      </c>
      <c r="I149" s="25" t="str">
        <f t="shared" si="2"/>
        <v/>
      </c>
    </row>
    <row r="150" spans="1:9">
      <c r="A150" s="13">
        <v>45852.604166666664</v>
      </c>
      <c r="B150" s="15">
        <v>3396.13</v>
      </c>
      <c r="C150" s="15">
        <v>6.7</v>
      </c>
      <c r="D150" s="15">
        <v>14.5</v>
      </c>
      <c r="E150" s="15">
        <v>37.86</v>
      </c>
      <c r="F150" s="15">
        <v>911.78</v>
      </c>
      <c r="G150" s="16">
        <v>-17.5</v>
      </c>
      <c r="H150" s="19" t="str">
        <f>TEXT(Table4_138[[#This Row],[date]], "hh:mm")</f>
        <v>14:30</v>
      </c>
      <c r="I150" s="25" t="str">
        <f t="shared" si="2"/>
        <v/>
      </c>
    </row>
    <row r="151" spans="1:9">
      <c r="A151" s="13">
        <v>45852.625</v>
      </c>
      <c r="B151" s="15">
        <v>3611.65</v>
      </c>
      <c r="C151" s="15">
        <v>6.89</v>
      </c>
      <c r="D151" s="15">
        <v>17.329999999999998</v>
      </c>
      <c r="E151" s="15">
        <v>37.880000000000003</v>
      </c>
      <c r="F151" s="15">
        <v>948.64</v>
      </c>
      <c r="G151" s="16">
        <v>-14.99</v>
      </c>
      <c r="H151" s="19" t="str">
        <f>TEXT(Table4_138[[#This Row],[date]], "hh:mm")</f>
        <v>15:00</v>
      </c>
      <c r="I151" s="25" t="str">
        <f t="shared" si="2"/>
        <v/>
      </c>
    </row>
    <row r="152" spans="1:9">
      <c r="A152" s="13">
        <v>45852.645833333336</v>
      </c>
      <c r="B152" s="15">
        <v>4298.8100000000004</v>
      </c>
      <c r="C152" s="15">
        <v>8.69</v>
      </c>
      <c r="D152" s="15">
        <v>37</v>
      </c>
      <c r="E152" s="15">
        <v>37.799999999999997</v>
      </c>
      <c r="F152" s="15">
        <v>981.61</v>
      </c>
      <c r="G152" s="16">
        <v>-14.05</v>
      </c>
      <c r="H152" s="19" t="str">
        <f>TEXT(Table4_138[[#This Row],[date]], "hh:mm")</f>
        <v>15:30</v>
      </c>
      <c r="I152" s="25" t="str">
        <f t="shared" si="2"/>
        <v/>
      </c>
    </row>
    <row r="153" spans="1:9">
      <c r="A153" s="13">
        <v>45852.666666666664</v>
      </c>
      <c r="B153" s="15">
        <v>5171.8599999999997</v>
      </c>
      <c r="C153" s="15">
        <v>0.46</v>
      </c>
      <c r="D153" s="15">
        <v>181.67</v>
      </c>
      <c r="E153" s="15">
        <v>39.65</v>
      </c>
      <c r="F153" s="15">
        <v>954.63</v>
      </c>
      <c r="G153" s="16">
        <v>38.6</v>
      </c>
      <c r="H153" s="19" t="str">
        <f>TEXT(Table4_138[[#This Row],[date]], "hh:mm")</f>
        <v>16:00</v>
      </c>
      <c r="I153" s="25" t="str">
        <f t="shared" si="2"/>
        <v/>
      </c>
    </row>
    <row r="154" spans="1:9">
      <c r="A154" s="13">
        <v>45852.6875</v>
      </c>
      <c r="B154" s="15">
        <v>6325.23</v>
      </c>
      <c r="C154" s="15">
        <v>-1.73</v>
      </c>
      <c r="D154" s="15">
        <v>199.5</v>
      </c>
      <c r="E154" s="15">
        <v>47.35</v>
      </c>
      <c r="F154" s="15">
        <v>873.6</v>
      </c>
      <c r="G154" s="16">
        <v>61.64</v>
      </c>
      <c r="H154" s="19" t="str">
        <f>TEXT(Table4_138[[#This Row],[date]], "hh:mm")</f>
        <v>16:30</v>
      </c>
      <c r="I154" s="25" t="str">
        <f t="shared" si="2"/>
        <v/>
      </c>
    </row>
    <row r="155" spans="1:9">
      <c r="A155" s="13">
        <v>45852.708333333336</v>
      </c>
      <c r="B155" s="15">
        <v>7169.81</v>
      </c>
      <c r="C155" s="15">
        <v>-1.71</v>
      </c>
      <c r="D155" s="15">
        <v>400</v>
      </c>
      <c r="E155" s="15">
        <v>475.02</v>
      </c>
      <c r="F155" s="15">
        <v>806.58</v>
      </c>
      <c r="G155" s="16">
        <v>174.6</v>
      </c>
      <c r="H155" s="19" t="str">
        <f>TEXT(Table4_138[[#This Row],[date]], "hh:mm")</f>
        <v>17:00</v>
      </c>
      <c r="I155" s="25" t="str">
        <f t="shared" si="2"/>
        <v/>
      </c>
    </row>
    <row r="156" spans="1:9">
      <c r="A156" s="13">
        <v>45852.729166666664</v>
      </c>
      <c r="B156" s="15">
        <v>7371.24</v>
      </c>
      <c r="C156" s="15">
        <v>-1.51</v>
      </c>
      <c r="D156" s="15">
        <v>443.83</v>
      </c>
      <c r="E156" s="15">
        <v>980.74</v>
      </c>
      <c r="F156" s="15">
        <v>735.13</v>
      </c>
      <c r="G156" s="16">
        <v>173.02</v>
      </c>
      <c r="H156" s="19" t="str">
        <f>TEXT(Table4_138[[#This Row],[date]], "hh:mm")</f>
        <v>17:30</v>
      </c>
      <c r="I156" s="25" t="str">
        <f t="shared" si="2"/>
        <v/>
      </c>
    </row>
    <row r="157" spans="1:9">
      <c r="A157" s="13">
        <v>45852.75</v>
      </c>
      <c r="B157" s="15">
        <v>7437.64</v>
      </c>
      <c r="C157" s="15">
        <v>-1.55</v>
      </c>
      <c r="D157" s="15">
        <v>442.83</v>
      </c>
      <c r="E157" s="15">
        <v>1022.08</v>
      </c>
      <c r="F157" s="15">
        <v>698.01</v>
      </c>
      <c r="G157" s="16">
        <v>210.1</v>
      </c>
      <c r="H157" s="19" t="str">
        <f>TEXT(Table4_138[[#This Row],[date]], "hh:mm")</f>
        <v>18:00</v>
      </c>
      <c r="I157" s="25" t="str">
        <f t="shared" si="2"/>
        <v/>
      </c>
    </row>
    <row r="158" spans="1:9">
      <c r="A158" s="13">
        <v>45852.770833333336</v>
      </c>
      <c r="B158" s="15">
        <v>7437.2</v>
      </c>
      <c r="C158" s="15">
        <v>-1.6</v>
      </c>
      <c r="D158" s="15">
        <v>441.83</v>
      </c>
      <c r="E158" s="15">
        <v>1039.98</v>
      </c>
      <c r="F158" s="15">
        <v>757.01</v>
      </c>
      <c r="G158" s="16">
        <v>226.15</v>
      </c>
      <c r="H158" s="19" t="str">
        <f>TEXT(Table4_138[[#This Row],[date]], "hh:mm")</f>
        <v>18:30</v>
      </c>
      <c r="I158" s="25" t="str">
        <f t="shared" si="2"/>
        <v/>
      </c>
    </row>
    <row r="159" spans="1:9">
      <c r="A159" s="13">
        <v>45852.791666666664</v>
      </c>
      <c r="B159" s="15">
        <v>7414.18</v>
      </c>
      <c r="C159" s="15">
        <v>-1.92</v>
      </c>
      <c r="D159" s="15">
        <v>442.33</v>
      </c>
      <c r="E159" s="15">
        <v>1035.82</v>
      </c>
      <c r="F159" s="15">
        <v>899.33</v>
      </c>
      <c r="G159" s="16">
        <v>155.22999999999999</v>
      </c>
      <c r="H159" s="19" t="str">
        <f>TEXT(Table4_138[[#This Row],[date]], "hh:mm")</f>
        <v>19:00</v>
      </c>
      <c r="I159" s="25" t="str">
        <f t="shared" si="2"/>
        <v/>
      </c>
    </row>
    <row r="160" spans="1:9">
      <c r="A160" s="13">
        <v>45852.8125</v>
      </c>
      <c r="B160" s="15">
        <v>7423.35</v>
      </c>
      <c r="C160" s="15">
        <v>-1.74</v>
      </c>
      <c r="D160" s="15">
        <v>443.83</v>
      </c>
      <c r="E160" s="15">
        <v>1023.49</v>
      </c>
      <c r="F160" s="15">
        <v>982.25</v>
      </c>
      <c r="G160" s="16">
        <v>153.5</v>
      </c>
      <c r="H160" s="19" t="str">
        <f>TEXT(Table4_138[[#This Row],[date]], "hh:mm")</f>
        <v>19:30</v>
      </c>
      <c r="I160" s="25" t="str">
        <f t="shared" si="2"/>
        <v/>
      </c>
    </row>
    <row r="161" spans="1:9">
      <c r="A161" s="13">
        <v>45852.833333333336</v>
      </c>
      <c r="B161" s="15">
        <v>7430.95</v>
      </c>
      <c r="C161" s="15">
        <v>-2.23</v>
      </c>
      <c r="D161" s="15">
        <v>451.17</v>
      </c>
      <c r="E161" s="15">
        <v>963.58</v>
      </c>
      <c r="F161" s="15">
        <v>906.66</v>
      </c>
      <c r="G161" s="16">
        <v>150.07</v>
      </c>
      <c r="H161" s="19" t="str">
        <f>TEXT(Table4_138[[#This Row],[date]], "hh:mm")</f>
        <v>20:00</v>
      </c>
      <c r="I161" s="25" t="str">
        <f t="shared" si="2"/>
        <v/>
      </c>
    </row>
    <row r="162" spans="1:9">
      <c r="A162" s="13">
        <v>45852.854166666664</v>
      </c>
      <c r="B162" s="15">
        <v>7436</v>
      </c>
      <c r="C162" s="15">
        <v>-0.23</v>
      </c>
      <c r="D162" s="15">
        <v>451.83</v>
      </c>
      <c r="E162" s="15">
        <v>822.62</v>
      </c>
      <c r="F162" s="15">
        <v>958.46</v>
      </c>
      <c r="G162" s="16">
        <v>140.38</v>
      </c>
      <c r="H162" s="19" t="str">
        <f>TEXT(Table4_138[[#This Row],[date]], "hh:mm")</f>
        <v>20:30</v>
      </c>
      <c r="I162" s="25" t="str">
        <f t="shared" si="2"/>
        <v/>
      </c>
    </row>
    <row r="163" spans="1:9">
      <c r="A163" s="13">
        <v>45852.875</v>
      </c>
      <c r="B163" s="15">
        <v>7435.9</v>
      </c>
      <c r="C163" s="15">
        <v>-0.18</v>
      </c>
      <c r="D163" s="15">
        <v>451.83</v>
      </c>
      <c r="E163" s="15">
        <v>641.17999999999995</v>
      </c>
      <c r="F163" s="15">
        <v>938.8</v>
      </c>
      <c r="G163" s="16">
        <v>150.07</v>
      </c>
      <c r="H163" s="19" t="str">
        <f>TEXT(Table4_138[[#This Row],[date]], "hh:mm")</f>
        <v>21:00</v>
      </c>
      <c r="I163" s="25" t="str">
        <f t="shared" si="2"/>
        <v/>
      </c>
    </row>
    <row r="164" spans="1:9">
      <c r="A164" s="13">
        <v>45852.895833333336</v>
      </c>
      <c r="B164" s="15">
        <v>7432.86</v>
      </c>
      <c r="C164" s="15">
        <v>-0.37</v>
      </c>
      <c r="D164" s="15">
        <v>448.17</v>
      </c>
      <c r="E164" s="15">
        <v>359.13</v>
      </c>
      <c r="F164" s="15">
        <v>1015.38</v>
      </c>
      <c r="G164" s="16">
        <v>124.24</v>
      </c>
      <c r="H164" s="19" t="str">
        <f>TEXT(Table4_138[[#This Row],[date]], "hh:mm")</f>
        <v>21:30</v>
      </c>
      <c r="I164" s="25" t="str">
        <f t="shared" si="2"/>
        <v/>
      </c>
    </row>
    <row r="165" spans="1:9">
      <c r="A165" s="13">
        <v>45852.916666666664</v>
      </c>
      <c r="B165" s="15">
        <v>7398.19</v>
      </c>
      <c r="C165" s="15">
        <v>0.05</v>
      </c>
      <c r="D165" s="15">
        <v>449.5</v>
      </c>
      <c r="E165" s="15">
        <v>340.06</v>
      </c>
      <c r="F165" s="15">
        <v>1087.1199999999999</v>
      </c>
      <c r="G165" s="16">
        <v>100.02</v>
      </c>
      <c r="H165" s="19" t="str">
        <f>TEXT(Table4_138[[#This Row],[date]], "hh:mm")</f>
        <v>22:00</v>
      </c>
      <c r="I165" s="25" t="str">
        <f t="shared" si="2"/>
        <v/>
      </c>
    </row>
    <row r="166" spans="1:9">
      <c r="A166" s="13">
        <v>45852.9375</v>
      </c>
      <c r="B166" s="15">
        <v>7405.01</v>
      </c>
      <c r="C166" s="15">
        <v>-0.48</v>
      </c>
      <c r="D166" s="15">
        <v>450.83</v>
      </c>
      <c r="E166" s="15">
        <v>56.61</v>
      </c>
      <c r="F166" s="15">
        <v>1082.3599999999999</v>
      </c>
      <c r="G166" s="16">
        <v>110.83</v>
      </c>
      <c r="H166" s="19" t="str">
        <f>TEXT(Table4_138[[#This Row],[date]], "hh:mm")</f>
        <v>22:30</v>
      </c>
      <c r="I166" s="25" t="str">
        <f t="shared" si="2"/>
        <v/>
      </c>
    </row>
    <row r="167" spans="1:9">
      <c r="A167" s="13">
        <v>45852.958333333336</v>
      </c>
      <c r="B167" s="15">
        <v>7391.56</v>
      </c>
      <c r="C167" s="15">
        <v>-0.56000000000000005</v>
      </c>
      <c r="D167" s="15">
        <v>446.17</v>
      </c>
      <c r="E167" s="15">
        <v>44.47</v>
      </c>
      <c r="F167" s="15">
        <v>1114.56</v>
      </c>
      <c r="G167" s="16">
        <v>95.27</v>
      </c>
      <c r="H167" s="19" t="str">
        <f>TEXT(Table4_138[[#This Row],[date]], "hh:mm")</f>
        <v>23:00</v>
      </c>
      <c r="I167" s="25" t="str">
        <f t="shared" si="2"/>
        <v/>
      </c>
    </row>
    <row r="168" spans="1:9">
      <c r="A168" s="13">
        <v>45852.979166666664</v>
      </c>
      <c r="B168" s="15">
        <v>7296.79</v>
      </c>
      <c r="C168" s="15">
        <v>-0.33</v>
      </c>
      <c r="D168" s="15">
        <v>440</v>
      </c>
      <c r="E168" s="15">
        <v>44.39</v>
      </c>
      <c r="F168" s="15">
        <v>1073.1500000000001</v>
      </c>
      <c r="G168" s="16">
        <v>100.02</v>
      </c>
      <c r="H168" s="19" t="str">
        <f>TEXT(Table4_138[[#This Row],[date]], "hh:mm")</f>
        <v>23:30</v>
      </c>
      <c r="I168" s="25" t="str">
        <f t="shared" si="2"/>
        <v/>
      </c>
    </row>
    <row r="169" spans="1:9">
      <c r="A169" s="13">
        <v>45853</v>
      </c>
      <c r="B169" s="15">
        <v>7146.93</v>
      </c>
      <c r="C169" s="15">
        <v>-0.41</v>
      </c>
      <c r="D169" s="15">
        <v>308.5</v>
      </c>
      <c r="E169" s="15">
        <v>44.6</v>
      </c>
      <c r="F169" s="15">
        <v>1072.5999999999999</v>
      </c>
      <c r="G169" s="16">
        <v>85.21</v>
      </c>
      <c r="H169" s="19" t="str">
        <f>TEXT(Table4_138[[#This Row],[date]], "hh:mm")</f>
        <v>00:00</v>
      </c>
      <c r="I169" s="25" t="str">
        <f t="shared" si="2"/>
        <v>15 Jul</v>
      </c>
    </row>
    <row r="170" spans="1:9">
      <c r="A170" s="13">
        <v>45853.020833333336</v>
      </c>
      <c r="B170" s="15">
        <v>7147.07</v>
      </c>
      <c r="C170" s="15">
        <v>-0.94</v>
      </c>
      <c r="D170" s="15">
        <v>195.33</v>
      </c>
      <c r="E170" s="15">
        <v>44.65</v>
      </c>
      <c r="F170" s="15">
        <v>911.54</v>
      </c>
      <c r="G170" s="16">
        <v>85.12</v>
      </c>
      <c r="H170" s="19" t="str">
        <f>TEXT(Table4_138[[#This Row],[date]], "hh:mm")</f>
        <v>00:30</v>
      </c>
      <c r="I170" s="25" t="str">
        <f t="shared" si="2"/>
        <v/>
      </c>
    </row>
    <row r="171" spans="1:9">
      <c r="A171" s="13">
        <v>45853.041666666664</v>
      </c>
      <c r="B171" s="15">
        <v>7127.96</v>
      </c>
      <c r="C171" s="15">
        <v>-0.92</v>
      </c>
      <c r="D171" s="15">
        <v>190</v>
      </c>
      <c r="E171" s="15">
        <v>44.75</v>
      </c>
      <c r="F171" s="15">
        <v>777.82</v>
      </c>
      <c r="G171" s="16">
        <v>86.24</v>
      </c>
      <c r="H171" s="19" t="str">
        <f>TEXT(Table4_138[[#This Row],[date]], "hh:mm")</f>
        <v>01:00</v>
      </c>
      <c r="I171" s="25" t="str">
        <f t="shared" si="2"/>
        <v/>
      </c>
    </row>
    <row r="172" spans="1:9">
      <c r="A172" s="13">
        <v>45853.0625</v>
      </c>
      <c r="B172" s="15">
        <v>7094.64</v>
      </c>
      <c r="C172" s="15">
        <v>-0.83</v>
      </c>
      <c r="D172" s="15">
        <v>190.17</v>
      </c>
      <c r="E172" s="15">
        <v>44.91</v>
      </c>
      <c r="F172" s="15">
        <v>699.34</v>
      </c>
      <c r="G172" s="16">
        <v>86.45</v>
      </c>
      <c r="H172" s="19" t="str">
        <f>TEXT(Table4_138[[#This Row],[date]], "hh:mm")</f>
        <v>01:30</v>
      </c>
      <c r="I172" s="25" t="str">
        <f t="shared" si="2"/>
        <v/>
      </c>
    </row>
    <row r="173" spans="1:9">
      <c r="A173" s="13">
        <v>45853.083333333336</v>
      </c>
      <c r="B173" s="15">
        <v>6718.34</v>
      </c>
      <c r="C173" s="15">
        <v>-0.88</v>
      </c>
      <c r="D173" s="15">
        <v>190.5</v>
      </c>
      <c r="E173" s="15">
        <v>44.97</v>
      </c>
      <c r="F173" s="15">
        <v>808.09</v>
      </c>
      <c r="G173" s="16">
        <v>75.13</v>
      </c>
      <c r="H173" s="19" t="str">
        <f>TEXT(Table4_138[[#This Row],[date]], "hh:mm")</f>
        <v>02:00</v>
      </c>
      <c r="I173" s="25" t="str">
        <f t="shared" si="2"/>
        <v/>
      </c>
    </row>
    <row r="174" spans="1:9">
      <c r="A174" s="13">
        <v>45853.104166666664</v>
      </c>
      <c r="B174" s="15">
        <v>6540.19</v>
      </c>
      <c r="C174" s="15">
        <v>-0.84</v>
      </c>
      <c r="D174" s="15">
        <v>190.17</v>
      </c>
      <c r="E174" s="15">
        <v>45.02</v>
      </c>
      <c r="F174" s="15">
        <v>800.59</v>
      </c>
      <c r="G174" s="16">
        <v>76.8</v>
      </c>
      <c r="H174" s="19" t="str">
        <f>TEXT(Table4_138[[#This Row],[date]], "hh:mm")</f>
        <v>02:30</v>
      </c>
      <c r="I174" s="25" t="str">
        <f t="shared" si="2"/>
        <v/>
      </c>
    </row>
    <row r="175" spans="1:9">
      <c r="A175" s="13">
        <v>45853.125</v>
      </c>
      <c r="B175" s="15">
        <v>6419.66</v>
      </c>
      <c r="C175" s="15">
        <v>-0.62</v>
      </c>
      <c r="D175" s="15">
        <v>190.17</v>
      </c>
      <c r="E175" s="15">
        <v>44.9</v>
      </c>
      <c r="F175" s="15">
        <v>717.32</v>
      </c>
      <c r="G175" s="16">
        <v>76.8</v>
      </c>
      <c r="H175" s="19" t="str">
        <f>TEXT(Table4_138[[#This Row],[date]], "hh:mm")</f>
        <v>03:00</v>
      </c>
      <c r="I175" s="25" t="str">
        <f t="shared" si="2"/>
        <v/>
      </c>
    </row>
    <row r="176" spans="1:9">
      <c r="A176" s="13">
        <v>45853.145833333336</v>
      </c>
      <c r="B176" s="15">
        <v>6256.13</v>
      </c>
      <c r="C176" s="15">
        <v>-0.88</v>
      </c>
      <c r="D176" s="15">
        <v>190.17</v>
      </c>
      <c r="E176" s="15">
        <v>44.78</v>
      </c>
      <c r="F176" s="15">
        <v>700.78</v>
      </c>
      <c r="G176" s="16">
        <v>76.3</v>
      </c>
      <c r="H176" s="19" t="str">
        <f>TEXT(Table4_138[[#This Row],[date]], "hh:mm")</f>
        <v>03:30</v>
      </c>
      <c r="I176" s="25" t="str">
        <f t="shared" si="2"/>
        <v/>
      </c>
    </row>
    <row r="177" spans="1:9">
      <c r="A177" s="13">
        <v>45853.166666666664</v>
      </c>
      <c r="B177" s="15">
        <v>6318.02</v>
      </c>
      <c r="C177" s="15">
        <v>-0.7</v>
      </c>
      <c r="D177" s="15">
        <v>190.17</v>
      </c>
      <c r="E177" s="15">
        <v>43.49</v>
      </c>
      <c r="F177" s="15">
        <v>777.11</v>
      </c>
      <c r="G177" s="16">
        <v>76.58</v>
      </c>
      <c r="H177" s="19" t="str">
        <f>TEXT(Table4_138[[#This Row],[date]], "hh:mm")</f>
        <v>04:00</v>
      </c>
      <c r="I177" s="25" t="str">
        <f t="shared" si="2"/>
        <v/>
      </c>
    </row>
    <row r="178" spans="1:9">
      <c r="A178" s="13">
        <v>45853.1875</v>
      </c>
      <c r="B178" s="15">
        <v>6334.44</v>
      </c>
      <c r="C178" s="15">
        <v>-0.88</v>
      </c>
      <c r="D178" s="15">
        <v>190.17</v>
      </c>
      <c r="E178" s="15">
        <v>43.71</v>
      </c>
      <c r="F178" s="15">
        <v>955.64</v>
      </c>
      <c r="G178" s="16">
        <v>74.790000000000006</v>
      </c>
      <c r="H178" s="19" t="str">
        <f>TEXT(Table4_138[[#This Row],[date]], "hh:mm")</f>
        <v>04:30</v>
      </c>
      <c r="I178" s="25" t="str">
        <f t="shared" si="2"/>
        <v/>
      </c>
    </row>
    <row r="179" spans="1:9">
      <c r="A179" s="13">
        <v>45853.208333333336</v>
      </c>
      <c r="B179" s="15">
        <v>6376.07</v>
      </c>
      <c r="C179" s="15">
        <v>-0.74</v>
      </c>
      <c r="D179" s="15">
        <v>198.17</v>
      </c>
      <c r="E179" s="15">
        <v>44.22</v>
      </c>
      <c r="F179" s="15">
        <v>1134.6600000000001</v>
      </c>
      <c r="G179" s="16">
        <v>73.25</v>
      </c>
      <c r="H179" s="19" t="str">
        <f>TEXT(Table4_138[[#This Row],[date]], "hh:mm")</f>
        <v>05:00</v>
      </c>
      <c r="I179" s="25" t="str">
        <f t="shared" si="2"/>
        <v/>
      </c>
    </row>
    <row r="180" spans="1:9">
      <c r="A180" s="13">
        <v>45853.229166666664</v>
      </c>
      <c r="B180" s="15">
        <v>6874.18</v>
      </c>
      <c r="C180" s="15">
        <v>-0.11</v>
      </c>
      <c r="D180" s="15">
        <v>297.67</v>
      </c>
      <c r="E180" s="15">
        <v>44.19</v>
      </c>
      <c r="F180" s="15">
        <v>1342.23</v>
      </c>
      <c r="G180" s="16">
        <v>83.87</v>
      </c>
      <c r="H180" s="19" t="str">
        <f>TEXT(Table4_138[[#This Row],[date]], "hh:mm")</f>
        <v>05:30</v>
      </c>
      <c r="I180" s="25" t="str">
        <f t="shared" si="2"/>
        <v/>
      </c>
    </row>
    <row r="181" spans="1:9">
      <c r="A181" s="13">
        <v>45853.25</v>
      </c>
      <c r="B181" s="15">
        <v>7283</v>
      </c>
      <c r="C181" s="15">
        <v>-0.3</v>
      </c>
      <c r="D181" s="15">
        <v>306.83</v>
      </c>
      <c r="E181" s="15">
        <v>42.77</v>
      </c>
      <c r="F181" s="15">
        <v>1525.44</v>
      </c>
      <c r="G181" s="16">
        <v>90.66</v>
      </c>
      <c r="H181" s="19" t="str">
        <f>TEXT(Table4_138[[#This Row],[date]], "hh:mm")</f>
        <v>06:00</v>
      </c>
      <c r="I181" s="25" t="str">
        <f t="shared" si="2"/>
        <v/>
      </c>
    </row>
    <row r="182" spans="1:9">
      <c r="A182" s="13">
        <v>45853.270833333336</v>
      </c>
      <c r="B182" s="15">
        <v>7400.33</v>
      </c>
      <c r="C182" s="15">
        <v>-2.27</v>
      </c>
      <c r="D182" s="15">
        <v>443.83</v>
      </c>
      <c r="E182" s="15">
        <v>173.25</v>
      </c>
      <c r="F182" s="15">
        <v>1567.48</v>
      </c>
      <c r="G182" s="16">
        <v>113.84</v>
      </c>
      <c r="H182" s="19" t="str">
        <f>TEXT(Table4_138[[#This Row],[date]], "hh:mm")</f>
        <v>06:30</v>
      </c>
      <c r="I182" s="25" t="str">
        <f t="shared" si="2"/>
        <v/>
      </c>
    </row>
    <row r="183" spans="1:9">
      <c r="A183" s="13">
        <v>45853.291666666664</v>
      </c>
      <c r="B183" s="15">
        <v>7453.31</v>
      </c>
      <c r="C183" s="15">
        <v>-1.19</v>
      </c>
      <c r="D183" s="15">
        <v>450</v>
      </c>
      <c r="E183" s="15">
        <v>389.81</v>
      </c>
      <c r="F183" s="15">
        <v>1591.65</v>
      </c>
      <c r="G183" s="16">
        <v>144.66</v>
      </c>
      <c r="H183" s="19" t="str">
        <f>TEXT(Table4_138[[#This Row],[date]], "hh:mm")</f>
        <v>07:00</v>
      </c>
      <c r="I183" s="25" t="str">
        <f t="shared" si="2"/>
        <v/>
      </c>
    </row>
    <row r="184" spans="1:9">
      <c r="A184" s="13">
        <v>45853.3125</v>
      </c>
      <c r="B184" s="15">
        <v>7456.8</v>
      </c>
      <c r="C184" s="15">
        <v>-0.82</v>
      </c>
      <c r="D184" s="15">
        <v>450</v>
      </c>
      <c r="E184" s="15">
        <v>526.04999999999995</v>
      </c>
      <c r="F184" s="15">
        <v>1593.9</v>
      </c>
      <c r="G184" s="16">
        <v>130.34</v>
      </c>
      <c r="H184" s="19" t="str">
        <f>TEXT(Table4_138[[#This Row],[date]], "hh:mm")</f>
        <v>07:30</v>
      </c>
      <c r="I184" s="25" t="str">
        <f t="shared" si="2"/>
        <v/>
      </c>
    </row>
    <row r="185" spans="1:9">
      <c r="A185" s="13">
        <v>45853.333333333336</v>
      </c>
      <c r="B185" s="15">
        <v>7457.68</v>
      </c>
      <c r="C185" s="15">
        <v>-0.18</v>
      </c>
      <c r="D185" s="15">
        <v>449.67</v>
      </c>
      <c r="E185" s="15">
        <v>525.49</v>
      </c>
      <c r="F185" s="15">
        <v>1578.1</v>
      </c>
      <c r="G185" s="16">
        <v>136.08000000000001</v>
      </c>
      <c r="H185" s="19" t="str">
        <f>TEXT(Table4_138[[#This Row],[date]], "hh:mm")</f>
        <v>08:00</v>
      </c>
      <c r="I185" s="25" t="str">
        <f t="shared" si="2"/>
        <v/>
      </c>
    </row>
    <row r="186" spans="1:9">
      <c r="A186" s="13">
        <v>45853.354166666664</v>
      </c>
      <c r="B186" s="15">
        <v>7406.16</v>
      </c>
      <c r="C186" s="15">
        <v>-2.0099999999999998</v>
      </c>
      <c r="D186" s="15">
        <v>449.83</v>
      </c>
      <c r="E186" s="15">
        <v>430.01</v>
      </c>
      <c r="F186" s="15">
        <v>1422.89</v>
      </c>
      <c r="G186" s="16">
        <v>134.16999999999999</v>
      </c>
      <c r="H186" s="19" t="str">
        <f>TEXT(Table4_138[[#This Row],[date]], "hh:mm")</f>
        <v>08:30</v>
      </c>
      <c r="I186" s="25" t="str">
        <f t="shared" si="2"/>
        <v/>
      </c>
    </row>
    <row r="187" spans="1:9">
      <c r="A187" s="13">
        <v>45853.375</v>
      </c>
      <c r="B187" s="15">
        <v>7310.86</v>
      </c>
      <c r="C187" s="15">
        <v>-3.12</v>
      </c>
      <c r="D187" s="15">
        <v>442.5</v>
      </c>
      <c r="E187" s="15">
        <v>322.52999999999997</v>
      </c>
      <c r="F187" s="15">
        <v>1308.97</v>
      </c>
      <c r="G187" s="16">
        <v>134.69</v>
      </c>
      <c r="H187" s="19" t="str">
        <f>TEXT(Table4_138[[#This Row],[date]], "hh:mm")</f>
        <v>09:00</v>
      </c>
      <c r="I187" s="25" t="str">
        <f t="shared" si="2"/>
        <v/>
      </c>
    </row>
    <row r="188" spans="1:9">
      <c r="A188" s="13">
        <v>45853.395833333336</v>
      </c>
      <c r="B188" s="15">
        <v>7183.54</v>
      </c>
      <c r="C188" s="15">
        <v>4.5</v>
      </c>
      <c r="D188" s="15">
        <v>448.83</v>
      </c>
      <c r="E188" s="15">
        <v>202.9</v>
      </c>
      <c r="F188" s="15">
        <v>1227.52</v>
      </c>
      <c r="G188" s="16">
        <v>105.74</v>
      </c>
      <c r="H188" s="19" t="str">
        <f>TEXT(Table4_138[[#This Row],[date]], "hh:mm")</f>
        <v>09:30</v>
      </c>
      <c r="I188" s="25" t="str">
        <f t="shared" si="2"/>
        <v/>
      </c>
    </row>
    <row r="189" spans="1:9">
      <c r="A189" s="13">
        <v>45853.416666666664</v>
      </c>
      <c r="B189" s="15">
        <v>7298.68</v>
      </c>
      <c r="C189" s="15">
        <v>10.39</v>
      </c>
      <c r="D189" s="15">
        <v>449.67</v>
      </c>
      <c r="E189" s="15">
        <v>57.49</v>
      </c>
      <c r="F189" s="15">
        <v>1129.9100000000001</v>
      </c>
      <c r="G189" s="16">
        <v>190.2</v>
      </c>
      <c r="H189" s="19" t="str">
        <f>TEXT(Table4_138[[#This Row],[date]], "hh:mm")</f>
        <v>10:00</v>
      </c>
      <c r="I189" s="25" t="str">
        <f t="shared" si="2"/>
        <v/>
      </c>
    </row>
    <row r="190" spans="1:9">
      <c r="A190" s="13">
        <v>45853.4375</v>
      </c>
      <c r="B190" s="15">
        <v>7071.56</v>
      </c>
      <c r="C190" s="15">
        <v>13.03</v>
      </c>
      <c r="D190" s="15">
        <v>448.5</v>
      </c>
      <c r="E190" s="15">
        <v>41.71</v>
      </c>
      <c r="F190" s="15">
        <v>1128.6500000000001</v>
      </c>
      <c r="G190" s="16">
        <v>118.95</v>
      </c>
      <c r="H190" s="19" t="str">
        <f>TEXT(Table4_138[[#This Row],[date]], "hh:mm")</f>
        <v>10:30</v>
      </c>
      <c r="I190" s="25" t="str">
        <f t="shared" si="2"/>
        <v/>
      </c>
    </row>
    <row r="191" spans="1:9">
      <c r="A191" s="13">
        <v>45853.458333333336</v>
      </c>
      <c r="B191" s="15">
        <v>6796.41</v>
      </c>
      <c r="C191" s="15">
        <v>10.81</v>
      </c>
      <c r="D191" s="15">
        <v>442.17</v>
      </c>
      <c r="E191" s="15">
        <v>41.62</v>
      </c>
      <c r="F191" s="15">
        <v>1198.98</v>
      </c>
      <c r="G191" s="16">
        <v>100.48</v>
      </c>
      <c r="H191" s="19" t="str">
        <f>TEXT(Table4_138[[#This Row],[date]], "hh:mm")</f>
        <v>11:00</v>
      </c>
      <c r="I191" s="25" t="str">
        <f t="shared" si="2"/>
        <v/>
      </c>
    </row>
    <row r="192" spans="1:9">
      <c r="A192" s="13">
        <v>45853.479166666664</v>
      </c>
      <c r="B192" s="15">
        <v>6706.88</v>
      </c>
      <c r="C192" s="15">
        <v>8.76</v>
      </c>
      <c r="D192" s="15">
        <v>271.83</v>
      </c>
      <c r="E192" s="15">
        <v>41.34</v>
      </c>
      <c r="F192" s="15">
        <v>1211.49</v>
      </c>
      <c r="G192" s="16">
        <v>99.44</v>
      </c>
      <c r="H192" s="19" t="str">
        <f>TEXT(Table4_138[[#This Row],[date]], "hh:mm")</f>
        <v>11:30</v>
      </c>
      <c r="I192" s="25" t="str">
        <f t="shared" si="2"/>
        <v/>
      </c>
    </row>
    <row r="193" spans="1:9">
      <c r="A193" s="13">
        <v>45853.5</v>
      </c>
      <c r="B193" s="15">
        <v>6683.2</v>
      </c>
      <c r="C193" s="15">
        <v>10.55</v>
      </c>
      <c r="D193" s="15">
        <v>151.83000000000001</v>
      </c>
      <c r="E193" s="15">
        <v>42.69</v>
      </c>
      <c r="F193" s="15">
        <v>1184.02</v>
      </c>
      <c r="G193" s="16">
        <v>99.93</v>
      </c>
      <c r="H193" s="19" t="str">
        <f>TEXT(Table4_138[[#This Row],[date]], "hh:mm")</f>
        <v>12:00</v>
      </c>
      <c r="I193" s="25" t="str">
        <f t="shared" si="2"/>
        <v/>
      </c>
    </row>
    <row r="194" spans="1:9">
      <c r="A194" s="13">
        <v>45853.520833333336</v>
      </c>
      <c r="B194" s="15">
        <v>6809.4</v>
      </c>
      <c r="C194" s="15">
        <v>11.8</v>
      </c>
      <c r="D194" s="15">
        <v>199.17</v>
      </c>
      <c r="E194" s="15">
        <v>43.52</v>
      </c>
      <c r="F194" s="15">
        <v>1205.7</v>
      </c>
      <c r="G194" s="16">
        <v>103.73</v>
      </c>
      <c r="H194" s="19" t="str">
        <f>TEXT(Table4_138[[#This Row],[date]], "hh:mm")</f>
        <v>12:30</v>
      </c>
      <c r="I194" s="25" t="str">
        <f t="shared" ref="I194:I257" si="3">IF(AND(HOUR(A194)=0,MINUTE(A194)=0),TEXT(A194,"d mmm"),"")</f>
        <v/>
      </c>
    </row>
    <row r="195" spans="1:9">
      <c r="A195" s="13">
        <v>45853.541666666664</v>
      </c>
      <c r="B195" s="15">
        <v>6867.09</v>
      </c>
      <c r="C195" s="15">
        <v>10.96</v>
      </c>
      <c r="D195" s="15">
        <v>190.17</v>
      </c>
      <c r="E195" s="15">
        <v>43.74</v>
      </c>
      <c r="F195" s="15">
        <v>1253.3800000000001</v>
      </c>
      <c r="G195" s="16">
        <v>92.31</v>
      </c>
      <c r="H195" s="19" t="str">
        <f>TEXT(Table4_138[[#This Row],[date]], "hh:mm")</f>
        <v>13:00</v>
      </c>
      <c r="I195" s="25" t="str">
        <f t="shared" si="3"/>
        <v/>
      </c>
    </row>
    <row r="196" spans="1:9">
      <c r="A196" s="13">
        <v>45853.5625</v>
      </c>
      <c r="B196" s="15">
        <v>6861.4</v>
      </c>
      <c r="C196" s="15">
        <v>8.0399999999999991</v>
      </c>
      <c r="D196" s="15">
        <v>190</v>
      </c>
      <c r="E196" s="15">
        <v>44.38</v>
      </c>
      <c r="F196" s="15">
        <v>1200.22</v>
      </c>
      <c r="G196" s="16">
        <v>90.24</v>
      </c>
      <c r="H196" s="19" t="str">
        <f>TEXT(Table4_138[[#This Row],[date]], "hh:mm")</f>
        <v>13:30</v>
      </c>
      <c r="I196" s="25" t="str">
        <f t="shared" si="3"/>
        <v/>
      </c>
    </row>
    <row r="197" spans="1:9">
      <c r="A197" s="13">
        <v>45853.583333333336</v>
      </c>
      <c r="B197" s="15">
        <v>6880.14</v>
      </c>
      <c r="C197" s="15">
        <v>8.73</v>
      </c>
      <c r="D197" s="15">
        <v>190.17</v>
      </c>
      <c r="E197" s="15">
        <v>43.81</v>
      </c>
      <c r="F197" s="15">
        <v>1089.4000000000001</v>
      </c>
      <c r="G197" s="16">
        <v>85.68</v>
      </c>
      <c r="H197" s="19" t="str">
        <f>TEXT(Table4_138[[#This Row],[date]], "hh:mm")</f>
        <v>14:00</v>
      </c>
      <c r="I197" s="25" t="str">
        <f t="shared" si="3"/>
        <v/>
      </c>
    </row>
    <row r="198" spans="1:9">
      <c r="A198" s="13">
        <v>45853.604166666664</v>
      </c>
      <c r="B198" s="15">
        <v>6908.09</v>
      </c>
      <c r="C198" s="15">
        <v>8.48</v>
      </c>
      <c r="D198" s="15">
        <v>190.17</v>
      </c>
      <c r="E198" s="15">
        <v>44.02</v>
      </c>
      <c r="F198" s="15">
        <v>1085.81</v>
      </c>
      <c r="G198" s="16">
        <v>85.72</v>
      </c>
      <c r="H198" s="19" t="str">
        <f>TEXT(Table4_138[[#This Row],[date]], "hh:mm")</f>
        <v>14:30</v>
      </c>
      <c r="I198" s="25" t="str">
        <f t="shared" si="3"/>
        <v/>
      </c>
    </row>
    <row r="199" spans="1:9">
      <c r="A199" s="13">
        <v>45853.625</v>
      </c>
      <c r="B199" s="15">
        <v>6977.79</v>
      </c>
      <c r="C199" s="15">
        <v>8.2899999999999991</v>
      </c>
      <c r="D199" s="15">
        <v>198.17</v>
      </c>
      <c r="E199" s="15">
        <v>43.92</v>
      </c>
      <c r="F199" s="15">
        <v>1100.31</v>
      </c>
      <c r="G199" s="16">
        <v>93.83</v>
      </c>
      <c r="H199" s="19" t="str">
        <f>TEXT(Table4_138[[#This Row],[date]], "hh:mm")</f>
        <v>15:00</v>
      </c>
      <c r="I199" s="25" t="str">
        <f t="shared" si="3"/>
        <v/>
      </c>
    </row>
    <row r="200" spans="1:9">
      <c r="A200" s="13">
        <v>45853.645833333336</v>
      </c>
      <c r="B200" s="15">
        <v>7024.53</v>
      </c>
      <c r="C200" s="15">
        <v>8.23</v>
      </c>
      <c r="D200" s="15">
        <v>317.17</v>
      </c>
      <c r="E200" s="15">
        <v>43.44</v>
      </c>
      <c r="F200" s="15">
        <v>1028.5</v>
      </c>
      <c r="G200" s="16">
        <v>85.8</v>
      </c>
      <c r="H200" s="19" t="str">
        <f>TEXT(Table4_138[[#This Row],[date]], "hh:mm")</f>
        <v>15:30</v>
      </c>
      <c r="I200" s="25" t="str">
        <f t="shared" si="3"/>
        <v/>
      </c>
    </row>
    <row r="201" spans="1:9">
      <c r="A201" s="13">
        <v>45853.666666666664</v>
      </c>
      <c r="B201" s="15">
        <v>7192.34</v>
      </c>
      <c r="C201" s="15">
        <v>5.2</v>
      </c>
      <c r="D201" s="15">
        <v>447.5</v>
      </c>
      <c r="E201" s="15">
        <v>87.34</v>
      </c>
      <c r="F201" s="15">
        <v>1116.44</v>
      </c>
      <c r="G201" s="16">
        <v>122.68</v>
      </c>
      <c r="H201" s="19" t="str">
        <f>TEXT(Table4_138[[#This Row],[date]], "hh:mm")</f>
        <v>16:00</v>
      </c>
      <c r="I201" s="25" t="str">
        <f t="shared" si="3"/>
        <v/>
      </c>
    </row>
    <row r="202" spans="1:9">
      <c r="A202" s="13">
        <v>45853.6875</v>
      </c>
      <c r="B202" s="15">
        <v>7361.76</v>
      </c>
      <c r="C202" s="15">
        <v>-2.56</v>
      </c>
      <c r="D202" s="15">
        <v>450</v>
      </c>
      <c r="E202" s="15">
        <v>435.09</v>
      </c>
      <c r="F202" s="15">
        <v>1114.25</v>
      </c>
      <c r="G202" s="16">
        <v>137.57</v>
      </c>
      <c r="H202" s="19" t="str">
        <f>TEXT(Table4_138[[#This Row],[date]], "hh:mm")</f>
        <v>16:30</v>
      </c>
      <c r="I202" s="25" t="str">
        <f t="shared" si="3"/>
        <v/>
      </c>
    </row>
    <row r="203" spans="1:9">
      <c r="A203" s="13">
        <v>45853.708333333336</v>
      </c>
      <c r="B203" s="15">
        <v>7430.85</v>
      </c>
      <c r="C203" s="15">
        <v>-1.78</v>
      </c>
      <c r="D203" s="15">
        <v>449.33</v>
      </c>
      <c r="E203" s="15">
        <v>861.28</v>
      </c>
      <c r="F203" s="15">
        <v>1027.3699999999999</v>
      </c>
      <c r="G203" s="16">
        <v>175.84</v>
      </c>
      <c r="H203" s="19" t="str">
        <f>TEXT(Table4_138[[#This Row],[date]], "hh:mm")</f>
        <v>17:00</v>
      </c>
      <c r="I203" s="25" t="str">
        <f t="shared" si="3"/>
        <v/>
      </c>
    </row>
    <row r="204" spans="1:9">
      <c r="A204" s="13">
        <v>45853.729166666664</v>
      </c>
      <c r="B204" s="15">
        <v>7425.79</v>
      </c>
      <c r="C204" s="15">
        <v>-2.58</v>
      </c>
      <c r="D204" s="15">
        <v>451.67</v>
      </c>
      <c r="E204" s="15">
        <v>1037.73</v>
      </c>
      <c r="F204" s="15">
        <v>1008.6</v>
      </c>
      <c r="G204" s="16">
        <v>208.37</v>
      </c>
      <c r="H204" s="19" t="str">
        <f>TEXT(Table4_138[[#This Row],[date]], "hh:mm")</f>
        <v>17:30</v>
      </c>
      <c r="I204" s="25" t="str">
        <f t="shared" si="3"/>
        <v/>
      </c>
    </row>
    <row r="205" spans="1:9">
      <c r="A205" s="13">
        <v>45853.75</v>
      </c>
      <c r="B205" s="15">
        <v>7285.92</v>
      </c>
      <c r="C205" s="15">
        <v>-2.46</v>
      </c>
      <c r="D205" s="15">
        <v>450.33</v>
      </c>
      <c r="E205" s="15">
        <v>1035.6199999999999</v>
      </c>
      <c r="F205" s="15">
        <v>1065.6500000000001</v>
      </c>
      <c r="G205" s="16">
        <v>269.77999999999997</v>
      </c>
      <c r="H205" s="19" t="str">
        <f>TEXT(Table4_138[[#This Row],[date]], "hh:mm")</f>
        <v>18:00</v>
      </c>
      <c r="I205" s="25" t="str">
        <f t="shared" si="3"/>
        <v/>
      </c>
    </row>
    <row r="206" spans="1:9">
      <c r="A206" s="13">
        <v>45853.770833333336</v>
      </c>
      <c r="B206" s="15">
        <v>7043.9</v>
      </c>
      <c r="C206" s="15">
        <v>-1.97</v>
      </c>
      <c r="D206" s="15">
        <v>451.83</v>
      </c>
      <c r="E206" s="15">
        <v>1038.24</v>
      </c>
      <c r="F206" s="15">
        <v>1164.3399999999999</v>
      </c>
      <c r="G206" s="16">
        <v>203.88</v>
      </c>
      <c r="H206" s="19" t="str">
        <f>TEXT(Table4_138[[#This Row],[date]], "hh:mm")</f>
        <v>18:30</v>
      </c>
      <c r="I206" s="25" t="str">
        <f t="shared" si="3"/>
        <v/>
      </c>
    </row>
    <row r="207" spans="1:9">
      <c r="A207" s="13">
        <v>45853.791666666664</v>
      </c>
      <c r="B207" s="15">
        <v>7031.93</v>
      </c>
      <c r="C207" s="15">
        <v>-2.2599999999999998</v>
      </c>
      <c r="D207" s="15">
        <v>450.83</v>
      </c>
      <c r="E207" s="15">
        <v>1037.17</v>
      </c>
      <c r="F207" s="15">
        <v>1239.46</v>
      </c>
      <c r="G207" s="16">
        <v>153.72</v>
      </c>
      <c r="H207" s="19" t="str">
        <f>TEXT(Table4_138[[#This Row],[date]], "hh:mm")</f>
        <v>19:00</v>
      </c>
      <c r="I207" s="25" t="str">
        <f t="shared" si="3"/>
        <v/>
      </c>
    </row>
    <row r="208" spans="1:9">
      <c r="A208" s="13">
        <v>45853.8125</v>
      </c>
      <c r="B208" s="15">
        <v>7010.03</v>
      </c>
      <c r="C208" s="15">
        <v>-1.56</v>
      </c>
      <c r="D208" s="15">
        <v>450.83</v>
      </c>
      <c r="E208" s="15">
        <v>1036</v>
      </c>
      <c r="F208" s="15">
        <v>1337.7</v>
      </c>
      <c r="G208" s="16">
        <v>193.27</v>
      </c>
      <c r="H208" s="19" t="str">
        <f>TEXT(Table4_138[[#This Row],[date]], "hh:mm")</f>
        <v>19:30</v>
      </c>
      <c r="I208" s="25" t="str">
        <f t="shared" si="3"/>
        <v/>
      </c>
    </row>
    <row r="209" spans="1:9">
      <c r="A209" s="13">
        <v>45853.833333333336</v>
      </c>
      <c r="B209" s="15">
        <v>6974.25</v>
      </c>
      <c r="C209" s="15">
        <v>-2.63</v>
      </c>
      <c r="D209" s="15">
        <v>453</v>
      </c>
      <c r="E209" s="15">
        <v>1028.56</v>
      </c>
      <c r="F209" s="15">
        <v>1383.15</v>
      </c>
      <c r="G209" s="16">
        <v>146.05000000000001</v>
      </c>
      <c r="H209" s="19" t="str">
        <f>TEXT(Table4_138[[#This Row],[date]], "hh:mm")</f>
        <v>20:00</v>
      </c>
      <c r="I209" s="25" t="str">
        <f t="shared" si="3"/>
        <v/>
      </c>
    </row>
    <row r="210" spans="1:9">
      <c r="A210" s="13">
        <v>45853.854166666664</v>
      </c>
      <c r="B210" s="15">
        <v>7001.03</v>
      </c>
      <c r="C210" s="15">
        <v>-2.11</v>
      </c>
      <c r="D210" s="15">
        <v>454.33</v>
      </c>
      <c r="E210" s="15">
        <v>1028.19</v>
      </c>
      <c r="F210" s="15">
        <v>1214.76</v>
      </c>
      <c r="G210" s="16">
        <v>128.78</v>
      </c>
      <c r="H210" s="19" t="str">
        <f>TEXT(Table4_138[[#This Row],[date]], "hh:mm")</f>
        <v>20:30</v>
      </c>
      <c r="I210" s="25" t="str">
        <f t="shared" si="3"/>
        <v/>
      </c>
    </row>
    <row r="211" spans="1:9">
      <c r="A211" s="13">
        <v>45853.875</v>
      </c>
      <c r="B211" s="15">
        <v>6981.95</v>
      </c>
      <c r="C211" s="15">
        <v>-2.66</v>
      </c>
      <c r="D211" s="15">
        <v>454.33</v>
      </c>
      <c r="E211" s="15">
        <v>998.64</v>
      </c>
      <c r="F211" s="15">
        <v>1100</v>
      </c>
      <c r="G211" s="16">
        <v>153.12</v>
      </c>
      <c r="H211" s="19" t="str">
        <f>TEXT(Table4_138[[#This Row],[date]], "hh:mm")</f>
        <v>21:00</v>
      </c>
      <c r="I211" s="25" t="str">
        <f t="shared" si="3"/>
        <v/>
      </c>
    </row>
    <row r="212" spans="1:9">
      <c r="A212" s="13">
        <v>45853.895833333336</v>
      </c>
      <c r="B212" s="15">
        <v>6969.56</v>
      </c>
      <c r="C212" s="15">
        <v>-2.46</v>
      </c>
      <c r="D212" s="15">
        <v>453</v>
      </c>
      <c r="E212" s="15">
        <v>656.22</v>
      </c>
      <c r="F212" s="15">
        <v>983.93</v>
      </c>
      <c r="G212" s="16">
        <v>163.04</v>
      </c>
      <c r="H212" s="19" t="str">
        <f>TEXT(Table4_138[[#This Row],[date]], "hh:mm")</f>
        <v>21:30</v>
      </c>
      <c r="I212" s="25" t="str">
        <f t="shared" si="3"/>
        <v/>
      </c>
    </row>
    <row r="213" spans="1:9">
      <c r="A213" s="13">
        <v>45853.916666666664</v>
      </c>
      <c r="B213" s="15">
        <v>6924.38</v>
      </c>
      <c r="C213" s="15">
        <v>-1.59</v>
      </c>
      <c r="D213" s="15">
        <v>430.83</v>
      </c>
      <c r="E213" s="15">
        <v>551.91999999999996</v>
      </c>
      <c r="F213" s="15">
        <v>917.71</v>
      </c>
      <c r="G213" s="16">
        <v>119.99</v>
      </c>
      <c r="H213" s="19" t="str">
        <f>TEXT(Table4_138[[#This Row],[date]], "hh:mm")</f>
        <v>22:00</v>
      </c>
      <c r="I213" s="25" t="str">
        <f t="shared" si="3"/>
        <v/>
      </c>
    </row>
    <row r="214" spans="1:9">
      <c r="A214" s="13">
        <v>45853.9375</v>
      </c>
      <c r="B214" s="15">
        <v>6895.02</v>
      </c>
      <c r="C214" s="15">
        <v>-2.08</v>
      </c>
      <c r="D214" s="15">
        <v>455</v>
      </c>
      <c r="E214" s="15">
        <v>334.57</v>
      </c>
      <c r="F214" s="15">
        <v>828.47</v>
      </c>
      <c r="G214" s="16">
        <v>158.80000000000001</v>
      </c>
      <c r="H214" s="19" t="str">
        <f>TEXT(Table4_138[[#This Row],[date]], "hh:mm")</f>
        <v>22:30</v>
      </c>
      <c r="I214" s="25" t="str">
        <f t="shared" si="3"/>
        <v/>
      </c>
    </row>
    <row r="215" spans="1:9">
      <c r="A215" s="13">
        <v>45853.958333333336</v>
      </c>
      <c r="B215" s="15">
        <v>6891.76</v>
      </c>
      <c r="C215" s="15">
        <v>-1.45</v>
      </c>
      <c r="D215" s="15">
        <v>422.83</v>
      </c>
      <c r="E215" s="15">
        <v>67.81</v>
      </c>
      <c r="F215" s="15">
        <v>879.75</v>
      </c>
      <c r="G215" s="16">
        <v>142</v>
      </c>
      <c r="H215" s="19" t="str">
        <f>TEXT(Table4_138[[#This Row],[date]], "hh:mm")</f>
        <v>23:00</v>
      </c>
      <c r="I215" s="25" t="str">
        <f t="shared" si="3"/>
        <v/>
      </c>
    </row>
    <row r="216" spans="1:9">
      <c r="A216" s="13">
        <v>45853.979166666664</v>
      </c>
      <c r="B216" s="15">
        <v>6848.61</v>
      </c>
      <c r="C216" s="15">
        <v>-2.06</v>
      </c>
      <c r="D216" s="15">
        <v>302.17</v>
      </c>
      <c r="E216" s="15">
        <v>45.33</v>
      </c>
      <c r="F216" s="15">
        <v>979.2</v>
      </c>
      <c r="G216" s="16">
        <v>87.28</v>
      </c>
      <c r="H216" s="19" t="str">
        <f>TEXT(Table4_138[[#This Row],[date]], "hh:mm")</f>
        <v>23:30</v>
      </c>
      <c r="I216" s="25" t="str">
        <f t="shared" si="3"/>
        <v/>
      </c>
    </row>
    <row r="217" spans="1:9">
      <c r="A217" s="13">
        <v>45854</v>
      </c>
      <c r="B217" s="15">
        <v>6764.92</v>
      </c>
      <c r="C217" s="15">
        <v>-2.4500000000000002</v>
      </c>
      <c r="D217" s="15">
        <v>291</v>
      </c>
      <c r="E217" s="15">
        <v>45.1</v>
      </c>
      <c r="F217" s="15">
        <v>933.73</v>
      </c>
      <c r="G217" s="16">
        <v>80.03</v>
      </c>
      <c r="H217" s="19" t="str">
        <f>TEXT(Table4_138[[#This Row],[date]], "hh:mm")</f>
        <v>00:00</v>
      </c>
      <c r="I217" s="25" t="str">
        <f t="shared" si="3"/>
        <v>16 Jul</v>
      </c>
    </row>
    <row r="218" spans="1:9">
      <c r="A218" s="13">
        <v>45854.020833333336</v>
      </c>
      <c r="B218" s="15">
        <v>6589.13</v>
      </c>
      <c r="C218" s="15">
        <v>-0.92</v>
      </c>
      <c r="D218" s="15">
        <v>194</v>
      </c>
      <c r="E218" s="15">
        <v>44.54</v>
      </c>
      <c r="F218" s="15">
        <v>954.46</v>
      </c>
      <c r="G218" s="16">
        <v>83.72</v>
      </c>
      <c r="H218" s="19" t="str">
        <f>TEXT(Table4_138[[#This Row],[date]], "hh:mm")</f>
        <v>00:30</v>
      </c>
      <c r="I218" s="25" t="str">
        <f t="shared" si="3"/>
        <v/>
      </c>
    </row>
    <row r="219" spans="1:9">
      <c r="A219" s="13">
        <v>45854.041666666664</v>
      </c>
      <c r="B219" s="15">
        <v>6365.28</v>
      </c>
      <c r="C219" s="15">
        <v>-0.75</v>
      </c>
      <c r="D219" s="15">
        <v>190</v>
      </c>
      <c r="E219" s="15">
        <v>44.21</v>
      </c>
      <c r="F219" s="15">
        <v>985.39</v>
      </c>
      <c r="G219" s="16">
        <v>75.25</v>
      </c>
      <c r="H219" s="19" t="str">
        <f>TEXT(Table4_138[[#This Row],[date]], "hh:mm")</f>
        <v>01:00</v>
      </c>
      <c r="I219" s="25" t="str">
        <f t="shared" si="3"/>
        <v/>
      </c>
    </row>
    <row r="220" spans="1:9">
      <c r="A220" s="13">
        <v>45854.0625</v>
      </c>
      <c r="B220" s="15">
        <v>6234.07</v>
      </c>
      <c r="C220" s="15">
        <v>-2.37</v>
      </c>
      <c r="D220" s="15">
        <v>189.83</v>
      </c>
      <c r="E220" s="15">
        <v>42.96</v>
      </c>
      <c r="F220" s="15">
        <v>1041.4000000000001</v>
      </c>
      <c r="G220" s="16">
        <v>76.58</v>
      </c>
      <c r="H220" s="19" t="str">
        <f>TEXT(Table4_138[[#This Row],[date]], "hh:mm")</f>
        <v>01:30</v>
      </c>
      <c r="I220" s="25" t="str">
        <f t="shared" si="3"/>
        <v/>
      </c>
    </row>
    <row r="221" spans="1:9">
      <c r="A221" s="13">
        <v>45854.083333333336</v>
      </c>
      <c r="B221" s="15">
        <v>6096.22</v>
      </c>
      <c r="C221" s="15">
        <v>-4.2699999999999996</v>
      </c>
      <c r="D221" s="15">
        <v>190</v>
      </c>
      <c r="E221" s="15">
        <v>43</v>
      </c>
      <c r="F221" s="15">
        <v>1014.4</v>
      </c>
      <c r="G221" s="16">
        <v>60.26</v>
      </c>
      <c r="H221" s="19" t="str">
        <f>TEXT(Table4_138[[#This Row],[date]], "hh:mm")</f>
        <v>02:00</v>
      </c>
      <c r="I221" s="25" t="str">
        <f t="shared" si="3"/>
        <v/>
      </c>
    </row>
    <row r="222" spans="1:9">
      <c r="A222" s="13">
        <v>45854.104166666664</v>
      </c>
      <c r="B222" s="15">
        <v>6098.62</v>
      </c>
      <c r="C222" s="15">
        <v>-4.49</v>
      </c>
      <c r="D222" s="15">
        <v>190.33</v>
      </c>
      <c r="E222" s="15">
        <v>43.36</v>
      </c>
      <c r="F222" s="15">
        <v>918.22</v>
      </c>
      <c r="G222" s="16">
        <v>76.8</v>
      </c>
      <c r="H222" s="19" t="str">
        <f>TEXT(Table4_138[[#This Row],[date]], "hh:mm")</f>
        <v>02:30</v>
      </c>
      <c r="I222" s="25" t="str">
        <f t="shared" si="3"/>
        <v/>
      </c>
    </row>
    <row r="223" spans="1:9">
      <c r="A223" s="13">
        <v>45854.125</v>
      </c>
      <c r="B223" s="15">
        <v>5986.73</v>
      </c>
      <c r="C223" s="15">
        <v>-4.3600000000000003</v>
      </c>
      <c r="D223" s="15">
        <v>190</v>
      </c>
      <c r="E223" s="15">
        <v>43.2</v>
      </c>
      <c r="F223" s="15">
        <v>822.27</v>
      </c>
      <c r="G223" s="16">
        <v>76.8</v>
      </c>
      <c r="H223" s="19" t="str">
        <f>TEXT(Table4_138[[#This Row],[date]], "hh:mm")</f>
        <v>03:00</v>
      </c>
      <c r="I223" s="25" t="str">
        <f t="shared" si="3"/>
        <v/>
      </c>
    </row>
    <row r="224" spans="1:9">
      <c r="A224" s="13">
        <v>45854.145833333336</v>
      </c>
      <c r="B224" s="15">
        <v>5813.57</v>
      </c>
      <c r="C224" s="15">
        <v>-4.25</v>
      </c>
      <c r="D224" s="15">
        <v>190</v>
      </c>
      <c r="E224" s="15">
        <v>43.31</v>
      </c>
      <c r="F224" s="15">
        <v>831.72</v>
      </c>
      <c r="G224" s="16">
        <v>64.89</v>
      </c>
      <c r="H224" s="19" t="str">
        <f>TEXT(Table4_138[[#This Row],[date]], "hh:mm")</f>
        <v>03:30</v>
      </c>
      <c r="I224" s="25" t="str">
        <f t="shared" si="3"/>
        <v/>
      </c>
    </row>
    <row r="225" spans="1:9">
      <c r="A225" s="13">
        <v>45854.166666666664</v>
      </c>
      <c r="B225" s="15">
        <v>5836.79</v>
      </c>
      <c r="C225" s="15">
        <v>5.95</v>
      </c>
      <c r="D225" s="15">
        <v>190.33</v>
      </c>
      <c r="E225" s="15">
        <v>42.78</v>
      </c>
      <c r="F225" s="15">
        <v>880.97</v>
      </c>
      <c r="G225" s="16">
        <v>77.97</v>
      </c>
      <c r="H225" s="19" t="str">
        <f>TEXT(Table4_138[[#This Row],[date]], "hh:mm")</f>
        <v>04:00</v>
      </c>
      <c r="I225" s="25" t="str">
        <f t="shared" si="3"/>
        <v/>
      </c>
    </row>
    <row r="226" spans="1:9">
      <c r="A226" s="13">
        <v>45854.1875</v>
      </c>
      <c r="B226" s="15">
        <v>5783.17</v>
      </c>
      <c r="C226" s="15">
        <v>21.02</v>
      </c>
      <c r="D226" s="15">
        <v>189.83</v>
      </c>
      <c r="E226" s="15">
        <v>42.48</v>
      </c>
      <c r="F226" s="15">
        <v>947.86</v>
      </c>
      <c r="G226" s="16">
        <v>76.58</v>
      </c>
      <c r="H226" s="19" t="str">
        <f>TEXT(Table4_138[[#This Row],[date]], "hh:mm")</f>
        <v>04:30</v>
      </c>
      <c r="I226" s="25" t="str">
        <f t="shared" si="3"/>
        <v/>
      </c>
    </row>
    <row r="227" spans="1:9">
      <c r="A227" s="13">
        <v>45854.208333333336</v>
      </c>
      <c r="B227" s="15">
        <v>5928.17</v>
      </c>
      <c r="C227" s="15">
        <v>20.59</v>
      </c>
      <c r="D227" s="15">
        <v>190.33</v>
      </c>
      <c r="E227" s="15">
        <v>41.28</v>
      </c>
      <c r="F227" s="15">
        <v>980.55</v>
      </c>
      <c r="G227" s="16">
        <v>76.58</v>
      </c>
      <c r="H227" s="19" t="str">
        <f>TEXT(Table4_138[[#This Row],[date]], "hh:mm")</f>
        <v>05:00</v>
      </c>
      <c r="I227" s="25" t="str">
        <f t="shared" si="3"/>
        <v/>
      </c>
    </row>
    <row r="228" spans="1:9">
      <c r="A228" s="13">
        <v>45854.229166666664</v>
      </c>
      <c r="B228" s="15">
        <v>6183.11</v>
      </c>
      <c r="C228" s="15">
        <v>20.440000000000001</v>
      </c>
      <c r="D228" s="15">
        <v>198.33</v>
      </c>
      <c r="E228" s="15">
        <v>40.58</v>
      </c>
      <c r="F228" s="15">
        <v>995.76</v>
      </c>
      <c r="G228" s="16">
        <v>80.010000000000005</v>
      </c>
      <c r="H228" s="19" t="str">
        <f>TEXT(Table4_138[[#This Row],[date]], "hh:mm")</f>
        <v>05:30</v>
      </c>
      <c r="I228" s="25" t="str">
        <f t="shared" si="3"/>
        <v/>
      </c>
    </row>
    <row r="229" spans="1:9">
      <c r="A229" s="13">
        <v>45854.25</v>
      </c>
      <c r="B229" s="15">
        <v>6584.98</v>
      </c>
      <c r="C229" s="15">
        <v>21.97</v>
      </c>
      <c r="D229" s="15">
        <v>400.33</v>
      </c>
      <c r="E229" s="15">
        <v>62.36</v>
      </c>
      <c r="F229" s="15">
        <v>991.43</v>
      </c>
      <c r="G229" s="16">
        <v>118.95</v>
      </c>
      <c r="H229" s="19" t="str">
        <f>TEXT(Table4_138[[#This Row],[date]], "hh:mm")</f>
        <v>06:00</v>
      </c>
      <c r="I229" s="25" t="str">
        <f t="shared" si="3"/>
        <v/>
      </c>
    </row>
    <row r="230" spans="1:9">
      <c r="A230" s="13">
        <v>45854.270833333336</v>
      </c>
      <c r="B230" s="15">
        <v>6800.91</v>
      </c>
      <c r="C230" s="15">
        <v>22.15</v>
      </c>
      <c r="D230" s="15">
        <v>450.5</v>
      </c>
      <c r="E230" s="15">
        <v>353.98</v>
      </c>
      <c r="F230" s="15">
        <v>984.67</v>
      </c>
      <c r="G230" s="16">
        <v>120.01</v>
      </c>
      <c r="H230" s="19" t="str">
        <f>TEXT(Table4_138[[#This Row],[date]], "hh:mm")</f>
        <v>06:30</v>
      </c>
      <c r="I230" s="25" t="str">
        <f t="shared" si="3"/>
        <v/>
      </c>
    </row>
    <row r="231" spans="1:9">
      <c r="A231" s="13">
        <v>45854.291666666664</v>
      </c>
      <c r="B231" s="15">
        <v>6816.89</v>
      </c>
      <c r="C231" s="15">
        <v>23.93</v>
      </c>
      <c r="D231" s="15">
        <v>451</v>
      </c>
      <c r="E231" s="15">
        <v>795.02</v>
      </c>
      <c r="F231" s="15">
        <v>904.96</v>
      </c>
      <c r="G231" s="16">
        <v>150.07</v>
      </c>
      <c r="H231" s="19" t="str">
        <f>TEXT(Table4_138[[#This Row],[date]], "hh:mm")</f>
        <v>07:00</v>
      </c>
      <c r="I231" s="25" t="str">
        <f t="shared" si="3"/>
        <v/>
      </c>
    </row>
    <row r="232" spans="1:9">
      <c r="A232" s="13">
        <v>45854.3125</v>
      </c>
      <c r="B232" s="15">
        <v>6875.66</v>
      </c>
      <c r="C232" s="15">
        <v>26.83</v>
      </c>
      <c r="D232" s="15">
        <v>451.5</v>
      </c>
      <c r="E232" s="15">
        <v>871.8</v>
      </c>
      <c r="F232" s="15">
        <v>842.58</v>
      </c>
      <c r="G232" s="16">
        <v>176.21</v>
      </c>
      <c r="H232" s="19" t="str">
        <f>TEXT(Table4_138[[#This Row],[date]], "hh:mm")</f>
        <v>07:30</v>
      </c>
      <c r="I232" s="25" t="str">
        <f t="shared" si="3"/>
        <v/>
      </c>
    </row>
    <row r="233" spans="1:9">
      <c r="A233" s="13">
        <v>45854.333333333336</v>
      </c>
      <c r="B233" s="15">
        <v>6884.99</v>
      </c>
      <c r="C233" s="15">
        <v>28.03</v>
      </c>
      <c r="D233" s="15">
        <v>451.33</v>
      </c>
      <c r="E233" s="15">
        <v>852.25</v>
      </c>
      <c r="F233" s="15">
        <v>786.68</v>
      </c>
      <c r="G233" s="16">
        <v>143.37</v>
      </c>
      <c r="H233" s="19" t="str">
        <f>TEXT(Table4_138[[#This Row],[date]], "hh:mm")</f>
        <v>08:00</v>
      </c>
      <c r="I233" s="25" t="str">
        <f t="shared" si="3"/>
        <v/>
      </c>
    </row>
    <row r="234" spans="1:9">
      <c r="A234" s="13">
        <v>45854.354166666664</v>
      </c>
      <c r="B234" s="15">
        <v>6740.14</v>
      </c>
      <c r="C234" s="15">
        <v>28.17</v>
      </c>
      <c r="D234" s="15">
        <v>380.33</v>
      </c>
      <c r="E234" s="15">
        <v>609.87</v>
      </c>
      <c r="F234" s="15">
        <v>728.07</v>
      </c>
      <c r="G234" s="16">
        <v>134.05000000000001</v>
      </c>
      <c r="H234" s="19" t="str">
        <f>TEXT(Table4_138[[#This Row],[date]], "hh:mm")</f>
        <v>08:30</v>
      </c>
      <c r="I234" s="25" t="str">
        <f t="shared" si="3"/>
        <v/>
      </c>
    </row>
    <row r="235" spans="1:9">
      <c r="A235" s="13">
        <v>45854.375</v>
      </c>
      <c r="B235" s="15">
        <v>6353.45</v>
      </c>
      <c r="C235" s="15">
        <v>26.62</v>
      </c>
      <c r="D235" s="15">
        <v>120.67</v>
      </c>
      <c r="E235" s="15">
        <v>370.52</v>
      </c>
      <c r="F235" s="15">
        <v>577.47</v>
      </c>
      <c r="G235" s="16">
        <v>76.8</v>
      </c>
      <c r="H235" s="19" t="str">
        <f>TEXT(Table4_138[[#This Row],[date]], "hh:mm")</f>
        <v>09:00</v>
      </c>
      <c r="I235" s="25" t="str">
        <f t="shared" si="3"/>
        <v/>
      </c>
    </row>
    <row r="236" spans="1:9">
      <c r="A236" s="13">
        <v>45854.395833333336</v>
      </c>
      <c r="B236" s="15">
        <v>6027.26</v>
      </c>
      <c r="C236" s="15">
        <v>7.14</v>
      </c>
      <c r="D236" s="15">
        <v>0</v>
      </c>
      <c r="E236" s="15">
        <v>71.680000000000007</v>
      </c>
      <c r="F236" s="15">
        <v>520.59</v>
      </c>
      <c r="G236" s="16">
        <v>63.76</v>
      </c>
      <c r="H236" s="19" t="str">
        <f>TEXT(Table4_138[[#This Row],[date]], "hh:mm")</f>
        <v>09:30</v>
      </c>
      <c r="I236" s="25" t="str">
        <f t="shared" si="3"/>
        <v/>
      </c>
    </row>
    <row r="237" spans="1:9">
      <c r="A237" s="13">
        <v>45854.416666666664</v>
      </c>
      <c r="B237" s="15">
        <v>5381.56</v>
      </c>
      <c r="C237" s="15">
        <v>-0.23</v>
      </c>
      <c r="D237" s="15">
        <v>0</v>
      </c>
      <c r="E237" s="15">
        <v>36.799999999999997</v>
      </c>
      <c r="F237" s="15">
        <v>506.81</v>
      </c>
      <c r="G237" s="16">
        <v>-0.01</v>
      </c>
      <c r="H237" s="19" t="str">
        <f>TEXT(Table4_138[[#This Row],[date]], "hh:mm")</f>
        <v>10:00</v>
      </c>
      <c r="I237" s="25" t="str">
        <f t="shared" si="3"/>
        <v/>
      </c>
    </row>
    <row r="238" spans="1:9">
      <c r="A238" s="13">
        <v>45854.4375</v>
      </c>
      <c r="B238" s="15">
        <v>4791.59</v>
      </c>
      <c r="C238" s="15">
        <v>-0.13</v>
      </c>
      <c r="D238" s="15">
        <v>0</v>
      </c>
      <c r="E238" s="15">
        <v>36.56</v>
      </c>
      <c r="F238" s="15">
        <v>457.49</v>
      </c>
      <c r="G238" s="16">
        <v>56.98</v>
      </c>
      <c r="H238" s="19" t="str">
        <f>TEXT(Table4_138[[#This Row],[date]], "hh:mm")</f>
        <v>10:30</v>
      </c>
      <c r="I238" s="25" t="str">
        <f t="shared" si="3"/>
        <v/>
      </c>
    </row>
    <row r="239" spans="1:9">
      <c r="A239" s="13">
        <v>45854.458333333336</v>
      </c>
      <c r="B239" s="15">
        <v>4094.45</v>
      </c>
      <c r="C239" s="15">
        <v>-0.03</v>
      </c>
      <c r="D239" s="15">
        <v>0</v>
      </c>
      <c r="E239" s="15">
        <v>36.17</v>
      </c>
      <c r="F239" s="15">
        <v>466.01</v>
      </c>
      <c r="G239" s="16">
        <v>-14.01</v>
      </c>
      <c r="H239" s="19" t="str">
        <f>TEXT(Table4_138[[#This Row],[date]], "hh:mm")</f>
        <v>11:00</v>
      </c>
      <c r="I239" s="25" t="str">
        <f t="shared" si="3"/>
        <v/>
      </c>
    </row>
    <row r="240" spans="1:9">
      <c r="A240" s="13">
        <v>45854.479166666664</v>
      </c>
      <c r="B240" s="15">
        <v>3594.12</v>
      </c>
      <c r="C240" s="15">
        <v>-0.05</v>
      </c>
      <c r="D240" s="15">
        <v>0</v>
      </c>
      <c r="E240" s="15">
        <v>35.770000000000003</v>
      </c>
      <c r="F240" s="15">
        <v>437.97</v>
      </c>
      <c r="G240" s="16">
        <v>35.880000000000003</v>
      </c>
      <c r="H240" s="19" t="str">
        <f>TEXT(Table4_138[[#This Row],[date]], "hh:mm")</f>
        <v>11:30</v>
      </c>
      <c r="I240" s="25" t="str">
        <f t="shared" si="3"/>
        <v/>
      </c>
    </row>
    <row r="241" spans="1:9">
      <c r="A241" s="13">
        <v>45854.5</v>
      </c>
      <c r="B241" s="15">
        <v>3480.66</v>
      </c>
      <c r="C241" s="15">
        <v>-0.81</v>
      </c>
      <c r="D241" s="15">
        <v>0</v>
      </c>
      <c r="E241" s="15">
        <v>35.65</v>
      </c>
      <c r="F241" s="15">
        <v>394.03</v>
      </c>
      <c r="G241" s="16">
        <v>-9.5</v>
      </c>
      <c r="H241" s="19" t="str">
        <f>TEXT(Table4_138[[#This Row],[date]], "hh:mm")</f>
        <v>12:00</v>
      </c>
      <c r="I241" s="25" t="str">
        <f t="shared" si="3"/>
        <v/>
      </c>
    </row>
    <row r="242" spans="1:9">
      <c r="A242" s="13">
        <v>45854.520833333336</v>
      </c>
      <c r="B242" s="15">
        <v>3401.49</v>
      </c>
      <c r="C242" s="15">
        <v>-0.89</v>
      </c>
      <c r="D242" s="15">
        <v>0</v>
      </c>
      <c r="E242" s="15">
        <v>36.44</v>
      </c>
      <c r="F242" s="15">
        <v>418.58</v>
      </c>
      <c r="G242" s="16">
        <v>56.98</v>
      </c>
      <c r="H242" s="19" t="str">
        <f>TEXT(Table4_138[[#This Row],[date]], "hh:mm")</f>
        <v>12:30</v>
      </c>
      <c r="I242" s="25" t="str">
        <f t="shared" si="3"/>
        <v/>
      </c>
    </row>
    <row r="243" spans="1:9">
      <c r="A243" s="13">
        <v>45854.541666666664</v>
      </c>
      <c r="B243" s="15">
        <v>3382.89</v>
      </c>
      <c r="C243" s="15">
        <v>5.98</v>
      </c>
      <c r="D243" s="15">
        <v>0</v>
      </c>
      <c r="E243" s="15">
        <v>37.31</v>
      </c>
      <c r="F243" s="15">
        <v>507.13</v>
      </c>
      <c r="G243" s="16">
        <v>-14.99</v>
      </c>
      <c r="H243" s="19" t="str">
        <f>TEXT(Table4_138[[#This Row],[date]], "hh:mm")</f>
        <v>13:00</v>
      </c>
      <c r="I243" s="25" t="str">
        <f t="shared" si="3"/>
        <v/>
      </c>
    </row>
    <row r="244" spans="1:9">
      <c r="A244" s="13">
        <v>45854.5625</v>
      </c>
      <c r="B244" s="15">
        <v>3391.47</v>
      </c>
      <c r="C244" s="15">
        <v>17.32</v>
      </c>
      <c r="D244" s="15">
        <v>0</v>
      </c>
      <c r="E244" s="15">
        <v>36.93</v>
      </c>
      <c r="F244" s="15">
        <v>550.49</v>
      </c>
      <c r="G244" s="16">
        <v>-18</v>
      </c>
      <c r="H244" s="19" t="str">
        <f>TEXT(Table4_138[[#This Row],[date]], "hh:mm")</f>
        <v>13:30</v>
      </c>
      <c r="I244" s="25" t="str">
        <f t="shared" si="3"/>
        <v/>
      </c>
    </row>
    <row r="245" spans="1:9">
      <c r="A245" s="13">
        <v>45854.583333333336</v>
      </c>
      <c r="B245" s="15">
        <v>3393.65</v>
      </c>
      <c r="C245" s="15">
        <v>16.13</v>
      </c>
      <c r="D245" s="15">
        <v>0</v>
      </c>
      <c r="E245" s="15">
        <v>36.880000000000003</v>
      </c>
      <c r="F245" s="15">
        <v>618.38</v>
      </c>
      <c r="G245" s="16">
        <v>-9.5</v>
      </c>
      <c r="H245" s="19" t="str">
        <f>TEXT(Table4_138[[#This Row],[date]], "hh:mm")</f>
        <v>14:00</v>
      </c>
      <c r="I245" s="25" t="str">
        <f t="shared" si="3"/>
        <v/>
      </c>
    </row>
    <row r="246" spans="1:9">
      <c r="A246" s="13">
        <v>45854.604166666664</v>
      </c>
      <c r="B246" s="15">
        <v>3576.46</v>
      </c>
      <c r="C246" s="15">
        <v>14.86</v>
      </c>
      <c r="D246" s="15">
        <v>0</v>
      </c>
      <c r="E246" s="15">
        <v>37.08</v>
      </c>
      <c r="F246" s="15">
        <v>660.47</v>
      </c>
      <c r="G246" s="16">
        <v>-14.99</v>
      </c>
      <c r="H246" s="19" t="str">
        <f>TEXT(Table4_138[[#This Row],[date]], "hh:mm")</f>
        <v>14:30</v>
      </c>
      <c r="I246" s="25" t="str">
        <f t="shared" si="3"/>
        <v/>
      </c>
    </row>
    <row r="247" spans="1:9">
      <c r="A247" s="13">
        <v>45854.625</v>
      </c>
      <c r="B247" s="15">
        <v>3890.8</v>
      </c>
      <c r="C247" s="15">
        <v>14.82</v>
      </c>
      <c r="D247" s="15">
        <v>3.83</v>
      </c>
      <c r="E247" s="15">
        <v>37.17</v>
      </c>
      <c r="F247" s="15">
        <v>663.22</v>
      </c>
      <c r="G247" s="16">
        <v>35.880000000000003</v>
      </c>
      <c r="H247" s="19" t="str">
        <f>TEXT(Table4_138[[#This Row],[date]], "hh:mm")</f>
        <v>15:00</v>
      </c>
      <c r="I247" s="25" t="str">
        <f t="shared" si="3"/>
        <v/>
      </c>
    </row>
    <row r="248" spans="1:9">
      <c r="A248" s="13">
        <v>45854.645833333336</v>
      </c>
      <c r="B248" s="15">
        <v>4338.79</v>
      </c>
      <c r="C248" s="15">
        <v>15.96</v>
      </c>
      <c r="D248" s="15">
        <v>101.33</v>
      </c>
      <c r="E248" s="15">
        <v>37.840000000000003</v>
      </c>
      <c r="F248" s="15">
        <v>642.19000000000005</v>
      </c>
      <c r="G248" s="16">
        <v>0</v>
      </c>
      <c r="H248" s="19" t="str">
        <f>TEXT(Table4_138[[#This Row],[date]], "hh:mm")</f>
        <v>15:30</v>
      </c>
      <c r="I248" s="25" t="str">
        <f t="shared" si="3"/>
        <v/>
      </c>
    </row>
    <row r="249" spans="1:9">
      <c r="A249" s="13">
        <v>45854.666666666664</v>
      </c>
      <c r="B249" s="15">
        <v>5004.04</v>
      </c>
      <c r="C249" s="15">
        <v>15.33</v>
      </c>
      <c r="D249" s="15">
        <v>233.17</v>
      </c>
      <c r="E249" s="15">
        <v>103.98</v>
      </c>
      <c r="F249" s="15">
        <v>613.4</v>
      </c>
      <c r="G249" s="16">
        <v>102.78</v>
      </c>
      <c r="H249" s="19" t="str">
        <f>TEXT(Table4_138[[#This Row],[date]], "hh:mm")</f>
        <v>16:00</v>
      </c>
      <c r="I249" s="25" t="str">
        <f t="shared" si="3"/>
        <v/>
      </c>
    </row>
    <row r="250" spans="1:9">
      <c r="A250" s="13">
        <v>45854.6875</v>
      </c>
      <c r="B250" s="15">
        <v>6023.8</v>
      </c>
      <c r="C250" s="15">
        <v>5.85</v>
      </c>
      <c r="D250" s="15">
        <v>401.83</v>
      </c>
      <c r="E250" s="15">
        <v>544.23</v>
      </c>
      <c r="F250" s="15">
        <v>600.11</v>
      </c>
      <c r="G250" s="16">
        <v>97.87</v>
      </c>
      <c r="H250" s="19" t="str">
        <f>TEXT(Table4_138[[#This Row],[date]], "hh:mm")</f>
        <v>16:30</v>
      </c>
      <c r="I250" s="25" t="str">
        <f t="shared" si="3"/>
        <v/>
      </c>
    </row>
    <row r="251" spans="1:9">
      <c r="A251" s="13">
        <v>45854.708333333336</v>
      </c>
      <c r="B251" s="15">
        <v>6450.83</v>
      </c>
      <c r="C251" s="15">
        <v>-4.87</v>
      </c>
      <c r="D251" s="15">
        <v>441.5</v>
      </c>
      <c r="E251" s="15">
        <v>727.54</v>
      </c>
      <c r="F251" s="15">
        <v>555.47</v>
      </c>
      <c r="G251" s="16">
        <v>173.64</v>
      </c>
      <c r="H251" s="19" t="str">
        <f>TEXT(Table4_138[[#This Row],[date]], "hh:mm")</f>
        <v>17:00</v>
      </c>
      <c r="I251" s="25" t="str">
        <f t="shared" si="3"/>
        <v/>
      </c>
    </row>
    <row r="252" spans="1:9">
      <c r="A252" s="13">
        <v>45854.729166666664</v>
      </c>
      <c r="B252" s="15">
        <v>6796.95</v>
      </c>
      <c r="C252" s="15">
        <v>-6.02</v>
      </c>
      <c r="D252" s="15">
        <v>449</v>
      </c>
      <c r="E252" s="15">
        <v>1026.98</v>
      </c>
      <c r="F252" s="15">
        <v>513.66999999999996</v>
      </c>
      <c r="G252" s="16">
        <v>158.97999999999999</v>
      </c>
      <c r="H252" s="19" t="str">
        <f>TEXT(Table4_138[[#This Row],[date]], "hh:mm")</f>
        <v>17:30</v>
      </c>
      <c r="I252" s="25" t="str">
        <f t="shared" si="3"/>
        <v/>
      </c>
    </row>
    <row r="253" spans="1:9">
      <c r="A253" s="13">
        <v>45854.75</v>
      </c>
      <c r="B253" s="15">
        <v>6879</v>
      </c>
      <c r="C253" s="15">
        <v>-4.0199999999999996</v>
      </c>
      <c r="D253" s="15">
        <v>476.23</v>
      </c>
      <c r="E253" s="15">
        <v>1039.6400000000001</v>
      </c>
      <c r="F253" s="15">
        <v>530.42999999999995</v>
      </c>
      <c r="G253" s="16">
        <v>277.92</v>
      </c>
      <c r="H253" s="19" t="str">
        <f>TEXT(Table4_138[[#This Row],[date]], "hh:mm")</f>
        <v>18:00</v>
      </c>
      <c r="I253" s="25" t="str">
        <f t="shared" si="3"/>
        <v/>
      </c>
    </row>
    <row r="254" spans="1:9">
      <c r="A254" s="13">
        <v>45854.770833333336</v>
      </c>
      <c r="B254" s="15">
        <v>6902.17</v>
      </c>
      <c r="C254" s="15">
        <v>-2.09</v>
      </c>
      <c r="D254" s="15">
        <v>529.34</v>
      </c>
      <c r="E254" s="15">
        <v>1032.6600000000001</v>
      </c>
      <c r="F254" s="15">
        <v>528.08000000000004</v>
      </c>
      <c r="G254" s="16">
        <v>261.18</v>
      </c>
      <c r="H254" s="19" t="str">
        <f>TEXT(Table4_138[[#This Row],[date]], "hh:mm")</f>
        <v>18:30</v>
      </c>
      <c r="I254" s="25" t="str">
        <f t="shared" si="3"/>
        <v/>
      </c>
    </row>
    <row r="255" spans="1:9">
      <c r="A255" s="13">
        <v>45854.791666666664</v>
      </c>
      <c r="B255" s="15">
        <v>6929.51</v>
      </c>
      <c r="C255" s="15">
        <v>-2.2000000000000002</v>
      </c>
      <c r="D255" s="15">
        <v>530.91999999999996</v>
      </c>
      <c r="E255" s="15">
        <v>1023.79</v>
      </c>
      <c r="F255" s="15">
        <v>540.27</v>
      </c>
      <c r="G255" s="16">
        <v>299.99</v>
      </c>
      <c r="H255" s="19" t="str">
        <f>TEXT(Table4_138[[#This Row],[date]], "hh:mm")</f>
        <v>19:00</v>
      </c>
      <c r="I255" s="25" t="str">
        <f t="shared" si="3"/>
        <v/>
      </c>
    </row>
    <row r="256" spans="1:9">
      <c r="A256" s="13">
        <v>45854.8125</v>
      </c>
      <c r="B256" s="15">
        <v>6949.18</v>
      </c>
      <c r="C256" s="15">
        <v>-0.41</v>
      </c>
      <c r="D256" s="15">
        <v>530.16999999999996</v>
      </c>
      <c r="E256" s="15">
        <v>1042.5</v>
      </c>
      <c r="F256" s="15">
        <v>466.98</v>
      </c>
      <c r="G256" s="16">
        <v>240.57</v>
      </c>
      <c r="H256" s="19" t="str">
        <f>TEXT(Table4_138[[#This Row],[date]], "hh:mm")</f>
        <v>19:30</v>
      </c>
      <c r="I256" s="25" t="str">
        <f t="shared" si="3"/>
        <v/>
      </c>
    </row>
    <row r="257" spans="1:9">
      <c r="A257" s="13">
        <v>45854.833333333336</v>
      </c>
      <c r="B257" s="15">
        <v>6958.2</v>
      </c>
      <c r="C257" s="15">
        <v>-1.6</v>
      </c>
      <c r="D257" s="15">
        <v>531.04999999999995</v>
      </c>
      <c r="E257" s="15">
        <v>1036.0999999999999</v>
      </c>
      <c r="F257" s="15">
        <v>444.76</v>
      </c>
      <c r="G257" s="16">
        <v>207.34</v>
      </c>
      <c r="H257" s="19" t="str">
        <f>TEXT(Table4_138[[#This Row],[date]], "hh:mm")</f>
        <v>20:00</v>
      </c>
      <c r="I257" s="25" t="str">
        <f t="shared" si="3"/>
        <v/>
      </c>
    </row>
    <row r="258" spans="1:9">
      <c r="A258" s="13">
        <v>45854.854166666664</v>
      </c>
      <c r="B258" s="15">
        <v>6928.49</v>
      </c>
      <c r="C258" s="15">
        <v>-1.25</v>
      </c>
      <c r="D258" s="15">
        <v>517.71</v>
      </c>
      <c r="E258" s="15">
        <v>1030.04</v>
      </c>
      <c r="F258" s="15">
        <v>427.13</v>
      </c>
      <c r="G258" s="16">
        <v>175.46</v>
      </c>
      <c r="H258" s="19" t="str">
        <f>TEXT(Table4_138[[#This Row],[date]], "hh:mm")</f>
        <v>20:30</v>
      </c>
      <c r="I258" s="25" t="str">
        <f t="shared" ref="I258:I321" si="4">IF(AND(HOUR(A258)=0,MINUTE(A258)=0),TEXT(A258,"d mmm"),"")</f>
        <v/>
      </c>
    </row>
    <row r="259" spans="1:9">
      <c r="A259" s="13">
        <v>45854.875</v>
      </c>
      <c r="B259" s="15">
        <v>6979.48</v>
      </c>
      <c r="C259" s="15">
        <v>-0.04</v>
      </c>
      <c r="D259" s="15">
        <v>450</v>
      </c>
      <c r="E259" s="15">
        <v>855.34</v>
      </c>
      <c r="F259" s="15">
        <v>419.54</v>
      </c>
      <c r="G259" s="16">
        <v>158.97999999999999</v>
      </c>
      <c r="H259" s="19" t="str">
        <f>TEXT(Table4_138[[#This Row],[date]], "hh:mm")</f>
        <v>21:00</v>
      </c>
      <c r="I259" s="25" t="str">
        <f t="shared" si="4"/>
        <v/>
      </c>
    </row>
    <row r="260" spans="1:9">
      <c r="A260" s="13">
        <v>45854.895833333336</v>
      </c>
      <c r="B260" s="15">
        <v>7052.77</v>
      </c>
      <c r="C260" s="15">
        <v>-1.1499999999999999</v>
      </c>
      <c r="D260" s="15">
        <v>451.33</v>
      </c>
      <c r="E260" s="15">
        <v>687.79</v>
      </c>
      <c r="F260" s="15">
        <v>389.36</v>
      </c>
      <c r="G260" s="16">
        <v>158.99</v>
      </c>
      <c r="H260" s="19" t="str">
        <f>TEXT(Table4_138[[#This Row],[date]], "hh:mm")</f>
        <v>21:30</v>
      </c>
      <c r="I260" s="25" t="str">
        <f t="shared" si="4"/>
        <v/>
      </c>
    </row>
    <row r="261" spans="1:9">
      <c r="A261" s="13">
        <v>45854.916666666664</v>
      </c>
      <c r="B261" s="15">
        <v>7089.3</v>
      </c>
      <c r="C261" s="15">
        <v>-0.57999999999999996</v>
      </c>
      <c r="D261" s="15">
        <v>449.17</v>
      </c>
      <c r="E261" s="15">
        <v>359.53</v>
      </c>
      <c r="F261" s="15">
        <v>384.31</v>
      </c>
      <c r="G261" s="16">
        <v>149.99</v>
      </c>
      <c r="H261" s="19" t="str">
        <f>TEXT(Table4_138[[#This Row],[date]], "hh:mm")</f>
        <v>22:00</v>
      </c>
      <c r="I261" s="25" t="str">
        <f t="shared" si="4"/>
        <v/>
      </c>
    </row>
    <row r="262" spans="1:9">
      <c r="A262" s="13">
        <v>45854.9375</v>
      </c>
      <c r="B262" s="15">
        <v>7103.07</v>
      </c>
      <c r="C262" s="15">
        <v>0.47</v>
      </c>
      <c r="D262" s="15">
        <v>451.83</v>
      </c>
      <c r="E262" s="15">
        <v>155.96</v>
      </c>
      <c r="F262" s="15">
        <v>350.06</v>
      </c>
      <c r="G262" s="16">
        <v>158.97999999999999</v>
      </c>
      <c r="H262" s="19" t="str">
        <f>TEXT(Table4_138[[#This Row],[date]], "hh:mm")</f>
        <v>22:30</v>
      </c>
      <c r="I262" s="25" t="str">
        <f t="shared" si="4"/>
        <v/>
      </c>
    </row>
    <row r="263" spans="1:9">
      <c r="A263" s="13">
        <v>45854.958333333336</v>
      </c>
      <c r="B263" s="15">
        <v>7103.03</v>
      </c>
      <c r="C263" s="15">
        <v>3.5</v>
      </c>
      <c r="D263" s="15">
        <v>451.5</v>
      </c>
      <c r="E263" s="15">
        <v>46.71</v>
      </c>
      <c r="F263" s="15">
        <v>323.37</v>
      </c>
      <c r="G263" s="16">
        <v>120.01</v>
      </c>
      <c r="H263" s="19" t="str">
        <f>TEXT(Table4_138[[#This Row],[date]], "hh:mm")</f>
        <v>23:00</v>
      </c>
      <c r="I263" s="25" t="str">
        <f t="shared" si="4"/>
        <v/>
      </c>
    </row>
    <row r="264" spans="1:9">
      <c r="A264" s="13">
        <v>45854.979166666664</v>
      </c>
      <c r="B264" s="15">
        <v>7075.44</v>
      </c>
      <c r="C264" s="15">
        <v>4.43</v>
      </c>
      <c r="D264" s="15">
        <v>409.5</v>
      </c>
      <c r="E264" s="15">
        <v>41.68</v>
      </c>
      <c r="F264" s="15">
        <v>322.82</v>
      </c>
      <c r="G264" s="16">
        <v>101.36</v>
      </c>
      <c r="H264" s="19" t="str">
        <f>TEXT(Table4_138[[#This Row],[date]], "hh:mm")</f>
        <v>23:30</v>
      </c>
      <c r="I264" s="25" t="str">
        <f t="shared" si="4"/>
        <v/>
      </c>
    </row>
    <row r="265" spans="1:9">
      <c r="A265" s="13">
        <v>45855</v>
      </c>
      <c r="B265" s="15">
        <v>6928.5</v>
      </c>
      <c r="C265" s="15">
        <v>3.16</v>
      </c>
      <c r="D265" s="15">
        <v>253.83</v>
      </c>
      <c r="E265" s="15">
        <v>41.52</v>
      </c>
      <c r="F265" s="15">
        <v>381.32</v>
      </c>
      <c r="G265" s="16">
        <v>80.760000000000005</v>
      </c>
      <c r="H265" s="19" t="str">
        <f>TEXT(Table4_138[[#This Row],[date]], "hh:mm")</f>
        <v>00:00</v>
      </c>
      <c r="I265" s="25" t="str">
        <f t="shared" si="4"/>
        <v>17 Jul</v>
      </c>
    </row>
    <row r="266" spans="1:9">
      <c r="A266" s="13">
        <v>45855.020833333336</v>
      </c>
      <c r="B266" s="15">
        <v>6704.77</v>
      </c>
      <c r="C266" s="15">
        <v>0.84</v>
      </c>
      <c r="D266" s="15">
        <v>50.17</v>
      </c>
      <c r="E266" s="15">
        <v>41.75</v>
      </c>
      <c r="F266" s="15">
        <v>431.06</v>
      </c>
      <c r="G266" s="16">
        <v>80.02</v>
      </c>
      <c r="H266" s="19" t="str">
        <f>TEXT(Table4_138[[#This Row],[date]], "hh:mm")</f>
        <v>00:30</v>
      </c>
      <c r="I266" s="25" t="str">
        <f t="shared" si="4"/>
        <v/>
      </c>
    </row>
    <row r="267" spans="1:9">
      <c r="A267" s="13">
        <v>45855.041666666664</v>
      </c>
      <c r="B267" s="15">
        <v>6563.28</v>
      </c>
      <c r="C267" s="15">
        <v>-1.02</v>
      </c>
      <c r="D267" s="15">
        <v>0</v>
      </c>
      <c r="E267" s="15">
        <v>41.97</v>
      </c>
      <c r="F267" s="15">
        <v>373.11</v>
      </c>
      <c r="G267" s="16">
        <v>84.19</v>
      </c>
      <c r="H267" s="19" t="str">
        <f>TEXT(Table4_138[[#This Row],[date]], "hh:mm")</f>
        <v>01:00</v>
      </c>
      <c r="I267" s="25" t="str">
        <f t="shared" si="4"/>
        <v/>
      </c>
    </row>
    <row r="268" spans="1:9">
      <c r="A268" s="13">
        <v>45855.0625</v>
      </c>
      <c r="B268" s="15">
        <v>6593.27</v>
      </c>
      <c r="C268" s="15">
        <v>-0.79</v>
      </c>
      <c r="D268" s="15">
        <v>0</v>
      </c>
      <c r="E268" s="15">
        <v>42.18</v>
      </c>
      <c r="F268" s="15">
        <v>327.67</v>
      </c>
      <c r="G268" s="16">
        <v>80.02</v>
      </c>
      <c r="H268" s="19" t="str">
        <f>TEXT(Table4_138[[#This Row],[date]], "hh:mm")</f>
        <v>01:30</v>
      </c>
      <c r="I268" s="25" t="str">
        <f t="shared" si="4"/>
        <v/>
      </c>
    </row>
    <row r="269" spans="1:9">
      <c r="A269" s="13">
        <v>45855.083333333336</v>
      </c>
      <c r="B269" s="15">
        <v>6335.81</v>
      </c>
      <c r="C269" s="15">
        <v>-1.03</v>
      </c>
      <c r="D269" s="15">
        <v>0</v>
      </c>
      <c r="E269" s="15">
        <v>41.86</v>
      </c>
      <c r="F269" s="15">
        <v>358.86</v>
      </c>
      <c r="G269" s="16">
        <v>76.8</v>
      </c>
      <c r="H269" s="19" t="str">
        <f>TEXT(Table4_138[[#This Row],[date]], "hh:mm")</f>
        <v>02:00</v>
      </c>
      <c r="I269" s="25" t="str">
        <f t="shared" si="4"/>
        <v/>
      </c>
    </row>
    <row r="270" spans="1:9">
      <c r="A270" s="13">
        <v>45855.104166666664</v>
      </c>
      <c r="B270" s="15">
        <v>6186.98</v>
      </c>
      <c r="C270" s="15">
        <v>-0.9</v>
      </c>
      <c r="D270" s="15">
        <v>0</v>
      </c>
      <c r="E270" s="15">
        <v>41.82</v>
      </c>
      <c r="F270" s="15">
        <v>398.15</v>
      </c>
      <c r="G270" s="16">
        <v>76.8</v>
      </c>
      <c r="H270" s="19" t="str">
        <f>TEXT(Table4_138[[#This Row],[date]], "hh:mm")</f>
        <v>02:30</v>
      </c>
      <c r="I270" s="25" t="str">
        <f t="shared" si="4"/>
        <v/>
      </c>
    </row>
    <row r="271" spans="1:9">
      <c r="A271" s="13">
        <v>45855.125</v>
      </c>
      <c r="B271" s="15">
        <v>6094.46</v>
      </c>
      <c r="C271" s="15">
        <v>-0.59</v>
      </c>
      <c r="D271" s="15">
        <v>0</v>
      </c>
      <c r="E271" s="15">
        <v>41.55</v>
      </c>
      <c r="F271" s="15">
        <v>366.58</v>
      </c>
      <c r="G271" s="16">
        <v>80.02</v>
      </c>
      <c r="H271" s="19" t="str">
        <f>TEXT(Table4_138[[#This Row],[date]], "hh:mm")</f>
        <v>03:00</v>
      </c>
      <c r="I271" s="25" t="str">
        <f t="shared" si="4"/>
        <v/>
      </c>
    </row>
    <row r="272" spans="1:9">
      <c r="A272" s="13">
        <v>45855.145833333336</v>
      </c>
      <c r="B272" s="15">
        <v>6042.81</v>
      </c>
      <c r="C272" s="15">
        <v>-0.97</v>
      </c>
      <c r="D272" s="15">
        <v>0</v>
      </c>
      <c r="E272" s="15">
        <v>41.79</v>
      </c>
      <c r="F272" s="15">
        <v>315.26</v>
      </c>
      <c r="G272" s="16">
        <v>80.02</v>
      </c>
      <c r="H272" s="19" t="str">
        <f>TEXT(Table4_138[[#This Row],[date]], "hh:mm")</f>
        <v>03:30</v>
      </c>
      <c r="I272" s="25" t="str">
        <f t="shared" si="4"/>
        <v/>
      </c>
    </row>
    <row r="273" spans="1:9">
      <c r="A273" s="13">
        <v>45855.166666666664</v>
      </c>
      <c r="B273" s="15">
        <v>6084.84</v>
      </c>
      <c r="C273" s="15">
        <v>-0.6</v>
      </c>
      <c r="D273" s="15">
        <v>0</v>
      </c>
      <c r="E273" s="15">
        <v>41.67</v>
      </c>
      <c r="F273" s="15">
        <v>346.46</v>
      </c>
      <c r="G273" s="16">
        <v>80.02</v>
      </c>
      <c r="H273" s="19" t="str">
        <f>TEXT(Table4_138[[#This Row],[date]], "hh:mm")</f>
        <v>04:00</v>
      </c>
      <c r="I273" s="25" t="str">
        <f t="shared" si="4"/>
        <v/>
      </c>
    </row>
    <row r="274" spans="1:9">
      <c r="A274" s="13">
        <v>45855.1875</v>
      </c>
      <c r="B274" s="15">
        <v>6235.52</v>
      </c>
      <c r="C274" s="15">
        <v>-1.36</v>
      </c>
      <c r="D274" s="15">
        <v>0</v>
      </c>
      <c r="E274" s="15">
        <v>41.39</v>
      </c>
      <c r="F274" s="15">
        <v>326.74</v>
      </c>
      <c r="G274" s="16">
        <v>84.85</v>
      </c>
      <c r="H274" s="19" t="str">
        <f>TEXT(Table4_138[[#This Row],[date]], "hh:mm")</f>
        <v>04:30</v>
      </c>
      <c r="I274" s="25" t="str">
        <f t="shared" si="4"/>
        <v/>
      </c>
    </row>
    <row r="275" spans="1:9">
      <c r="A275" s="13">
        <v>45855.208333333336</v>
      </c>
      <c r="B275" s="15">
        <v>6404.62</v>
      </c>
      <c r="C275" s="15">
        <v>-0.95</v>
      </c>
      <c r="D275" s="15">
        <v>0</v>
      </c>
      <c r="E275" s="15">
        <v>41.15</v>
      </c>
      <c r="F275" s="15">
        <v>315.12</v>
      </c>
      <c r="G275" s="16">
        <v>78.47</v>
      </c>
      <c r="H275" s="19" t="str">
        <f>TEXT(Table4_138[[#This Row],[date]], "hh:mm")</f>
        <v>05:00</v>
      </c>
      <c r="I275" s="25" t="str">
        <f t="shared" si="4"/>
        <v/>
      </c>
    </row>
    <row r="276" spans="1:9">
      <c r="A276" s="13">
        <v>45855.229166666664</v>
      </c>
      <c r="B276" s="15">
        <v>6728.24</v>
      </c>
      <c r="C276" s="15">
        <v>-1.57</v>
      </c>
      <c r="D276" s="15">
        <v>0</v>
      </c>
      <c r="E276" s="15">
        <v>41.32</v>
      </c>
      <c r="F276" s="15">
        <v>314.33</v>
      </c>
      <c r="G276" s="16">
        <v>80.010000000000005</v>
      </c>
      <c r="H276" s="19" t="str">
        <f>TEXT(Table4_138[[#This Row],[date]], "hh:mm")</f>
        <v>05:30</v>
      </c>
      <c r="I276" s="25" t="str">
        <f t="shared" si="4"/>
        <v/>
      </c>
    </row>
    <row r="277" spans="1:9">
      <c r="A277" s="13">
        <v>45855.25</v>
      </c>
      <c r="B277" s="15">
        <v>7186.1</v>
      </c>
      <c r="C277" s="15">
        <v>-0.95</v>
      </c>
      <c r="D277" s="15">
        <v>0</v>
      </c>
      <c r="E277" s="15">
        <v>40.590000000000003</v>
      </c>
      <c r="F277" s="15">
        <v>354.1</v>
      </c>
      <c r="G277" s="16">
        <v>80.010000000000005</v>
      </c>
      <c r="H277" s="19" t="str">
        <f>TEXT(Table4_138[[#This Row],[date]], "hh:mm")</f>
        <v>06:00</v>
      </c>
      <c r="I277" s="25" t="str">
        <f t="shared" si="4"/>
        <v/>
      </c>
    </row>
    <row r="278" spans="1:9">
      <c r="A278" s="13">
        <v>45855.270833333336</v>
      </c>
      <c r="B278" s="15">
        <v>7720.06</v>
      </c>
      <c r="C278" s="15">
        <v>0.36</v>
      </c>
      <c r="D278" s="15">
        <v>0</v>
      </c>
      <c r="E278" s="15">
        <v>136.79</v>
      </c>
      <c r="F278" s="15">
        <v>374.29</v>
      </c>
      <c r="G278" s="16">
        <v>96.96</v>
      </c>
      <c r="H278" s="19" t="str">
        <f>TEXT(Table4_138[[#This Row],[date]], "hh:mm")</f>
        <v>06:30</v>
      </c>
      <c r="I278" s="25" t="str">
        <f t="shared" si="4"/>
        <v/>
      </c>
    </row>
    <row r="279" spans="1:9">
      <c r="A279" s="13">
        <v>45855.291666666664</v>
      </c>
      <c r="B279" s="15">
        <v>7916.34</v>
      </c>
      <c r="C279" s="15">
        <v>3.42</v>
      </c>
      <c r="D279" s="15">
        <v>0</v>
      </c>
      <c r="E279" s="15">
        <v>388.59</v>
      </c>
      <c r="F279" s="15">
        <v>393.91</v>
      </c>
      <c r="G279" s="16">
        <v>158.97999999999999</v>
      </c>
      <c r="H279" s="19" t="str">
        <f>TEXT(Table4_138[[#This Row],[date]], "hh:mm")</f>
        <v>07:00</v>
      </c>
      <c r="I279" s="25" t="str">
        <f t="shared" si="4"/>
        <v/>
      </c>
    </row>
    <row r="280" spans="1:9">
      <c r="A280" s="13">
        <v>45855.3125</v>
      </c>
      <c r="B280" s="15">
        <v>7991.77</v>
      </c>
      <c r="C280" s="15">
        <v>1.62</v>
      </c>
      <c r="D280" s="15">
        <v>0</v>
      </c>
      <c r="E280" s="15">
        <v>374.39</v>
      </c>
      <c r="F280" s="15">
        <v>442.05</v>
      </c>
      <c r="G280" s="16">
        <v>107.41</v>
      </c>
      <c r="H280" s="19" t="str">
        <f>TEXT(Table4_138[[#This Row],[date]], "hh:mm")</f>
        <v>07:30</v>
      </c>
      <c r="I280" s="25" t="str">
        <f t="shared" si="4"/>
        <v/>
      </c>
    </row>
    <row r="281" spans="1:9">
      <c r="A281" s="13">
        <v>45855.333333333336</v>
      </c>
      <c r="B281" s="15">
        <v>7934.04</v>
      </c>
      <c r="C281" s="15">
        <v>-0.55000000000000004</v>
      </c>
      <c r="D281" s="15">
        <v>0</v>
      </c>
      <c r="E281" s="15">
        <v>374.46</v>
      </c>
      <c r="F281" s="15">
        <v>491.51</v>
      </c>
      <c r="G281" s="16">
        <v>105.89</v>
      </c>
      <c r="H281" s="19" t="str">
        <f>TEXT(Table4_138[[#This Row],[date]], "hh:mm")</f>
        <v>08:00</v>
      </c>
      <c r="I281" s="25" t="str">
        <f t="shared" si="4"/>
        <v/>
      </c>
    </row>
    <row r="282" spans="1:9">
      <c r="A282" s="13">
        <v>45855.354166666664</v>
      </c>
      <c r="B282" s="15">
        <v>7701.28</v>
      </c>
      <c r="C282" s="15">
        <v>1.71</v>
      </c>
      <c r="D282" s="15">
        <v>0</v>
      </c>
      <c r="E282" s="15">
        <v>256.95</v>
      </c>
      <c r="F282" s="15">
        <v>487.72</v>
      </c>
      <c r="G282" s="16">
        <v>52.14</v>
      </c>
      <c r="H282" s="19" t="str">
        <f>TEXT(Table4_138[[#This Row],[date]], "hh:mm")</f>
        <v>08:30</v>
      </c>
      <c r="I282" s="25" t="str">
        <f t="shared" si="4"/>
        <v/>
      </c>
    </row>
    <row r="283" spans="1:9">
      <c r="A283" s="13">
        <v>45855.375</v>
      </c>
      <c r="B283" s="15">
        <v>7238.66</v>
      </c>
      <c r="C283" s="15">
        <v>12.53</v>
      </c>
      <c r="D283" s="15">
        <v>0</v>
      </c>
      <c r="E283" s="15">
        <v>41.48</v>
      </c>
      <c r="F283" s="15">
        <v>463.52</v>
      </c>
      <c r="G283" s="16">
        <v>76.8</v>
      </c>
      <c r="H283" s="19" t="str">
        <f>TEXT(Table4_138[[#This Row],[date]], "hh:mm")</f>
        <v>09:00</v>
      </c>
      <c r="I283" s="25" t="str">
        <f t="shared" si="4"/>
        <v/>
      </c>
    </row>
    <row r="284" spans="1:9">
      <c r="A284" s="13">
        <v>45855.395833333336</v>
      </c>
      <c r="B284" s="15">
        <v>6365.08</v>
      </c>
      <c r="C284" s="15">
        <v>10.27</v>
      </c>
      <c r="D284" s="15">
        <v>0</v>
      </c>
      <c r="E284" s="15">
        <v>41.56</v>
      </c>
      <c r="F284" s="15">
        <v>423.89</v>
      </c>
      <c r="G284" s="16">
        <v>76.8</v>
      </c>
      <c r="H284" s="19" t="str">
        <f>TEXT(Table4_138[[#This Row],[date]], "hh:mm")</f>
        <v>09:30</v>
      </c>
      <c r="I284" s="25" t="str">
        <f t="shared" si="4"/>
        <v/>
      </c>
    </row>
    <row r="285" spans="1:9">
      <c r="A285" s="13">
        <v>45855.416666666664</v>
      </c>
      <c r="B285" s="15">
        <v>5709.09</v>
      </c>
      <c r="C285" s="15">
        <v>5.35</v>
      </c>
      <c r="D285" s="15">
        <v>0</v>
      </c>
      <c r="E285" s="15">
        <v>41.74</v>
      </c>
      <c r="F285" s="15">
        <v>343.03</v>
      </c>
      <c r="G285" s="16">
        <v>44.76</v>
      </c>
      <c r="H285" s="19" t="str">
        <f>TEXT(Table4_138[[#This Row],[date]], "hh:mm")</f>
        <v>10:00</v>
      </c>
      <c r="I285" s="25" t="str">
        <f t="shared" si="4"/>
        <v/>
      </c>
    </row>
    <row r="286" spans="1:9">
      <c r="A286" s="13">
        <v>45855.4375</v>
      </c>
      <c r="B286" s="15">
        <v>5334.09</v>
      </c>
      <c r="C286" s="15">
        <v>6.48</v>
      </c>
      <c r="D286" s="15">
        <v>0</v>
      </c>
      <c r="E286" s="15">
        <v>40.880000000000003</v>
      </c>
      <c r="F286" s="15">
        <v>299.51</v>
      </c>
      <c r="G286" s="16">
        <v>84.85</v>
      </c>
      <c r="H286" s="19" t="str">
        <f>TEXT(Table4_138[[#This Row],[date]], "hh:mm")</f>
        <v>10:30</v>
      </c>
      <c r="I286" s="25" t="str">
        <f t="shared" si="4"/>
        <v/>
      </c>
    </row>
    <row r="287" spans="1:9">
      <c r="A287" s="13">
        <v>45855.458333333336</v>
      </c>
      <c r="B287" s="15">
        <v>4956.08</v>
      </c>
      <c r="C287" s="15">
        <v>9.8800000000000008</v>
      </c>
      <c r="D287" s="15">
        <v>0</v>
      </c>
      <c r="E287" s="15">
        <v>40.71</v>
      </c>
      <c r="F287" s="15">
        <v>330.91</v>
      </c>
      <c r="G287" s="16">
        <v>57.01</v>
      </c>
      <c r="H287" s="19" t="str">
        <f>TEXT(Table4_138[[#This Row],[date]], "hh:mm")</f>
        <v>11:00</v>
      </c>
      <c r="I287" s="25" t="str">
        <f t="shared" si="4"/>
        <v/>
      </c>
    </row>
    <row r="288" spans="1:9">
      <c r="A288" s="13">
        <v>45855.479166666664</v>
      </c>
      <c r="B288" s="15">
        <v>4581.97</v>
      </c>
      <c r="C288" s="15">
        <v>9.6</v>
      </c>
      <c r="D288" s="15">
        <v>0</v>
      </c>
      <c r="E288" s="15">
        <v>39.68</v>
      </c>
      <c r="F288" s="15">
        <v>436.13</v>
      </c>
      <c r="G288" s="16">
        <v>0</v>
      </c>
      <c r="H288" s="19" t="str">
        <f>TEXT(Table4_138[[#This Row],[date]], "hh:mm")</f>
        <v>11:30</v>
      </c>
      <c r="I288" s="25" t="str">
        <f t="shared" si="4"/>
        <v/>
      </c>
    </row>
    <row r="289" spans="1:9">
      <c r="A289" s="13">
        <v>45855.5</v>
      </c>
      <c r="B289" s="15">
        <v>4220.4799999999996</v>
      </c>
      <c r="C289" s="15">
        <v>9.5399999999999991</v>
      </c>
      <c r="D289" s="15">
        <v>0</v>
      </c>
      <c r="E289" s="15">
        <v>37.090000000000003</v>
      </c>
      <c r="F289" s="15">
        <v>535.34</v>
      </c>
      <c r="G289" s="16">
        <v>48.23</v>
      </c>
      <c r="H289" s="19" t="str">
        <f>TEXT(Table4_138[[#This Row],[date]], "hh:mm")</f>
        <v>12:00</v>
      </c>
      <c r="I289" s="25" t="str">
        <f t="shared" si="4"/>
        <v/>
      </c>
    </row>
    <row r="290" spans="1:9">
      <c r="A290" s="13">
        <v>45855.520833333336</v>
      </c>
      <c r="B290" s="15">
        <v>3998.16</v>
      </c>
      <c r="C290" s="15">
        <v>9.18</v>
      </c>
      <c r="D290" s="15">
        <v>0</v>
      </c>
      <c r="E290" s="15">
        <v>34.85</v>
      </c>
      <c r="F290" s="15">
        <v>600.41</v>
      </c>
      <c r="G290" s="16">
        <v>40.119999999999997</v>
      </c>
      <c r="H290" s="19" t="str">
        <f>TEXT(Table4_138[[#This Row],[date]], "hh:mm")</f>
        <v>12:30</v>
      </c>
      <c r="I290" s="25" t="str">
        <f t="shared" si="4"/>
        <v/>
      </c>
    </row>
    <row r="291" spans="1:9">
      <c r="A291" s="13">
        <v>45855.541666666664</v>
      </c>
      <c r="B291" s="15">
        <v>4020.32</v>
      </c>
      <c r="C291" s="15">
        <v>8.73</v>
      </c>
      <c r="D291" s="15">
        <v>0</v>
      </c>
      <c r="E291" s="15">
        <v>34.19</v>
      </c>
      <c r="F291" s="15">
        <v>595.41999999999996</v>
      </c>
      <c r="G291" s="16">
        <v>20.43</v>
      </c>
      <c r="H291" s="19" t="str">
        <f>TEXT(Table4_138[[#This Row],[date]], "hh:mm")</f>
        <v>13:00</v>
      </c>
      <c r="I291" s="25" t="str">
        <f t="shared" si="4"/>
        <v/>
      </c>
    </row>
    <row r="292" spans="1:9">
      <c r="A292" s="13">
        <v>45855.5625</v>
      </c>
      <c r="B292" s="15">
        <v>4073.91</v>
      </c>
      <c r="C292" s="15">
        <v>8.4</v>
      </c>
      <c r="D292" s="15">
        <v>0</v>
      </c>
      <c r="E292" s="15">
        <v>32.159999999999997</v>
      </c>
      <c r="F292" s="15">
        <v>541.29999999999995</v>
      </c>
      <c r="G292" s="16">
        <v>57.01</v>
      </c>
      <c r="H292" s="19" t="str">
        <f>TEXT(Table4_138[[#This Row],[date]], "hh:mm")</f>
        <v>13:30</v>
      </c>
      <c r="I292" s="25" t="str">
        <f t="shared" si="4"/>
        <v/>
      </c>
    </row>
    <row r="293" spans="1:9">
      <c r="A293" s="13">
        <v>45855.583333333336</v>
      </c>
      <c r="B293" s="15">
        <v>4130.7700000000004</v>
      </c>
      <c r="C293" s="15">
        <v>8.9700000000000006</v>
      </c>
      <c r="D293" s="15">
        <v>0</v>
      </c>
      <c r="E293" s="15">
        <v>30.94</v>
      </c>
      <c r="F293" s="15">
        <v>519.39</v>
      </c>
      <c r="G293" s="16">
        <v>1.65</v>
      </c>
      <c r="H293" s="19" t="str">
        <f>TEXT(Table4_138[[#This Row],[date]], "hh:mm")</f>
        <v>14:00</v>
      </c>
      <c r="I293" s="25" t="str">
        <f t="shared" si="4"/>
        <v/>
      </c>
    </row>
    <row r="294" spans="1:9">
      <c r="A294" s="13">
        <v>45855.604166666664</v>
      </c>
      <c r="B294" s="15">
        <v>4290.54</v>
      </c>
      <c r="C294" s="15">
        <v>9.51</v>
      </c>
      <c r="D294" s="15">
        <v>0</v>
      </c>
      <c r="E294" s="15">
        <v>32.28</v>
      </c>
      <c r="F294" s="15">
        <v>540.59</v>
      </c>
      <c r="G294" s="16">
        <v>57.01</v>
      </c>
      <c r="H294" s="19" t="str">
        <f>TEXT(Table4_138[[#This Row],[date]], "hh:mm")</f>
        <v>14:30</v>
      </c>
      <c r="I294" s="25" t="str">
        <f t="shared" si="4"/>
        <v/>
      </c>
    </row>
    <row r="295" spans="1:9">
      <c r="A295" s="13">
        <v>45855.625</v>
      </c>
      <c r="B295" s="15">
        <v>4915.79</v>
      </c>
      <c r="C295" s="15">
        <v>9.5399999999999991</v>
      </c>
      <c r="D295" s="15">
        <v>0</v>
      </c>
      <c r="E295" s="15">
        <v>33.39</v>
      </c>
      <c r="F295" s="15">
        <v>524.08000000000004</v>
      </c>
      <c r="G295" s="16">
        <v>140.36000000000001</v>
      </c>
      <c r="H295" s="19" t="str">
        <f>TEXT(Table4_138[[#This Row],[date]], "hh:mm")</f>
        <v>15:00</v>
      </c>
      <c r="I295" s="25" t="str">
        <f t="shared" si="4"/>
        <v/>
      </c>
    </row>
    <row r="296" spans="1:9">
      <c r="A296" s="13">
        <v>45855.645833333336</v>
      </c>
      <c r="B296" s="15">
        <v>5674.82</v>
      </c>
      <c r="C296" s="15">
        <v>10.43</v>
      </c>
      <c r="D296" s="15">
        <v>1</v>
      </c>
      <c r="E296" s="15">
        <v>34.92</v>
      </c>
      <c r="F296" s="15">
        <v>492.07</v>
      </c>
      <c r="G296" s="16">
        <v>0</v>
      </c>
      <c r="H296" s="19" t="str">
        <f>TEXT(Table4_138[[#This Row],[date]], "hh:mm")</f>
        <v>15:30</v>
      </c>
      <c r="I296" s="25" t="str">
        <f t="shared" si="4"/>
        <v/>
      </c>
    </row>
    <row r="297" spans="1:9">
      <c r="A297" s="13">
        <v>45855.666666666664</v>
      </c>
      <c r="B297" s="15">
        <v>6816.53</v>
      </c>
      <c r="C297" s="15">
        <v>9.0299999999999994</v>
      </c>
      <c r="D297" s="15">
        <v>52.17</v>
      </c>
      <c r="E297" s="15">
        <v>36.58</v>
      </c>
      <c r="F297" s="15">
        <v>425.11</v>
      </c>
      <c r="G297" s="16">
        <v>106.28</v>
      </c>
      <c r="H297" s="19" t="str">
        <f>TEXT(Table4_138[[#This Row],[date]], "hh:mm")</f>
        <v>16:00</v>
      </c>
      <c r="I297" s="25" t="str">
        <f t="shared" si="4"/>
        <v/>
      </c>
    </row>
    <row r="298" spans="1:9">
      <c r="A298" s="13">
        <v>45855.6875</v>
      </c>
      <c r="B298" s="15">
        <v>7710.41</v>
      </c>
      <c r="C298" s="15">
        <v>-0.04</v>
      </c>
      <c r="D298" s="15">
        <v>189.67</v>
      </c>
      <c r="E298" s="15">
        <v>36.67</v>
      </c>
      <c r="F298" s="15">
        <v>383.55</v>
      </c>
      <c r="G298" s="16">
        <v>84.7</v>
      </c>
      <c r="H298" s="19" t="str">
        <f>TEXT(Table4_138[[#This Row],[date]], "hh:mm")</f>
        <v>16:30</v>
      </c>
      <c r="I298" s="25" t="str">
        <f t="shared" si="4"/>
        <v/>
      </c>
    </row>
    <row r="299" spans="1:9">
      <c r="A299" s="13">
        <v>45855.708333333336</v>
      </c>
      <c r="B299" s="15">
        <v>7965.6</v>
      </c>
      <c r="C299" s="15">
        <v>-0.95</v>
      </c>
      <c r="D299" s="15">
        <v>308.83</v>
      </c>
      <c r="E299" s="15">
        <v>163.5</v>
      </c>
      <c r="F299" s="15">
        <v>489.01</v>
      </c>
      <c r="G299" s="16">
        <v>165.24</v>
      </c>
      <c r="H299" s="19" t="str">
        <f>TEXT(Table4_138[[#This Row],[date]], "hh:mm")</f>
        <v>17:00</v>
      </c>
      <c r="I299" s="25" t="str">
        <f t="shared" si="4"/>
        <v/>
      </c>
    </row>
    <row r="300" spans="1:9">
      <c r="A300" s="13">
        <v>45855.729166666664</v>
      </c>
      <c r="B300" s="15">
        <v>7969.07</v>
      </c>
      <c r="C300" s="15">
        <v>-0.15</v>
      </c>
      <c r="D300" s="15">
        <v>443.33</v>
      </c>
      <c r="E300" s="15">
        <v>500.54</v>
      </c>
      <c r="F300" s="15">
        <v>446.51</v>
      </c>
      <c r="G300" s="16">
        <v>202.35</v>
      </c>
      <c r="H300" s="19" t="str">
        <f>TEXT(Table4_138[[#This Row],[date]], "hh:mm")</f>
        <v>17:30</v>
      </c>
      <c r="I300" s="25" t="str">
        <f t="shared" si="4"/>
        <v/>
      </c>
    </row>
    <row r="301" spans="1:9">
      <c r="A301" s="13">
        <v>45855.75</v>
      </c>
      <c r="B301" s="15">
        <v>7997.94</v>
      </c>
      <c r="C301" s="15">
        <v>0.25</v>
      </c>
      <c r="D301" s="15">
        <v>441.67</v>
      </c>
      <c r="E301" s="15">
        <v>699.88</v>
      </c>
      <c r="F301" s="15">
        <v>463.5</v>
      </c>
      <c r="G301" s="16">
        <v>254.96</v>
      </c>
      <c r="H301" s="19" t="str">
        <f>TEXT(Table4_138[[#This Row],[date]], "hh:mm")</f>
        <v>18:00</v>
      </c>
      <c r="I301" s="25" t="str">
        <f t="shared" si="4"/>
        <v/>
      </c>
    </row>
    <row r="302" spans="1:9">
      <c r="A302" s="13">
        <v>45855.770833333336</v>
      </c>
      <c r="B302" s="15">
        <v>8078.78</v>
      </c>
      <c r="C302" s="15">
        <v>-0.3</v>
      </c>
      <c r="D302" s="15">
        <v>443.5</v>
      </c>
      <c r="E302" s="15">
        <v>701.87</v>
      </c>
      <c r="F302" s="15">
        <v>379.57</v>
      </c>
      <c r="G302" s="16">
        <v>186.83</v>
      </c>
      <c r="H302" s="19" t="str">
        <f>TEXT(Table4_138[[#This Row],[date]], "hh:mm")</f>
        <v>18:30</v>
      </c>
      <c r="I302" s="25" t="str">
        <f t="shared" si="4"/>
        <v/>
      </c>
    </row>
    <row r="303" spans="1:9">
      <c r="A303" s="13">
        <v>45855.791666666664</v>
      </c>
      <c r="B303" s="15">
        <v>8130.66</v>
      </c>
      <c r="C303" s="15">
        <v>-0.02</v>
      </c>
      <c r="D303" s="15">
        <v>450.33</v>
      </c>
      <c r="E303" s="15">
        <v>704.97</v>
      </c>
      <c r="F303" s="15">
        <v>361.17</v>
      </c>
      <c r="G303" s="16">
        <v>185.72</v>
      </c>
      <c r="H303" s="19" t="str">
        <f>TEXT(Table4_138[[#This Row],[date]], "hh:mm")</f>
        <v>19:00</v>
      </c>
      <c r="I303" s="25" t="str">
        <f t="shared" si="4"/>
        <v/>
      </c>
    </row>
    <row r="304" spans="1:9">
      <c r="A304" s="13">
        <v>45855.8125</v>
      </c>
      <c r="B304" s="15">
        <v>8129.35</v>
      </c>
      <c r="C304" s="15">
        <v>-0.18</v>
      </c>
      <c r="D304" s="15">
        <v>450.83</v>
      </c>
      <c r="E304" s="15">
        <v>703.35</v>
      </c>
      <c r="F304" s="15">
        <v>395.45</v>
      </c>
      <c r="G304" s="16">
        <v>239.65</v>
      </c>
      <c r="H304" s="19" t="str">
        <f>TEXT(Table4_138[[#This Row],[date]], "hh:mm")</f>
        <v>19:30</v>
      </c>
      <c r="I304" s="25" t="str">
        <f t="shared" si="4"/>
        <v/>
      </c>
    </row>
    <row r="305" spans="1:9">
      <c r="A305" s="13">
        <v>45855.833333333336</v>
      </c>
      <c r="B305" s="15">
        <v>8134.41</v>
      </c>
      <c r="C305" s="15">
        <v>0.51</v>
      </c>
      <c r="D305" s="15">
        <v>451.5</v>
      </c>
      <c r="E305" s="15">
        <v>703.88</v>
      </c>
      <c r="F305" s="15">
        <v>441.89</v>
      </c>
      <c r="G305" s="16">
        <v>154.57</v>
      </c>
      <c r="H305" s="19" t="str">
        <f>TEXT(Table4_138[[#This Row],[date]], "hh:mm")</f>
        <v>20:00</v>
      </c>
      <c r="I305" s="25" t="str">
        <f t="shared" si="4"/>
        <v/>
      </c>
    </row>
    <row r="306" spans="1:9">
      <c r="A306" s="13">
        <v>45855.854166666664</v>
      </c>
      <c r="B306" s="15">
        <v>8147.78</v>
      </c>
      <c r="C306" s="15">
        <v>0.03</v>
      </c>
      <c r="D306" s="15">
        <v>451.5</v>
      </c>
      <c r="E306" s="15">
        <v>704.96</v>
      </c>
      <c r="F306" s="15">
        <v>426.13</v>
      </c>
      <c r="G306" s="16">
        <v>163.07</v>
      </c>
      <c r="H306" s="19" t="str">
        <f>TEXT(Table4_138[[#This Row],[date]], "hh:mm")</f>
        <v>20:30</v>
      </c>
      <c r="I306" s="25" t="str">
        <f t="shared" si="4"/>
        <v/>
      </c>
    </row>
    <row r="307" spans="1:9">
      <c r="A307" s="13">
        <v>45855.875</v>
      </c>
      <c r="B307" s="15">
        <v>8145.84</v>
      </c>
      <c r="C307" s="15">
        <v>-0.2</v>
      </c>
      <c r="D307" s="15">
        <v>450.17</v>
      </c>
      <c r="E307" s="15">
        <v>621.1</v>
      </c>
      <c r="F307" s="15">
        <v>441.88</v>
      </c>
      <c r="G307" s="16">
        <v>234.56</v>
      </c>
      <c r="H307" s="19" t="str">
        <f>TEXT(Table4_138[[#This Row],[date]], "hh:mm")</f>
        <v>21:00</v>
      </c>
      <c r="I307" s="25" t="str">
        <f t="shared" si="4"/>
        <v/>
      </c>
    </row>
    <row r="308" spans="1:9">
      <c r="A308" s="13">
        <v>45855.895833333336</v>
      </c>
      <c r="B308" s="15">
        <v>8129.83</v>
      </c>
      <c r="C308" s="15">
        <v>0.27</v>
      </c>
      <c r="D308" s="15">
        <v>450.67</v>
      </c>
      <c r="E308" s="15">
        <v>350.09</v>
      </c>
      <c r="F308" s="15">
        <v>434.36</v>
      </c>
      <c r="G308" s="16">
        <v>134.12</v>
      </c>
      <c r="H308" s="19" t="str">
        <f>TEXT(Table4_138[[#This Row],[date]], "hh:mm")</f>
        <v>21:30</v>
      </c>
      <c r="I308" s="25" t="str">
        <f t="shared" si="4"/>
        <v/>
      </c>
    </row>
    <row r="309" spans="1:9">
      <c r="A309" s="13">
        <v>45855.916666666664</v>
      </c>
      <c r="B309" s="15">
        <v>8061.09</v>
      </c>
      <c r="C309" s="15">
        <v>-2.5499999999999998</v>
      </c>
      <c r="D309" s="15">
        <v>449.83</v>
      </c>
      <c r="E309" s="15">
        <v>195.03</v>
      </c>
      <c r="F309" s="15">
        <v>457.35</v>
      </c>
      <c r="G309" s="16">
        <v>134.53</v>
      </c>
      <c r="H309" s="19" t="str">
        <f>TEXT(Table4_138[[#This Row],[date]], "hh:mm")</f>
        <v>22:00</v>
      </c>
      <c r="I309" s="25" t="str">
        <f t="shared" si="4"/>
        <v/>
      </c>
    </row>
    <row r="310" spans="1:9">
      <c r="A310" s="13">
        <v>45855.9375</v>
      </c>
      <c r="B310" s="15">
        <v>8073.74</v>
      </c>
      <c r="C310" s="15">
        <v>-2.5099999999999998</v>
      </c>
      <c r="D310" s="15">
        <v>453.17</v>
      </c>
      <c r="E310" s="15">
        <v>52.8</v>
      </c>
      <c r="F310" s="15">
        <v>522.1</v>
      </c>
      <c r="G310" s="16">
        <v>171.65</v>
      </c>
      <c r="H310" s="19" t="str">
        <f>TEXT(Table4_138[[#This Row],[date]], "hh:mm")</f>
        <v>22:30</v>
      </c>
      <c r="I310" s="25" t="str">
        <f t="shared" si="4"/>
        <v/>
      </c>
    </row>
    <row r="311" spans="1:9">
      <c r="A311" s="13">
        <v>45855.958333333336</v>
      </c>
      <c r="B311" s="15">
        <v>8119.62</v>
      </c>
      <c r="C311" s="15">
        <v>-0.33</v>
      </c>
      <c r="D311" s="15">
        <v>444.17</v>
      </c>
      <c r="E311" s="15">
        <v>42.55</v>
      </c>
      <c r="F311" s="15">
        <v>506.45</v>
      </c>
      <c r="G311" s="16">
        <v>140.94</v>
      </c>
      <c r="H311" s="19" t="str">
        <f>TEXT(Table4_138[[#This Row],[date]], "hh:mm")</f>
        <v>23:00</v>
      </c>
      <c r="I311" s="25" t="str">
        <f t="shared" si="4"/>
        <v/>
      </c>
    </row>
    <row r="312" spans="1:9">
      <c r="A312" s="13">
        <v>45855.979166666664</v>
      </c>
      <c r="B312" s="15">
        <v>8122.02</v>
      </c>
      <c r="C312" s="15">
        <v>-0.5</v>
      </c>
      <c r="D312" s="15">
        <v>305.17</v>
      </c>
      <c r="E312" s="15">
        <v>42.53</v>
      </c>
      <c r="F312" s="15">
        <v>421.67</v>
      </c>
      <c r="G312" s="16">
        <v>109.92</v>
      </c>
      <c r="H312" s="19" t="str">
        <f>TEXT(Table4_138[[#This Row],[date]], "hh:mm")</f>
        <v>23:30</v>
      </c>
      <c r="I312" s="25" t="str">
        <f t="shared" si="4"/>
        <v/>
      </c>
    </row>
    <row r="313" spans="1:9">
      <c r="A313" s="13">
        <v>45856</v>
      </c>
      <c r="B313" s="15">
        <v>8067.67</v>
      </c>
      <c r="C313" s="15">
        <v>-0.74</v>
      </c>
      <c r="D313" s="15">
        <v>194.33</v>
      </c>
      <c r="E313" s="15">
        <v>42.68</v>
      </c>
      <c r="F313" s="15">
        <v>261.79000000000002</v>
      </c>
      <c r="G313" s="16">
        <v>127.6</v>
      </c>
      <c r="H313" s="19" t="str">
        <f>TEXT(Table4_138[[#This Row],[date]], "hh:mm")</f>
        <v>00:00</v>
      </c>
      <c r="I313" s="25" t="str">
        <f t="shared" si="4"/>
        <v>18 Jul</v>
      </c>
    </row>
    <row r="314" spans="1:9">
      <c r="A314" s="13">
        <v>45856.020833333336</v>
      </c>
      <c r="B314" s="15">
        <v>7973.44</v>
      </c>
      <c r="C314" s="15">
        <v>-2.65</v>
      </c>
      <c r="D314" s="15">
        <v>190</v>
      </c>
      <c r="E314" s="15">
        <v>42.71</v>
      </c>
      <c r="F314" s="15">
        <v>298.75</v>
      </c>
      <c r="G314" s="16">
        <v>98.1</v>
      </c>
      <c r="H314" s="19" t="str">
        <f>TEXT(Table4_138[[#This Row],[date]], "hh:mm")</f>
        <v>00:30</v>
      </c>
      <c r="I314" s="25" t="str">
        <f t="shared" si="4"/>
        <v/>
      </c>
    </row>
    <row r="315" spans="1:9">
      <c r="A315" s="13">
        <v>45856.041666666664</v>
      </c>
      <c r="B315" s="15">
        <v>7814.07</v>
      </c>
      <c r="C315" s="15">
        <v>-1.69</v>
      </c>
      <c r="D315" s="15">
        <v>189.83</v>
      </c>
      <c r="E315" s="15">
        <v>42.84</v>
      </c>
      <c r="F315" s="15">
        <v>353.75</v>
      </c>
      <c r="G315" s="16">
        <v>96.55</v>
      </c>
      <c r="H315" s="19" t="str">
        <f>TEXT(Table4_138[[#This Row],[date]], "hh:mm")</f>
        <v>01:00</v>
      </c>
      <c r="I315" s="25" t="str">
        <f t="shared" si="4"/>
        <v/>
      </c>
    </row>
    <row r="316" spans="1:9">
      <c r="A316" s="13">
        <v>45856.0625</v>
      </c>
      <c r="B316" s="15">
        <v>7627.58</v>
      </c>
      <c r="C316" s="15">
        <v>-1.04</v>
      </c>
      <c r="D316" s="15">
        <v>189.67</v>
      </c>
      <c r="E316" s="15">
        <v>42.78</v>
      </c>
      <c r="F316" s="15">
        <v>376.66</v>
      </c>
      <c r="G316" s="16">
        <v>90.63</v>
      </c>
      <c r="H316" s="19" t="str">
        <f>TEXT(Table4_138[[#This Row],[date]], "hh:mm")</f>
        <v>01:30</v>
      </c>
      <c r="I316" s="25" t="str">
        <f t="shared" si="4"/>
        <v/>
      </c>
    </row>
    <row r="317" spans="1:9">
      <c r="A317" s="13">
        <v>45856.083333333336</v>
      </c>
      <c r="B317" s="15">
        <v>7425.33</v>
      </c>
      <c r="C317" s="15">
        <v>-1.43</v>
      </c>
      <c r="D317" s="15">
        <v>190</v>
      </c>
      <c r="E317" s="15">
        <v>42.9</v>
      </c>
      <c r="F317" s="15">
        <v>465.77</v>
      </c>
      <c r="G317" s="16">
        <v>84.85</v>
      </c>
      <c r="H317" s="19" t="str">
        <f>TEXT(Table4_138[[#This Row],[date]], "hh:mm")</f>
        <v>02:00</v>
      </c>
      <c r="I317" s="25" t="str">
        <f t="shared" si="4"/>
        <v/>
      </c>
    </row>
    <row r="318" spans="1:9">
      <c r="A318" s="13">
        <v>45856.104166666664</v>
      </c>
      <c r="B318" s="15">
        <v>7290</v>
      </c>
      <c r="C318" s="15">
        <v>-2.1800000000000002</v>
      </c>
      <c r="D318" s="15">
        <v>190.17</v>
      </c>
      <c r="E318" s="15">
        <v>43.32</v>
      </c>
      <c r="F318" s="15">
        <v>453.06</v>
      </c>
      <c r="G318" s="16">
        <v>90.36</v>
      </c>
      <c r="H318" s="19" t="str">
        <f>TEXT(Table4_138[[#This Row],[date]], "hh:mm")</f>
        <v>02:30</v>
      </c>
      <c r="I318" s="25" t="str">
        <f t="shared" si="4"/>
        <v/>
      </c>
    </row>
    <row r="319" spans="1:9">
      <c r="A319" s="13">
        <v>45856.125</v>
      </c>
      <c r="B319" s="15">
        <v>7203.53</v>
      </c>
      <c r="C319" s="15">
        <v>-2.29</v>
      </c>
      <c r="D319" s="15">
        <v>189.83</v>
      </c>
      <c r="E319" s="15">
        <v>43</v>
      </c>
      <c r="F319" s="15">
        <v>404.65</v>
      </c>
      <c r="G319" s="16">
        <v>81.17</v>
      </c>
      <c r="H319" s="19" t="str">
        <f>TEXT(Table4_138[[#This Row],[date]], "hh:mm")</f>
        <v>03:00</v>
      </c>
      <c r="I319" s="25" t="str">
        <f t="shared" si="4"/>
        <v/>
      </c>
    </row>
    <row r="320" spans="1:9">
      <c r="A320" s="13">
        <v>45856.145833333336</v>
      </c>
      <c r="B320" s="15">
        <v>7227.16</v>
      </c>
      <c r="C320" s="15">
        <v>-2.92</v>
      </c>
      <c r="D320" s="15">
        <v>189.67</v>
      </c>
      <c r="E320" s="15">
        <v>42.73</v>
      </c>
      <c r="F320" s="15">
        <v>332.93</v>
      </c>
      <c r="G320" s="16">
        <v>102.32</v>
      </c>
      <c r="H320" s="19" t="str">
        <f>TEXT(Table4_138[[#This Row],[date]], "hh:mm")</f>
        <v>03:30</v>
      </c>
      <c r="I320" s="25" t="str">
        <f t="shared" si="4"/>
        <v/>
      </c>
    </row>
    <row r="321" spans="1:9">
      <c r="A321" s="13">
        <v>45856.166666666664</v>
      </c>
      <c r="B321" s="15">
        <v>7270.43</v>
      </c>
      <c r="C321" s="15">
        <v>-2.83</v>
      </c>
      <c r="D321" s="15">
        <v>190</v>
      </c>
      <c r="E321" s="15">
        <v>43.12</v>
      </c>
      <c r="F321" s="15">
        <v>337.84</v>
      </c>
      <c r="G321" s="16">
        <v>85.84</v>
      </c>
      <c r="H321" s="19" t="str">
        <f>TEXT(Table4_138[[#This Row],[date]], "hh:mm")</f>
        <v>04:00</v>
      </c>
      <c r="I321" s="25" t="str">
        <f t="shared" si="4"/>
        <v/>
      </c>
    </row>
    <row r="322" spans="1:9">
      <c r="A322" s="13">
        <v>45856.1875</v>
      </c>
      <c r="B322" s="15">
        <v>7289.57</v>
      </c>
      <c r="C322" s="15">
        <v>-2.35</v>
      </c>
      <c r="D322" s="15">
        <v>189.83</v>
      </c>
      <c r="E322" s="15">
        <v>43.54</v>
      </c>
      <c r="F322" s="15">
        <v>327.20999999999998</v>
      </c>
      <c r="G322" s="16">
        <v>100.25</v>
      </c>
      <c r="H322" s="19" t="str">
        <f>TEXT(Table4_138[[#This Row],[date]], "hh:mm")</f>
        <v>04:30</v>
      </c>
      <c r="I322" s="25" t="str">
        <f t="shared" ref="I322:I338" si="5">IF(AND(HOUR(A322)=0,MINUTE(A322)=0),TEXT(A322,"d mmm"),"")</f>
        <v/>
      </c>
    </row>
    <row r="323" spans="1:9">
      <c r="A323" s="13">
        <v>45856.208333333336</v>
      </c>
      <c r="B323" s="15">
        <v>7449.21</v>
      </c>
      <c r="C323" s="15">
        <v>-3.22</v>
      </c>
      <c r="D323" s="15">
        <v>190.17</v>
      </c>
      <c r="E323" s="15">
        <v>43.19</v>
      </c>
      <c r="F323" s="15">
        <v>307.83</v>
      </c>
      <c r="G323" s="16">
        <v>112.24</v>
      </c>
      <c r="H323" s="19" t="str">
        <f>TEXT(Table4_138[[#This Row],[date]], "hh:mm")</f>
        <v>05:00</v>
      </c>
      <c r="I323" s="25" t="str">
        <f t="shared" si="5"/>
        <v/>
      </c>
    </row>
    <row r="324" spans="1:9">
      <c r="A324" s="13">
        <v>45856.229166666664</v>
      </c>
      <c r="B324" s="15">
        <v>7844.03</v>
      </c>
      <c r="C324" s="15">
        <v>-0.92</v>
      </c>
      <c r="D324" s="15">
        <v>208.17</v>
      </c>
      <c r="E324" s="15">
        <v>43.6</v>
      </c>
      <c r="F324" s="15">
        <v>289.05</v>
      </c>
      <c r="G324" s="16">
        <v>122.82</v>
      </c>
      <c r="H324" s="19" t="str">
        <f>TEXT(Table4_138[[#This Row],[date]], "hh:mm")</f>
        <v>05:30</v>
      </c>
      <c r="I324" s="25" t="str">
        <f t="shared" si="5"/>
        <v/>
      </c>
    </row>
    <row r="325" spans="1:9">
      <c r="A325" s="13">
        <v>45856.25</v>
      </c>
      <c r="B325" s="15">
        <v>8092.69</v>
      </c>
      <c r="C325" s="15">
        <v>-1.32</v>
      </c>
      <c r="D325" s="15">
        <v>376.17</v>
      </c>
      <c r="E325" s="15">
        <v>43.57</v>
      </c>
      <c r="F325" s="15">
        <v>281.88</v>
      </c>
      <c r="G325" s="16">
        <v>120.89</v>
      </c>
      <c r="H325" s="19" t="str">
        <f>TEXT(Table4_138[[#This Row],[date]], "hh:mm")</f>
        <v>06:00</v>
      </c>
      <c r="I325" s="25" t="str">
        <f t="shared" si="5"/>
        <v/>
      </c>
    </row>
    <row r="326" spans="1:9">
      <c r="A326" s="13">
        <v>45856.270833333336</v>
      </c>
      <c r="B326" s="15">
        <v>8143.84</v>
      </c>
      <c r="C326" s="15">
        <v>0.45</v>
      </c>
      <c r="D326" s="15">
        <v>457.92</v>
      </c>
      <c r="E326" s="15">
        <v>43.84</v>
      </c>
      <c r="F326" s="15">
        <v>290.02999999999997</v>
      </c>
      <c r="G326" s="16">
        <v>162.19</v>
      </c>
      <c r="H326" s="19" t="str">
        <f>TEXT(Table4_138[[#This Row],[date]], "hh:mm")</f>
        <v>06:30</v>
      </c>
      <c r="I326" s="25" t="str">
        <f t="shared" si="5"/>
        <v/>
      </c>
    </row>
    <row r="327" spans="1:9">
      <c r="A327" s="13">
        <v>45856.291666666664</v>
      </c>
      <c r="B327" s="15">
        <v>8100.52</v>
      </c>
      <c r="C327" s="15">
        <v>-0.76</v>
      </c>
      <c r="D327" s="15">
        <v>534.85</v>
      </c>
      <c r="E327" s="15">
        <v>43.74</v>
      </c>
      <c r="F327" s="15">
        <v>310.75</v>
      </c>
      <c r="G327" s="16">
        <v>202.46</v>
      </c>
      <c r="H327" s="19" t="str">
        <f>TEXT(Table4_138[[#This Row],[date]], "hh:mm")</f>
        <v>07:00</v>
      </c>
      <c r="I327" s="25" t="str">
        <f t="shared" si="5"/>
        <v/>
      </c>
    </row>
    <row r="328" spans="1:9">
      <c r="A328" s="13">
        <v>45856.3125</v>
      </c>
      <c r="B328" s="15">
        <v>8064.88</v>
      </c>
      <c r="C328" s="15">
        <v>-0.59</v>
      </c>
      <c r="D328" s="15">
        <v>576.74</v>
      </c>
      <c r="E328" s="15">
        <v>43.56</v>
      </c>
      <c r="F328" s="15">
        <v>309.8</v>
      </c>
      <c r="G328" s="16">
        <v>299.98</v>
      </c>
      <c r="H328" s="19" t="str">
        <f>TEXT(Table4_138[[#This Row],[date]], "hh:mm")</f>
        <v>07:30</v>
      </c>
      <c r="I328" s="25" t="str">
        <f t="shared" si="5"/>
        <v/>
      </c>
    </row>
    <row r="329" spans="1:9">
      <c r="A329" s="13">
        <v>45856.333333333336</v>
      </c>
      <c r="B329" s="15">
        <v>8133.81</v>
      </c>
      <c r="C329" s="15">
        <v>-0.13</v>
      </c>
      <c r="D329" s="15">
        <v>568.51</v>
      </c>
      <c r="E329" s="15">
        <v>43.51</v>
      </c>
      <c r="F329" s="15">
        <v>331.23</v>
      </c>
      <c r="G329" s="16">
        <v>291.7</v>
      </c>
      <c r="H329" s="19" t="str">
        <f>TEXT(Table4_138[[#This Row],[date]], "hh:mm")</f>
        <v>08:00</v>
      </c>
      <c r="I329" s="25" t="str">
        <f t="shared" si="5"/>
        <v/>
      </c>
    </row>
    <row r="330" spans="1:9">
      <c r="A330" s="13">
        <v>45856.354166666664</v>
      </c>
      <c r="B330" s="15">
        <v>8086.29</v>
      </c>
      <c r="C330" s="15">
        <v>2.06</v>
      </c>
      <c r="D330" s="15">
        <v>373.48</v>
      </c>
      <c r="E330" s="15">
        <v>43.92</v>
      </c>
      <c r="F330" s="15">
        <v>340.28</v>
      </c>
      <c r="G330" s="16">
        <v>263.02</v>
      </c>
      <c r="H330" s="19" t="str">
        <f>TEXT(Table4_138[[#This Row],[date]], "hh:mm")</f>
        <v>08:30</v>
      </c>
      <c r="I330" s="25" t="str">
        <f t="shared" si="5"/>
        <v/>
      </c>
    </row>
    <row r="331" spans="1:9">
      <c r="A331" s="13">
        <v>45856.375</v>
      </c>
      <c r="B331" s="15">
        <v>7942.53</v>
      </c>
      <c r="C331" s="15">
        <v>12.36</v>
      </c>
      <c r="D331" s="15">
        <v>9.67</v>
      </c>
      <c r="E331" s="15">
        <v>43.94</v>
      </c>
      <c r="F331" s="15">
        <v>293.14</v>
      </c>
      <c r="G331" s="16">
        <v>168.06</v>
      </c>
      <c r="H331" s="19" t="str">
        <f>TEXT(Table4_138[[#This Row],[date]], "hh:mm")</f>
        <v>09:00</v>
      </c>
      <c r="I331" s="25" t="str">
        <f t="shared" si="5"/>
        <v/>
      </c>
    </row>
    <row r="332" spans="1:9">
      <c r="A332" s="13">
        <v>45856.395833333336</v>
      </c>
      <c r="B332" s="15">
        <v>7744.28</v>
      </c>
      <c r="C332" s="15">
        <v>12.89</v>
      </c>
      <c r="D332" s="15">
        <v>0</v>
      </c>
      <c r="E332" s="15">
        <v>43.91</v>
      </c>
      <c r="F332" s="15">
        <v>251.66</v>
      </c>
      <c r="G332" s="16">
        <v>122.8</v>
      </c>
      <c r="H332" s="19" t="str">
        <f>TEXT(Table4_138[[#This Row],[date]], "hh:mm")</f>
        <v>09:30</v>
      </c>
      <c r="I332" s="25" t="str">
        <f t="shared" si="5"/>
        <v/>
      </c>
    </row>
    <row r="333" spans="1:9">
      <c r="A333" s="13">
        <v>45856.416666666664</v>
      </c>
      <c r="B333" s="15">
        <v>7298.85</v>
      </c>
      <c r="C333" s="15">
        <v>10.83</v>
      </c>
      <c r="D333" s="15">
        <v>0</v>
      </c>
      <c r="E333" s="15">
        <v>43.76</v>
      </c>
      <c r="F333" s="15">
        <v>209.68</v>
      </c>
      <c r="G333" s="16">
        <v>128.81</v>
      </c>
      <c r="H333" s="19" t="str">
        <f>TEXT(Table4_138[[#This Row],[date]], "hh:mm")</f>
        <v>10:00</v>
      </c>
      <c r="I333" s="25" t="str">
        <f t="shared" si="5"/>
        <v/>
      </c>
    </row>
    <row r="334" spans="1:9">
      <c r="A334" s="13">
        <v>45856.4375</v>
      </c>
      <c r="B334" s="15">
        <v>6846.27</v>
      </c>
      <c r="C334" s="15">
        <v>10.45</v>
      </c>
      <c r="D334" s="15">
        <v>0</v>
      </c>
      <c r="E334" s="15">
        <v>42.91</v>
      </c>
      <c r="F334" s="15">
        <v>172.27</v>
      </c>
      <c r="G334" s="16">
        <v>123.83</v>
      </c>
      <c r="H334" s="19" t="str">
        <f>TEXT(Table4_138[[#This Row],[date]], "hh:mm")</f>
        <v>10:30</v>
      </c>
      <c r="I334" s="25" t="str">
        <f t="shared" si="5"/>
        <v/>
      </c>
    </row>
    <row r="335" spans="1:9">
      <c r="A335" s="13">
        <v>45856.458333333336</v>
      </c>
      <c r="B335" s="15">
        <v>6486.45</v>
      </c>
      <c r="C335" s="15">
        <v>10.32</v>
      </c>
      <c r="D335" s="15">
        <v>0</v>
      </c>
      <c r="E335" s="15">
        <v>42.78</v>
      </c>
      <c r="F335" s="15">
        <v>131.25</v>
      </c>
      <c r="G335" s="16">
        <v>94.8</v>
      </c>
      <c r="H335" s="19" t="str">
        <f>TEXT(Table4_138[[#This Row],[date]], "hh:mm")</f>
        <v>11:00</v>
      </c>
      <c r="I335" s="25" t="str">
        <f t="shared" si="5"/>
        <v/>
      </c>
    </row>
    <row r="336" spans="1:9">
      <c r="A336" s="13">
        <v>45856.479166666664</v>
      </c>
      <c r="B336" s="15">
        <v>5928.26</v>
      </c>
      <c r="C336" s="15">
        <v>10.49</v>
      </c>
      <c r="D336" s="15">
        <v>0</v>
      </c>
      <c r="E336" s="15">
        <v>43.28</v>
      </c>
      <c r="F336" s="15">
        <v>108.99</v>
      </c>
      <c r="G336" s="16">
        <v>91.02</v>
      </c>
      <c r="H336" s="19" t="str">
        <f>TEXT(Table4_138[[#This Row],[date]], "hh:mm")</f>
        <v>11:30</v>
      </c>
      <c r="I336" s="25" t="str">
        <f t="shared" si="5"/>
        <v/>
      </c>
    </row>
    <row r="337" spans="1:9">
      <c r="A337" s="13">
        <v>45856.5</v>
      </c>
      <c r="B337" s="15">
        <v>5705.43</v>
      </c>
      <c r="C337" s="15">
        <v>10.53</v>
      </c>
      <c r="D337" s="15">
        <v>0</v>
      </c>
      <c r="E337" s="15">
        <v>43.43</v>
      </c>
      <c r="F337" s="15">
        <v>84.04</v>
      </c>
      <c r="G337" s="16">
        <v>88.28</v>
      </c>
      <c r="H337" s="19" t="str">
        <f>TEXT(Table4_138[[#This Row],[date]], "hh:mm")</f>
        <v>12:00</v>
      </c>
      <c r="I337" s="25" t="str">
        <f t="shared" si="5"/>
        <v/>
      </c>
    </row>
    <row r="338" spans="1:9">
      <c r="A338" s="17">
        <v>45856.520833333336</v>
      </c>
      <c r="B338" s="19">
        <v>5653.77</v>
      </c>
      <c r="C338" s="19">
        <v>9.66</v>
      </c>
      <c r="D338" s="19">
        <v>0</v>
      </c>
      <c r="E338" s="19">
        <v>43.58</v>
      </c>
      <c r="F338" s="19">
        <v>40.29</v>
      </c>
      <c r="G338" s="8">
        <v>59.52</v>
      </c>
      <c r="H338" s="15" t="str">
        <f>TEXT(Table4_138[[#This Row],[date]], "hh:mm")</f>
        <v>12:30</v>
      </c>
      <c r="I338" s="25" t="str">
        <f t="shared" si="5"/>
        <v/>
      </c>
    </row>
  </sheetData>
  <conditionalFormatting sqref="F1:F1048576">
    <cfRule type="top10" dxfId="2" priority="3" rank="3"/>
  </conditionalFormatting>
  <conditionalFormatting sqref="G73:G120">
    <cfRule type="top10" dxfId="1" priority="2" rank="1"/>
  </conditionalFormatting>
  <conditionalFormatting sqref="G217:G264">
    <cfRule type="top10" dxfId="0" priority="1" rank="1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BF03-ADB1-C14E-98C4-E04F2F6FEF7C}">
  <dimension ref="A1:I122"/>
  <sheetViews>
    <sheetView zoomScale="111" workbookViewId="0">
      <selection activeCell="E5" sqref="E5"/>
    </sheetView>
  </sheetViews>
  <sheetFormatPr baseColWidth="10" defaultRowHeight="13"/>
  <cols>
    <col min="1" max="1" width="15.796875" style="36" bestFit="1" customWidth="1"/>
    <col min="2" max="2" width="29.59765625" bestFit="1" customWidth="1"/>
    <col min="3" max="3" width="30.3984375" bestFit="1" customWidth="1"/>
    <col min="4" max="4" width="28.59765625" bestFit="1" customWidth="1"/>
    <col min="5" max="5" width="20.3984375" bestFit="1" customWidth="1"/>
    <col min="6" max="6" width="21.3984375" bestFit="1" customWidth="1"/>
    <col min="7" max="8" width="27" bestFit="1" customWidth="1"/>
    <col min="9" max="9" width="27.59765625" bestFit="1" customWidth="1"/>
    <col min="16" max="16" width="15.796875" bestFit="1" customWidth="1"/>
    <col min="17" max="17" width="29.59765625" bestFit="1" customWidth="1"/>
  </cols>
  <sheetData>
    <row r="1" spans="1:2">
      <c r="A1" s="35" t="s">
        <v>88</v>
      </c>
      <c r="B1" t="s">
        <v>26</v>
      </c>
    </row>
    <row r="2" spans="1:2">
      <c r="A2" s="23" t="s">
        <v>114</v>
      </c>
      <c r="B2" s="28">
        <v>84.329285714285703</v>
      </c>
    </row>
    <row r="3" spans="1:2">
      <c r="A3" s="39" t="s">
        <v>142</v>
      </c>
      <c r="B3" s="28">
        <v>86.982857142857142</v>
      </c>
    </row>
    <row r="4" spans="1:2">
      <c r="A4" s="46">
        <v>0</v>
      </c>
      <c r="B4" s="28">
        <v>86.982857142857142</v>
      </c>
    </row>
    <row r="5" spans="1:2">
      <c r="A5" s="39" t="s">
        <v>143</v>
      </c>
      <c r="B5" s="28">
        <v>81.675714285714292</v>
      </c>
    </row>
    <row r="6" spans="1:2">
      <c r="A6" s="46">
        <v>2.0833333333333332E-2</v>
      </c>
      <c r="B6" s="28">
        <v>81.675714285714292</v>
      </c>
    </row>
    <row r="7" spans="1:2">
      <c r="A7" s="23" t="s">
        <v>115</v>
      </c>
      <c r="B7" s="28">
        <v>81.073571428571441</v>
      </c>
    </row>
    <row r="8" spans="1:2">
      <c r="A8" s="39" t="s">
        <v>142</v>
      </c>
      <c r="B8" s="28">
        <v>81.991428571428557</v>
      </c>
    </row>
    <row r="9" spans="1:2">
      <c r="A9" s="46">
        <v>4.1666666666666664E-2</v>
      </c>
      <c r="B9" s="28">
        <v>81.991428571428557</v>
      </c>
    </row>
    <row r="10" spans="1:2">
      <c r="A10" s="39" t="s">
        <v>143</v>
      </c>
      <c r="B10" s="28">
        <v>80.155714285714268</v>
      </c>
    </row>
    <row r="11" spans="1:2">
      <c r="A11" s="46">
        <v>6.25E-2</v>
      </c>
      <c r="B11" s="28">
        <v>80.155714285714268</v>
      </c>
    </row>
    <row r="12" spans="1:2">
      <c r="A12" s="23" t="s">
        <v>116</v>
      </c>
      <c r="B12" s="28">
        <v>75.530714285714268</v>
      </c>
    </row>
    <row r="13" spans="1:2">
      <c r="A13" s="39" t="s">
        <v>142</v>
      </c>
      <c r="B13" s="28">
        <v>74.835714285714289</v>
      </c>
    </row>
    <row r="14" spans="1:2">
      <c r="A14" s="46">
        <v>8.3333333333333329E-2</v>
      </c>
      <c r="B14" s="28">
        <v>74.835714285714289</v>
      </c>
    </row>
    <row r="15" spans="1:2">
      <c r="A15" s="39" t="s">
        <v>143</v>
      </c>
      <c r="B15" s="28">
        <v>76.22571428571429</v>
      </c>
    </row>
    <row r="16" spans="1:2">
      <c r="A16" s="46">
        <v>0.10416666666666667</v>
      </c>
      <c r="B16" s="28">
        <v>76.22571428571429</v>
      </c>
    </row>
    <row r="17" spans="1:9">
      <c r="A17" s="23" t="s">
        <v>117</v>
      </c>
      <c r="B17" s="28">
        <v>76.352857142857147</v>
      </c>
    </row>
    <row r="18" spans="1:9">
      <c r="A18" s="39" t="s">
        <v>142</v>
      </c>
      <c r="B18" s="28">
        <v>75.285714285714292</v>
      </c>
    </row>
    <row r="19" spans="1:9">
      <c r="A19" s="46">
        <v>0.125</v>
      </c>
      <c r="B19" s="28">
        <v>75.285714285714292</v>
      </c>
    </row>
    <row r="20" spans="1:9">
      <c r="A20" s="39" t="s">
        <v>143</v>
      </c>
      <c r="B20" s="28">
        <v>77.419999999999987</v>
      </c>
    </row>
    <row r="21" spans="1:9">
      <c r="A21" s="46">
        <v>0.14583333333333334</v>
      </c>
      <c r="B21" s="28">
        <v>77.419999999999987</v>
      </c>
    </row>
    <row r="22" spans="1:9">
      <c r="A22" s="23" t="s">
        <v>118</v>
      </c>
      <c r="B22" s="28">
        <v>78.884285714285724</v>
      </c>
    </row>
    <row r="23" spans="1:9">
      <c r="A23" s="39" t="s">
        <v>142</v>
      </c>
      <c r="B23" s="28">
        <v>76.872857142857143</v>
      </c>
    </row>
    <row r="24" spans="1:9">
      <c r="A24" s="46">
        <v>0.16666666666666666</v>
      </c>
      <c r="B24" s="28">
        <v>76.872857142857143</v>
      </c>
    </row>
    <row r="25" spans="1:9">
      <c r="A25" s="39" t="s">
        <v>143</v>
      </c>
      <c r="B25" s="28">
        <v>80.895714285714277</v>
      </c>
    </row>
    <row r="26" spans="1:9">
      <c r="A26" s="46">
        <v>0.1875</v>
      </c>
      <c r="B26" s="28">
        <v>80.895714285714277</v>
      </c>
    </row>
    <row r="27" spans="1:9">
      <c r="A27" s="23" t="s">
        <v>119</v>
      </c>
      <c r="B27" s="28">
        <v>84.519285714285715</v>
      </c>
      <c r="I27" t="s">
        <v>89</v>
      </c>
    </row>
    <row r="28" spans="1:9">
      <c r="A28" s="39" t="s">
        <v>142</v>
      </c>
      <c r="B28" s="28">
        <v>81.535714285714292</v>
      </c>
    </row>
    <row r="29" spans="1:9">
      <c r="A29" s="46">
        <v>0.20833333333333334</v>
      </c>
      <c r="B29" s="28">
        <v>81.535714285714292</v>
      </c>
    </row>
    <row r="30" spans="1:9">
      <c r="A30" s="39" t="s">
        <v>143</v>
      </c>
      <c r="B30" s="28">
        <v>87.502857142857138</v>
      </c>
    </row>
    <row r="31" spans="1:9">
      <c r="A31" s="46">
        <v>0.22916666666666666</v>
      </c>
      <c r="B31" s="28">
        <v>87.502857142857138</v>
      </c>
    </row>
    <row r="32" spans="1:9">
      <c r="A32" s="23" t="s">
        <v>120</v>
      </c>
      <c r="B32" s="28">
        <v>108.04642857142858</v>
      </c>
    </row>
    <row r="33" spans="1:2">
      <c r="A33" s="39" t="s">
        <v>142</v>
      </c>
      <c r="B33" s="28">
        <v>96.751428571428576</v>
      </c>
    </row>
    <row r="34" spans="1:2">
      <c r="A34" s="46">
        <v>0.25</v>
      </c>
      <c r="B34" s="28">
        <v>96.751428571428576</v>
      </c>
    </row>
    <row r="35" spans="1:2">
      <c r="A35" s="39" t="s">
        <v>143</v>
      </c>
      <c r="B35" s="28">
        <v>119.34142857142858</v>
      </c>
    </row>
    <row r="36" spans="1:2">
      <c r="A36" s="46">
        <v>0.27083333333333331</v>
      </c>
      <c r="B36" s="28">
        <v>119.34142857142858</v>
      </c>
    </row>
    <row r="37" spans="1:2">
      <c r="A37" s="23" t="s">
        <v>121</v>
      </c>
      <c r="B37" s="28">
        <v>152.11785714285716</v>
      </c>
    </row>
    <row r="38" spans="1:2">
      <c r="A38" s="39" t="s">
        <v>142</v>
      </c>
      <c r="B38" s="28">
        <v>147.88428571428571</v>
      </c>
    </row>
    <row r="39" spans="1:2">
      <c r="A39" s="46">
        <v>0.29166666666666669</v>
      </c>
      <c r="B39" s="28">
        <v>147.88428571428571</v>
      </c>
    </row>
    <row r="40" spans="1:2">
      <c r="A40" s="39" t="s">
        <v>143</v>
      </c>
      <c r="B40" s="28">
        <v>156.35142857142858</v>
      </c>
    </row>
    <row r="41" spans="1:2">
      <c r="A41" s="46">
        <v>0.3125</v>
      </c>
      <c r="B41" s="28">
        <v>156.35142857142858</v>
      </c>
    </row>
    <row r="42" spans="1:2">
      <c r="A42" s="23" t="s">
        <v>122</v>
      </c>
      <c r="B42" s="28">
        <v>119.87</v>
      </c>
    </row>
    <row r="43" spans="1:2">
      <c r="A43" s="39" t="s">
        <v>142</v>
      </c>
      <c r="B43" s="28">
        <v>141.87285714285713</v>
      </c>
    </row>
    <row r="44" spans="1:2">
      <c r="A44" s="46">
        <v>0.33333333333333331</v>
      </c>
      <c r="B44" s="28">
        <v>141.87285714285713</v>
      </c>
    </row>
    <row r="45" spans="1:2">
      <c r="A45" s="39" t="s">
        <v>143</v>
      </c>
      <c r="B45" s="28">
        <v>97.867142857142852</v>
      </c>
    </row>
    <row r="46" spans="1:2">
      <c r="A46" s="46">
        <v>0.35416666666666669</v>
      </c>
      <c r="B46" s="28">
        <v>97.867142857142852</v>
      </c>
    </row>
    <row r="47" spans="1:2">
      <c r="A47" s="23" t="s">
        <v>123</v>
      </c>
      <c r="B47" s="28">
        <v>83.460000000000008</v>
      </c>
    </row>
    <row r="48" spans="1:2">
      <c r="A48" s="39" t="s">
        <v>142</v>
      </c>
      <c r="B48" s="28">
        <v>81.771428571428586</v>
      </c>
    </row>
    <row r="49" spans="1:2">
      <c r="A49" s="46">
        <v>0.375</v>
      </c>
      <c r="B49" s="28">
        <v>81.771428571428586</v>
      </c>
    </row>
    <row r="50" spans="1:2">
      <c r="A50" s="39" t="s">
        <v>143</v>
      </c>
      <c r="B50" s="28">
        <v>85.148571428571429</v>
      </c>
    </row>
    <row r="51" spans="1:2">
      <c r="A51" s="46">
        <v>0.39583333333333331</v>
      </c>
      <c r="B51" s="28">
        <v>85.148571428571429</v>
      </c>
    </row>
    <row r="52" spans="1:2">
      <c r="A52" s="23" t="s">
        <v>124</v>
      </c>
      <c r="B52" s="28">
        <v>65.549285714285716</v>
      </c>
    </row>
    <row r="53" spans="1:2">
      <c r="A53" s="39" t="s">
        <v>142</v>
      </c>
      <c r="B53" s="28">
        <v>70.944285714285712</v>
      </c>
    </row>
    <row r="54" spans="1:2">
      <c r="A54" s="46">
        <v>0.41666666666666669</v>
      </c>
      <c r="B54" s="28">
        <v>70.944285714285712</v>
      </c>
    </row>
    <row r="55" spans="1:2">
      <c r="A55" s="39" t="s">
        <v>143</v>
      </c>
      <c r="B55" s="28">
        <v>60.154285714285713</v>
      </c>
    </row>
    <row r="56" spans="1:2">
      <c r="A56" s="46">
        <v>0.4375</v>
      </c>
      <c r="B56" s="28">
        <v>60.154285714285713</v>
      </c>
    </row>
    <row r="57" spans="1:2">
      <c r="A57" s="23" t="s">
        <v>125</v>
      </c>
      <c r="B57" s="28">
        <v>31.527142857142856</v>
      </c>
    </row>
    <row r="58" spans="1:2">
      <c r="A58" s="39" t="s">
        <v>142</v>
      </c>
      <c r="B58" s="28">
        <v>31.034285714285716</v>
      </c>
    </row>
    <row r="59" spans="1:2">
      <c r="A59" s="46">
        <v>0.45833333333333331</v>
      </c>
      <c r="B59" s="28">
        <v>31.034285714285716</v>
      </c>
    </row>
    <row r="60" spans="1:2">
      <c r="A60" s="39" t="s">
        <v>143</v>
      </c>
      <c r="B60" s="28">
        <v>32.019999999999996</v>
      </c>
    </row>
    <row r="61" spans="1:2">
      <c r="A61" s="46">
        <v>0.47916666666666669</v>
      </c>
      <c r="B61" s="28">
        <v>32.019999999999996</v>
      </c>
    </row>
    <row r="62" spans="1:2">
      <c r="A62" s="23" t="s">
        <v>126</v>
      </c>
      <c r="B62" s="28">
        <v>24.19</v>
      </c>
    </row>
    <row r="63" spans="1:2">
      <c r="A63" s="39" t="s">
        <v>142</v>
      </c>
      <c r="B63" s="28">
        <v>25.745714285714286</v>
      </c>
    </row>
    <row r="64" spans="1:2">
      <c r="A64" s="46">
        <v>0.5</v>
      </c>
      <c r="B64" s="28">
        <v>25.745714285714286</v>
      </c>
    </row>
    <row r="65" spans="1:2">
      <c r="A65" s="39" t="s">
        <v>143</v>
      </c>
      <c r="B65" s="28">
        <v>22.828750000000003</v>
      </c>
    </row>
    <row r="66" spans="1:2">
      <c r="A66" s="46">
        <v>0.52083333333333337</v>
      </c>
      <c r="B66" s="28">
        <v>22.828750000000003</v>
      </c>
    </row>
    <row r="67" spans="1:2">
      <c r="A67" s="23" t="s">
        <v>127</v>
      </c>
      <c r="B67" s="28">
        <v>9.838571428571429</v>
      </c>
    </row>
    <row r="68" spans="1:2">
      <c r="A68" s="39" t="s">
        <v>142</v>
      </c>
      <c r="B68" s="28">
        <v>5.3885714285714297</v>
      </c>
    </row>
    <row r="69" spans="1:2">
      <c r="A69" s="46">
        <v>0.54166666666666663</v>
      </c>
      <c r="B69" s="28">
        <v>5.3885714285714297</v>
      </c>
    </row>
    <row r="70" spans="1:2">
      <c r="A70" s="39" t="s">
        <v>143</v>
      </c>
      <c r="B70" s="28">
        <v>14.288571428571428</v>
      </c>
    </row>
    <row r="71" spans="1:2">
      <c r="A71" s="46">
        <v>0.5625</v>
      </c>
      <c r="B71" s="28">
        <v>14.288571428571428</v>
      </c>
    </row>
    <row r="72" spans="1:2">
      <c r="A72" s="23" t="s">
        <v>128</v>
      </c>
      <c r="B72" s="28">
        <v>12.443571428571429</v>
      </c>
    </row>
    <row r="73" spans="1:2">
      <c r="A73" s="39" t="s">
        <v>142</v>
      </c>
      <c r="B73" s="28">
        <v>4.0828571428571436</v>
      </c>
    </row>
    <row r="74" spans="1:2">
      <c r="A74" s="46">
        <v>0.58333333333333337</v>
      </c>
      <c r="B74" s="28">
        <v>4.0828571428571436</v>
      </c>
    </row>
    <row r="75" spans="1:2">
      <c r="A75" s="39" t="s">
        <v>143</v>
      </c>
      <c r="B75" s="28">
        <v>20.804285714285715</v>
      </c>
    </row>
    <row r="76" spans="1:2">
      <c r="A76" s="46">
        <v>0.60416666666666663</v>
      </c>
      <c r="B76" s="28">
        <v>20.804285714285715</v>
      </c>
    </row>
    <row r="77" spans="1:2">
      <c r="A77" s="23" t="s">
        <v>129</v>
      </c>
      <c r="B77" s="28">
        <v>29.439285714285717</v>
      </c>
    </row>
    <row r="78" spans="1:2">
      <c r="A78" s="39" t="s">
        <v>142</v>
      </c>
      <c r="B78" s="28">
        <v>45.08428571428572</v>
      </c>
    </row>
    <row r="79" spans="1:2">
      <c r="A79" s="46">
        <v>0.625</v>
      </c>
      <c r="B79" s="28">
        <v>45.08428571428572</v>
      </c>
    </row>
    <row r="80" spans="1:2">
      <c r="A80" s="39" t="s">
        <v>143</v>
      </c>
      <c r="B80" s="28">
        <v>13.794285714285715</v>
      </c>
    </row>
    <row r="81" spans="1:2">
      <c r="A81" s="46">
        <v>0.64583333333333337</v>
      </c>
      <c r="B81" s="28">
        <v>13.794285714285715</v>
      </c>
    </row>
    <row r="82" spans="1:2">
      <c r="A82" s="23" t="s">
        <v>130</v>
      </c>
      <c r="B82" s="28">
        <v>80.249285714285719</v>
      </c>
    </row>
    <row r="83" spans="1:2">
      <c r="A83" s="39" t="s">
        <v>142</v>
      </c>
      <c r="B83" s="28">
        <v>68.755714285714276</v>
      </c>
    </row>
    <row r="84" spans="1:2">
      <c r="A84" s="46">
        <v>0.66666666666666663</v>
      </c>
      <c r="B84" s="28">
        <v>68.755714285714276</v>
      </c>
    </row>
    <row r="85" spans="1:2">
      <c r="A85" s="39" t="s">
        <v>143</v>
      </c>
      <c r="B85" s="28">
        <v>91.742857142857147</v>
      </c>
    </row>
    <row r="86" spans="1:2">
      <c r="A86" s="46">
        <v>0.6875</v>
      </c>
      <c r="B86" s="28">
        <v>91.742857142857147</v>
      </c>
    </row>
    <row r="87" spans="1:2">
      <c r="A87" s="23" t="s">
        <v>131</v>
      </c>
      <c r="B87" s="28">
        <v>164.98642857142858</v>
      </c>
    </row>
    <row r="88" spans="1:2">
      <c r="A88" s="39" t="s">
        <v>142</v>
      </c>
      <c r="B88" s="28">
        <v>158.11142857142858</v>
      </c>
    </row>
    <row r="89" spans="1:2">
      <c r="A89" s="46">
        <v>0.70833333333333337</v>
      </c>
      <c r="B89" s="28">
        <v>158.11142857142858</v>
      </c>
    </row>
    <row r="90" spans="1:2">
      <c r="A90" s="39" t="s">
        <v>143</v>
      </c>
      <c r="B90" s="28">
        <v>171.86142857142858</v>
      </c>
    </row>
    <row r="91" spans="1:2">
      <c r="A91" s="46">
        <v>0.72916666666666663</v>
      </c>
      <c r="B91" s="28">
        <v>171.86142857142858</v>
      </c>
    </row>
    <row r="92" spans="1:2">
      <c r="A92" s="23" t="s">
        <v>132</v>
      </c>
      <c r="B92" s="28">
        <v>211.16357142857143</v>
      </c>
    </row>
    <row r="93" spans="1:2">
      <c r="A93" s="39" t="s">
        <v>142</v>
      </c>
      <c r="B93" s="28">
        <v>230.89000000000001</v>
      </c>
    </row>
    <row r="94" spans="1:2">
      <c r="A94" s="46">
        <v>0.75</v>
      </c>
      <c r="B94" s="28">
        <v>230.89000000000001</v>
      </c>
    </row>
    <row r="95" spans="1:2">
      <c r="A95" s="39" t="s">
        <v>143</v>
      </c>
      <c r="B95" s="28">
        <v>191.43714285714285</v>
      </c>
    </row>
    <row r="96" spans="1:2">
      <c r="A96" s="46">
        <v>0.77083333333333337</v>
      </c>
      <c r="B96" s="28">
        <v>191.43714285714285</v>
      </c>
    </row>
    <row r="97" spans="1:2">
      <c r="A97" s="23" t="s">
        <v>133</v>
      </c>
      <c r="B97" s="28">
        <v>181.83785714285719</v>
      </c>
    </row>
    <row r="98" spans="1:2">
      <c r="A98" s="39" t="s">
        <v>142</v>
      </c>
      <c r="B98" s="28">
        <v>188.42285714285714</v>
      </c>
    </row>
    <row r="99" spans="1:2">
      <c r="A99" s="46">
        <v>0.79166666666666663</v>
      </c>
      <c r="B99" s="28">
        <v>188.42285714285714</v>
      </c>
    </row>
    <row r="100" spans="1:2">
      <c r="A100" s="39" t="s">
        <v>143</v>
      </c>
      <c r="B100" s="28">
        <v>175.25285714285715</v>
      </c>
    </row>
    <row r="101" spans="1:2">
      <c r="A101" s="46">
        <v>0.8125</v>
      </c>
      <c r="B101" s="28">
        <v>175.25285714285715</v>
      </c>
    </row>
    <row r="102" spans="1:2">
      <c r="A102" s="23" t="s">
        <v>134</v>
      </c>
      <c r="B102" s="28">
        <v>138.36285714285714</v>
      </c>
    </row>
    <row r="103" spans="1:2">
      <c r="A103" s="39" t="s">
        <v>142</v>
      </c>
      <c r="B103" s="28">
        <v>141.87285714285716</v>
      </c>
    </row>
    <row r="104" spans="1:2">
      <c r="A104" s="46">
        <v>0.83333333333333337</v>
      </c>
      <c r="B104" s="28">
        <v>141.87285714285716</v>
      </c>
    </row>
    <row r="105" spans="1:2">
      <c r="A105" s="39" t="s">
        <v>143</v>
      </c>
      <c r="B105" s="28">
        <v>134.85285714285715</v>
      </c>
    </row>
    <row r="106" spans="1:2">
      <c r="A106" s="46">
        <v>0.85416666666666663</v>
      </c>
      <c r="B106" s="28">
        <v>134.85285714285715</v>
      </c>
    </row>
    <row r="107" spans="1:2">
      <c r="A107" s="23" t="s">
        <v>135</v>
      </c>
      <c r="B107" s="28">
        <v>130.89571428571429</v>
      </c>
    </row>
    <row r="108" spans="1:2">
      <c r="A108" s="39" t="s">
        <v>142</v>
      </c>
      <c r="B108" s="28">
        <v>140.27714285714288</v>
      </c>
    </row>
    <row r="109" spans="1:2">
      <c r="A109" s="46">
        <v>0.875</v>
      </c>
      <c r="B109" s="28">
        <v>140.27714285714288</v>
      </c>
    </row>
    <row r="110" spans="1:2">
      <c r="A110" s="39" t="s">
        <v>143</v>
      </c>
      <c r="B110" s="28">
        <v>121.51428571428572</v>
      </c>
    </row>
    <row r="111" spans="1:2">
      <c r="A111" s="46">
        <v>0.89583333333333337</v>
      </c>
      <c r="B111" s="28">
        <v>121.51428571428572</v>
      </c>
    </row>
    <row r="112" spans="1:2">
      <c r="A112" s="23" t="s">
        <v>136</v>
      </c>
      <c r="B112" s="28">
        <v>114.2042857142857</v>
      </c>
    </row>
    <row r="113" spans="1:2">
      <c r="A113" s="39" t="s">
        <v>142</v>
      </c>
      <c r="B113" s="28">
        <v>104.76285714285713</v>
      </c>
    </row>
    <row r="114" spans="1:2">
      <c r="A114" s="46">
        <v>0.91666666666666663</v>
      </c>
      <c r="B114" s="28">
        <v>104.76285714285713</v>
      </c>
    </row>
    <row r="115" spans="1:2">
      <c r="A115" s="39" t="s">
        <v>143</v>
      </c>
      <c r="B115" s="28">
        <v>123.64571428571428</v>
      </c>
    </row>
    <row r="116" spans="1:2">
      <c r="A116" s="46">
        <v>0.9375</v>
      </c>
      <c r="B116" s="28">
        <v>123.64571428571428</v>
      </c>
    </row>
    <row r="117" spans="1:2">
      <c r="A117" s="23" t="s">
        <v>137</v>
      </c>
      <c r="B117" s="28">
        <v>100.79999999999998</v>
      </c>
    </row>
    <row r="118" spans="1:2">
      <c r="A118" s="39" t="s">
        <v>142</v>
      </c>
      <c r="B118" s="28">
        <v>108.54571428571428</v>
      </c>
    </row>
    <row r="119" spans="1:2">
      <c r="A119" s="46">
        <v>0.95833333333333337</v>
      </c>
      <c r="B119" s="28">
        <v>108.54571428571428</v>
      </c>
    </row>
    <row r="120" spans="1:2">
      <c r="A120" s="39" t="s">
        <v>143</v>
      </c>
      <c r="B120" s="28">
        <v>93.054285714285712</v>
      </c>
    </row>
    <row r="121" spans="1:2">
      <c r="A121" s="46">
        <v>0.97916666666666663</v>
      </c>
      <c r="B121" s="28">
        <v>93.054285714285712</v>
      </c>
    </row>
    <row r="122" spans="1:2">
      <c r="A122" s="34" t="s">
        <v>25</v>
      </c>
      <c r="B122" s="28">
        <v>93.114540059347149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001C-2EE0-D343-9D0E-52D99467C3BB}">
  <dimension ref="A1:P122"/>
  <sheetViews>
    <sheetView topLeftCell="N1" zoomScaleNormal="100" workbookViewId="0">
      <selection activeCell="L2" sqref="L2"/>
    </sheetView>
  </sheetViews>
  <sheetFormatPr baseColWidth="10" defaultRowHeight="13"/>
  <cols>
    <col min="1" max="1" width="16.19921875" bestFit="1" customWidth="1"/>
    <col min="2" max="2" width="15.3984375" bestFit="1" customWidth="1"/>
    <col min="3" max="3" width="13.19921875" bestFit="1" customWidth="1"/>
    <col min="4" max="4" width="12.796875" bestFit="1" customWidth="1"/>
    <col min="5" max="5" width="13" bestFit="1" customWidth="1"/>
    <col min="6" max="6" width="7.19921875" bestFit="1" customWidth="1"/>
    <col min="7" max="7" width="6.796875" bestFit="1" customWidth="1"/>
    <col min="8" max="8" width="14" bestFit="1" customWidth="1"/>
    <col min="9" max="9" width="15.796875" bestFit="1" customWidth="1"/>
    <col min="10" max="10" width="8.796875" bestFit="1" customWidth="1"/>
    <col min="11" max="11" width="23" bestFit="1" customWidth="1"/>
    <col min="12" max="12" width="20.796875" customWidth="1"/>
    <col min="13" max="13" width="23.3984375" customWidth="1"/>
    <col min="14" max="14" width="17.3984375" customWidth="1"/>
    <col min="15" max="15" width="20.19921875" customWidth="1"/>
  </cols>
  <sheetData>
    <row r="1" spans="1:16">
      <c r="A1" s="7" t="s">
        <v>88</v>
      </c>
      <c r="B1" t="s">
        <v>97</v>
      </c>
      <c r="C1" t="s">
        <v>93</v>
      </c>
      <c r="D1" t="s">
        <v>94</v>
      </c>
      <c r="E1" t="s">
        <v>95</v>
      </c>
      <c r="F1" t="s">
        <v>96</v>
      </c>
      <c r="G1" t="s">
        <v>86</v>
      </c>
      <c r="H1" t="s">
        <v>92</v>
      </c>
      <c r="I1" t="s">
        <v>91</v>
      </c>
      <c r="J1" t="s">
        <v>90</v>
      </c>
      <c r="K1" s="40" t="s">
        <v>138</v>
      </c>
      <c r="L1" s="40" t="s">
        <v>139</v>
      </c>
      <c r="M1" s="40" t="s">
        <v>140</v>
      </c>
      <c r="N1" s="40"/>
      <c r="O1" s="40"/>
      <c r="P1" s="40"/>
    </row>
    <row r="2" spans="1:16">
      <c r="A2" s="23" t="s">
        <v>114</v>
      </c>
      <c r="B2" s="28">
        <v>84.329285714285703</v>
      </c>
      <c r="C2" s="28">
        <v>6840.0078571428576</v>
      </c>
      <c r="D2" s="28">
        <v>166.82071428571427</v>
      </c>
      <c r="E2" s="28">
        <v>43.387142857142855</v>
      </c>
      <c r="F2" s="28">
        <v>172.53142857142856</v>
      </c>
      <c r="G2" s="28">
        <v>950.07285714285706</v>
      </c>
      <c r="H2" s="28">
        <v>4.1428571428571433E-2</v>
      </c>
      <c r="I2" s="28">
        <v>0</v>
      </c>
      <c r="J2" s="28">
        <v>824.12500000000011</v>
      </c>
      <c r="K2" s="28" cm="1">
        <f t="array" ref="K2:L2">H2:I2</f>
        <v>4.1428571428571433E-2</v>
      </c>
      <c r="L2">
        <v>0</v>
      </c>
      <c r="M2" s="28">
        <f>SUM(_xlfn.ANCHORARRAY(K2))</f>
        <v>4.1428571428571433E-2</v>
      </c>
      <c r="N2" s="28"/>
      <c r="P2" s="28"/>
    </row>
    <row r="3" spans="1:16">
      <c r="A3" s="39" t="s">
        <v>142</v>
      </c>
      <c r="B3" s="28">
        <v>86.982857142857142</v>
      </c>
      <c r="C3" s="28">
        <v>6919.9199999999992</v>
      </c>
      <c r="D3" s="28">
        <v>200.78428571428569</v>
      </c>
      <c r="E3" s="28">
        <v>43.424285714285709</v>
      </c>
      <c r="F3" s="28">
        <v>166.92285714285714</v>
      </c>
      <c r="G3" s="28">
        <v>950.38999999999976</v>
      </c>
      <c r="H3" s="28">
        <v>4.1428571428571426E-2</v>
      </c>
      <c r="I3" s="28">
        <v>0</v>
      </c>
      <c r="J3" s="28">
        <v>848.21857142857152</v>
      </c>
      <c r="K3" s="28" cm="1">
        <f t="array" ref="K3:L3">H3:I3</f>
        <v>4.1428571428571426E-2</v>
      </c>
      <c r="L3">
        <v>0</v>
      </c>
      <c r="M3" s="28">
        <f t="shared" ref="M3:M49" si="0">SUM(_xlfn.ANCHORARRAY(K3))</f>
        <v>4.1428571428571426E-2</v>
      </c>
      <c r="N3" s="28"/>
      <c r="P3" s="28"/>
    </row>
    <row r="4" spans="1:16">
      <c r="A4" s="47">
        <v>0</v>
      </c>
      <c r="B4" s="28">
        <v>86.982857142857142</v>
      </c>
      <c r="C4" s="28">
        <v>6919.9199999999992</v>
      </c>
      <c r="D4" s="28">
        <v>200.78428571428569</v>
      </c>
      <c r="E4" s="28">
        <v>43.424285714285709</v>
      </c>
      <c r="F4" s="28">
        <v>166.92285714285714</v>
      </c>
      <c r="G4" s="28">
        <v>950.38999999999976</v>
      </c>
      <c r="H4" s="28">
        <v>4.1428571428571426E-2</v>
      </c>
      <c r="I4" s="28">
        <v>0</v>
      </c>
      <c r="J4" s="28">
        <v>848.21857142857152</v>
      </c>
      <c r="K4" s="28" cm="1">
        <f t="array" ref="K4:L4">H4:I4</f>
        <v>4.1428571428571426E-2</v>
      </c>
      <c r="L4">
        <v>0</v>
      </c>
      <c r="M4" s="28">
        <f t="shared" si="0"/>
        <v>4.1428571428571426E-2</v>
      </c>
      <c r="N4" s="28"/>
      <c r="P4" s="28"/>
    </row>
    <row r="5" spans="1:16">
      <c r="A5" s="39" t="s">
        <v>143</v>
      </c>
      <c r="B5" s="28">
        <v>81.675714285714292</v>
      </c>
      <c r="C5" s="28">
        <v>6760.0957142857142</v>
      </c>
      <c r="D5" s="28">
        <v>132.85714285714286</v>
      </c>
      <c r="E5" s="28">
        <v>43.35</v>
      </c>
      <c r="F5" s="28">
        <v>178.14000000000001</v>
      </c>
      <c r="G5" s="28">
        <v>949.75571428571425</v>
      </c>
      <c r="H5" s="28">
        <v>4.1428571428571426E-2</v>
      </c>
      <c r="I5" s="28">
        <v>0</v>
      </c>
      <c r="J5" s="28">
        <v>800.03142857142859</v>
      </c>
      <c r="K5" s="28" cm="1">
        <f t="array" ref="K5:L5">H5:I5</f>
        <v>4.1428571428571426E-2</v>
      </c>
      <c r="L5">
        <v>0</v>
      </c>
      <c r="M5" s="28">
        <f t="shared" si="0"/>
        <v>4.1428571428571426E-2</v>
      </c>
      <c r="N5" s="28"/>
      <c r="P5" s="28"/>
    </row>
    <row r="6" spans="1:16">
      <c r="A6" s="47">
        <v>2.0833333333333332E-2</v>
      </c>
      <c r="B6" s="28">
        <v>81.675714285714292</v>
      </c>
      <c r="C6" s="28">
        <v>6760.0957142857142</v>
      </c>
      <c r="D6" s="28">
        <v>132.85714285714286</v>
      </c>
      <c r="E6" s="28">
        <v>43.35</v>
      </c>
      <c r="F6" s="28">
        <v>178.14000000000001</v>
      </c>
      <c r="G6" s="28">
        <v>949.75571428571425</v>
      </c>
      <c r="H6" s="28">
        <v>4.1428571428571426E-2</v>
      </c>
      <c r="I6" s="28">
        <v>0</v>
      </c>
      <c r="J6" s="28">
        <v>800.03142857142859</v>
      </c>
      <c r="K6" s="28" cm="1">
        <f t="array" ref="K6:L6">H6:I6</f>
        <v>4.1428571428571426E-2</v>
      </c>
      <c r="L6">
        <v>0</v>
      </c>
      <c r="M6" s="28">
        <f t="shared" si="0"/>
        <v>4.1428571428571426E-2</v>
      </c>
      <c r="N6" s="28"/>
      <c r="P6" s="28"/>
    </row>
    <row r="7" spans="1:16">
      <c r="A7" s="23" t="s">
        <v>115</v>
      </c>
      <c r="B7" s="28">
        <v>81.073571428571441</v>
      </c>
      <c r="C7" s="28">
        <v>6523.5607142857143</v>
      </c>
      <c r="D7" s="28">
        <v>116.10714285714286</v>
      </c>
      <c r="E7" s="28">
        <v>43.143571428571427</v>
      </c>
      <c r="F7" s="28">
        <v>125.88571428571427</v>
      </c>
      <c r="G7" s="28">
        <v>959.51285714285711</v>
      </c>
      <c r="H7" s="28">
        <v>4.1428571428571433E-2</v>
      </c>
      <c r="I7" s="28">
        <v>0</v>
      </c>
      <c r="J7" s="28">
        <v>802.56785714285718</v>
      </c>
      <c r="K7" s="28" cm="1">
        <f t="array" ref="K7:L7">H7:I7</f>
        <v>4.1428571428571433E-2</v>
      </c>
      <c r="L7">
        <v>0</v>
      </c>
      <c r="M7" s="28">
        <f t="shared" si="0"/>
        <v>4.1428571428571433E-2</v>
      </c>
      <c r="N7" s="28"/>
      <c r="P7" s="28"/>
    </row>
    <row r="8" spans="1:16">
      <c r="A8" s="39" t="s">
        <v>142</v>
      </c>
      <c r="B8" s="28">
        <v>81.991428571428557</v>
      </c>
      <c r="C8" s="28">
        <v>6600.0171428571421</v>
      </c>
      <c r="D8" s="28">
        <v>123.0942857142857</v>
      </c>
      <c r="E8" s="28">
        <v>43.208571428571432</v>
      </c>
      <c r="F8" s="28">
        <v>146.72285714285712</v>
      </c>
      <c r="G8" s="28">
        <v>949.98714285714289</v>
      </c>
      <c r="H8" s="28">
        <v>4.1428571428571426E-2</v>
      </c>
      <c r="I8" s="28">
        <v>0</v>
      </c>
      <c r="J8" s="28">
        <v>818.18999999999994</v>
      </c>
      <c r="K8" s="28" cm="1">
        <f t="array" ref="K8:L8">H8:I8</f>
        <v>4.1428571428571426E-2</v>
      </c>
      <c r="L8">
        <v>0</v>
      </c>
      <c r="M8" s="28">
        <f t="shared" si="0"/>
        <v>4.1428571428571426E-2</v>
      </c>
      <c r="N8" s="28"/>
      <c r="P8" s="28"/>
    </row>
    <row r="9" spans="1:16">
      <c r="A9" s="47">
        <v>4.1666666666666664E-2</v>
      </c>
      <c r="B9" s="28">
        <v>81.991428571428557</v>
      </c>
      <c r="C9" s="28">
        <v>6600.0171428571421</v>
      </c>
      <c r="D9" s="28">
        <v>123.0942857142857</v>
      </c>
      <c r="E9" s="28">
        <v>43.208571428571432</v>
      </c>
      <c r="F9" s="28">
        <v>146.72285714285712</v>
      </c>
      <c r="G9" s="28">
        <v>949.98714285714289</v>
      </c>
      <c r="H9" s="28">
        <v>4.1428571428571426E-2</v>
      </c>
      <c r="I9" s="28">
        <v>0</v>
      </c>
      <c r="J9" s="28">
        <v>818.18999999999994</v>
      </c>
      <c r="K9" s="28" cm="1">
        <f t="array" ref="K9:L9">H9:I9</f>
        <v>4.1428571428571426E-2</v>
      </c>
      <c r="L9">
        <v>0</v>
      </c>
      <c r="M9" s="28">
        <f t="shared" si="0"/>
        <v>4.1428571428571426E-2</v>
      </c>
      <c r="N9" s="28"/>
      <c r="P9" s="28"/>
    </row>
    <row r="10" spans="1:16">
      <c r="A10" s="39" t="s">
        <v>143</v>
      </c>
      <c r="B10" s="28">
        <v>80.155714285714268</v>
      </c>
      <c r="C10" s="28">
        <v>6447.1042857142866</v>
      </c>
      <c r="D10" s="28">
        <v>109.11999999999999</v>
      </c>
      <c r="E10" s="28">
        <v>43.078571428571422</v>
      </c>
      <c r="F10" s="28">
        <v>105.04857142857144</v>
      </c>
      <c r="G10" s="28">
        <v>969.03857142857146</v>
      </c>
      <c r="H10" s="28">
        <v>4.1428571428571426E-2</v>
      </c>
      <c r="I10" s="28">
        <v>0</v>
      </c>
      <c r="J10" s="28">
        <v>786.94571428571442</v>
      </c>
      <c r="K10" s="28" cm="1">
        <f t="array" ref="K10:L10">H10:I10</f>
        <v>4.1428571428571426E-2</v>
      </c>
      <c r="L10">
        <v>0</v>
      </c>
      <c r="M10" s="28">
        <f t="shared" si="0"/>
        <v>4.1428571428571426E-2</v>
      </c>
      <c r="N10" s="28"/>
      <c r="P10" s="28"/>
    </row>
    <row r="11" spans="1:16">
      <c r="A11" s="47">
        <v>6.25E-2</v>
      </c>
      <c r="B11" s="28">
        <v>80.155714285714268</v>
      </c>
      <c r="C11" s="28">
        <v>6447.1042857142866</v>
      </c>
      <c r="D11" s="28">
        <v>109.11999999999999</v>
      </c>
      <c r="E11" s="28">
        <v>43.078571428571422</v>
      </c>
      <c r="F11" s="28">
        <v>105.04857142857144</v>
      </c>
      <c r="G11" s="28">
        <v>969.03857142857146</v>
      </c>
      <c r="H11" s="28">
        <v>4.1428571428571426E-2</v>
      </c>
      <c r="I11" s="28">
        <v>0</v>
      </c>
      <c r="J11" s="28">
        <v>786.94571428571442</v>
      </c>
      <c r="K11" s="28" cm="1">
        <f t="array" ref="K11:L11">H11:I11</f>
        <v>4.1428571428571426E-2</v>
      </c>
      <c r="L11">
        <v>0</v>
      </c>
      <c r="M11" s="28">
        <f t="shared" si="0"/>
        <v>4.1428571428571426E-2</v>
      </c>
      <c r="N11" s="28"/>
      <c r="P11" s="28"/>
    </row>
    <row r="12" spans="1:16">
      <c r="A12" s="23" t="s">
        <v>116</v>
      </c>
      <c r="B12" s="28">
        <v>75.530714285714268</v>
      </c>
      <c r="C12" s="28">
        <v>6172.29</v>
      </c>
      <c r="D12" s="28">
        <v>108.655</v>
      </c>
      <c r="E12" s="28">
        <v>43.160714285714292</v>
      </c>
      <c r="F12" s="28">
        <v>66.099999999999994</v>
      </c>
      <c r="G12" s="28">
        <v>968.90857142857135</v>
      </c>
      <c r="H12" s="28">
        <v>4.1428571428571433E-2</v>
      </c>
      <c r="I12" s="28">
        <v>0</v>
      </c>
      <c r="J12" s="28">
        <v>817.61785714285713</v>
      </c>
      <c r="K12" s="28" cm="1">
        <f t="array" ref="K12:L12">H12:I12</f>
        <v>4.1428571428571433E-2</v>
      </c>
      <c r="L12">
        <v>0</v>
      </c>
      <c r="M12" s="28">
        <f t="shared" si="0"/>
        <v>4.1428571428571433E-2</v>
      </c>
      <c r="N12" s="28"/>
      <c r="P12" s="28"/>
    </row>
    <row r="13" spans="1:16">
      <c r="A13" s="39" t="s">
        <v>142</v>
      </c>
      <c r="B13" s="28">
        <v>74.835714285714289</v>
      </c>
      <c r="C13" s="28">
        <v>6227.7728571428579</v>
      </c>
      <c r="D13" s="28">
        <v>108.64285714285714</v>
      </c>
      <c r="E13" s="28">
        <v>43.059999999999995</v>
      </c>
      <c r="F13" s="28">
        <v>69.271428571428572</v>
      </c>
      <c r="G13" s="28">
        <v>977.48857142857139</v>
      </c>
      <c r="H13" s="28">
        <v>4.1428571428571426E-2</v>
      </c>
      <c r="I13" s="28">
        <v>0</v>
      </c>
      <c r="J13" s="28">
        <v>829.66714285714284</v>
      </c>
      <c r="K13" s="28" cm="1">
        <f t="array" ref="K13:L13">H13:I13</f>
        <v>4.1428571428571426E-2</v>
      </c>
      <c r="L13">
        <v>0</v>
      </c>
      <c r="M13" s="28">
        <f t="shared" si="0"/>
        <v>4.1428571428571426E-2</v>
      </c>
      <c r="N13" s="28"/>
      <c r="P13" s="28"/>
    </row>
    <row r="14" spans="1:16">
      <c r="A14" s="47">
        <v>8.3333333333333329E-2</v>
      </c>
      <c r="B14" s="28">
        <v>74.835714285714289</v>
      </c>
      <c r="C14" s="28">
        <v>6227.7728571428579</v>
      </c>
      <c r="D14" s="28">
        <v>108.64285714285714</v>
      </c>
      <c r="E14" s="28">
        <v>43.059999999999995</v>
      </c>
      <c r="F14" s="28">
        <v>69.271428571428572</v>
      </c>
      <c r="G14" s="28">
        <v>977.48857142857139</v>
      </c>
      <c r="H14" s="28">
        <v>4.1428571428571426E-2</v>
      </c>
      <c r="I14" s="28">
        <v>0</v>
      </c>
      <c r="J14" s="28">
        <v>829.66714285714284</v>
      </c>
      <c r="K14" s="28" cm="1">
        <f t="array" ref="K14:L14">H14:I14</f>
        <v>4.1428571428571426E-2</v>
      </c>
      <c r="L14">
        <v>0</v>
      </c>
      <c r="M14" s="28">
        <f t="shared" si="0"/>
        <v>4.1428571428571426E-2</v>
      </c>
      <c r="N14" s="28"/>
      <c r="P14" s="28"/>
    </row>
    <row r="15" spans="1:16">
      <c r="A15" s="39" t="s">
        <v>143</v>
      </c>
      <c r="B15" s="28">
        <v>76.22571428571429</v>
      </c>
      <c r="C15" s="28">
        <v>6116.807142857142</v>
      </c>
      <c r="D15" s="28">
        <v>108.66714285714285</v>
      </c>
      <c r="E15" s="28">
        <v>43.261428571428567</v>
      </c>
      <c r="F15" s="28">
        <v>62.928571428571431</v>
      </c>
      <c r="G15" s="28">
        <v>960.32857142857142</v>
      </c>
      <c r="H15" s="28">
        <v>4.1428571428571426E-2</v>
      </c>
      <c r="I15" s="28">
        <v>0</v>
      </c>
      <c r="J15" s="28">
        <v>805.56857142857154</v>
      </c>
      <c r="K15" s="28" cm="1">
        <f t="array" ref="K15:L15">H15:I15</f>
        <v>4.1428571428571426E-2</v>
      </c>
      <c r="L15">
        <v>0</v>
      </c>
      <c r="M15" s="28">
        <f t="shared" si="0"/>
        <v>4.1428571428571426E-2</v>
      </c>
      <c r="N15" s="28"/>
      <c r="P15" s="28"/>
    </row>
    <row r="16" spans="1:16">
      <c r="A16" s="47">
        <v>0.10416666666666667</v>
      </c>
      <c r="B16" s="28">
        <v>76.22571428571429</v>
      </c>
      <c r="C16" s="28">
        <v>6116.807142857142</v>
      </c>
      <c r="D16" s="28">
        <v>108.66714285714285</v>
      </c>
      <c r="E16" s="28">
        <v>43.261428571428567</v>
      </c>
      <c r="F16" s="28">
        <v>62.928571428571431</v>
      </c>
      <c r="G16" s="28">
        <v>960.32857142857142</v>
      </c>
      <c r="H16" s="28">
        <v>4.1428571428571426E-2</v>
      </c>
      <c r="I16" s="28">
        <v>0</v>
      </c>
      <c r="J16" s="28">
        <v>805.56857142857154</v>
      </c>
      <c r="K16" s="28" cm="1">
        <f t="array" ref="K16:L16">H16:I16</f>
        <v>4.1428571428571426E-2</v>
      </c>
      <c r="L16">
        <v>0</v>
      </c>
      <c r="M16" s="28">
        <f t="shared" si="0"/>
        <v>4.1428571428571426E-2</v>
      </c>
      <c r="N16" s="28"/>
      <c r="P16" s="28"/>
    </row>
    <row r="17" spans="1:16">
      <c r="A17" s="23" t="s">
        <v>117</v>
      </c>
      <c r="B17" s="28">
        <v>76.352857142857147</v>
      </c>
      <c r="C17" s="28">
        <v>5940.6014285714273</v>
      </c>
      <c r="D17" s="28">
        <v>108.56000000000002</v>
      </c>
      <c r="E17" s="28">
        <v>43.132142857142853</v>
      </c>
      <c r="F17" s="28">
        <v>42.750000000000007</v>
      </c>
      <c r="G17" s="28">
        <v>922.55999999999983</v>
      </c>
      <c r="H17" s="28">
        <v>4.1428571428571433E-2</v>
      </c>
      <c r="I17" s="28">
        <v>0</v>
      </c>
      <c r="J17" s="28">
        <v>845.53714285714273</v>
      </c>
      <c r="K17" s="28" cm="1">
        <f t="array" ref="K17:L17">H17:I17</f>
        <v>4.1428571428571433E-2</v>
      </c>
      <c r="L17">
        <v>0</v>
      </c>
      <c r="M17" s="28">
        <f t="shared" si="0"/>
        <v>4.1428571428571433E-2</v>
      </c>
      <c r="N17" s="28"/>
      <c r="P17" s="28"/>
    </row>
    <row r="18" spans="1:16">
      <c r="A18" s="39" t="s">
        <v>142</v>
      </c>
      <c r="B18" s="28">
        <v>75.285714285714292</v>
      </c>
      <c r="C18" s="28">
        <v>6004.9642857142853</v>
      </c>
      <c r="D18" s="28">
        <v>108.57142857142857</v>
      </c>
      <c r="E18" s="28">
        <v>43.142857142857146</v>
      </c>
      <c r="F18" s="28">
        <v>45.31</v>
      </c>
      <c r="G18" s="28">
        <v>938.52857142857124</v>
      </c>
      <c r="H18" s="28">
        <v>4.1428571428571426E-2</v>
      </c>
      <c r="I18" s="28">
        <v>0</v>
      </c>
      <c r="J18" s="28">
        <v>802.8057142857142</v>
      </c>
      <c r="K18" s="28" cm="1">
        <f t="array" ref="K18:L18">H18:I18</f>
        <v>4.1428571428571426E-2</v>
      </c>
      <c r="L18">
        <v>0</v>
      </c>
      <c r="M18" s="28">
        <f t="shared" si="0"/>
        <v>4.1428571428571426E-2</v>
      </c>
      <c r="N18" s="28"/>
      <c r="P18" s="28"/>
    </row>
    <row r="19" spans="1:16">
      <c r="A19" s="47">
        <v>0.125</v>
      </c>
      <c r="B19" s="28">
        <v>75.285714285714292</v>
      </c>
      <c r="C19" s="28">
        <v>6004.9642857142853</v>
      </c>
      <c r="D19" s="28">
        <v>108.57142857142857</v>
      </c>
      <c r="E19" s="28">
        <v>43.142857142857146</v>
      </c>
      <c r="F19" s="28">
        <v>45.31</v>
      </c>
      <c r="G19" s="28">
        <v>938.52857142857124</v>
      </c>
      <c r="H19" s="28">
        <v>4.1428571428571426E-2</v>
      </c>
      <c r="I19" s="28">
        <v>0</v>
      </c>
      <c r="J19" s="28">
        <v>802.8057142857142</v>
      </c>
      <c r="K19" s="28" cm="1">
        <f t="array" ref="K19:L19">H19:I19</f>
        <v>4.1428571428571426E-2</v>
      </c>
      <c r="L19">
        <v>0</v>
      </c>
      <c r="M19" s="28">
        <f t="shared" si="0"/>
        <v>4.1428571428571426E-2</v>
      </c>
      <c r="N19" s="28"/>
      <c r="P19" s="28"/>
    </row>
    <row r="20" spans="1:16">
      <c r="A20" s="39" t="s">
        <v>143</v>
      </c>
      <c r="B20" s="28">
        <v>77.419999999999987</v>
      </c>
      <c r="C20" s="28">
        <v>5876.238571428571</v>
      </c>
      <c r="D20" s="28">
        <v>108.54857142857142</v>
      </c>
      <c r="E20" s="28">
        <v>43.121428571428574</v>
      </c>
      <c r="F20" s="28">
        <v>40.19</v>
      </c>
      <c r="G20" s="28">
        <v>906.59142857142876</v>
      </c>
      <c r="H20" s="28">
        <v>4.1428571428571426E-2</v>
      </c>
      <c r="I20" s="28">
        <v>0</v>
      </c>
      <c r="J20" s="28">
        <v>888.26857142857148</v>
      </c>
      <c r="K20" s="28" cm="1">
        <f t="array" ref="K20:L20">H20:I20</f>
        <v>4.1428571428571426E-2</v>
      </c>
      <c r="L20">
        <v>0</v>
      </c>
      <c r="M20" s="28">
        <f t="shared" si="0"/>
        <v>4.1428571428571426E-2</v>
      </c>
      <c r="N20" s="28"/>
      <c r="P20" s="28"/>
    </row>
    <row r="21" spans="1:16">
      <c r="A21" s="47">
        <v>0.14583333333333334</v>
      </c>
      <c r="B21" s="28">
        <v>77.419999999999987</v>
      </c>
      <c r="C21" s="28">
        <v>5876.238571428571</v>
      </c>
      <c r="D21" s="28">
        <v>108.54857142857142</v>
      </c>
      <c r="E21" s="28">
        <v>43.121428571428574</v>
      </c>
      <c r="F21" s="28">
        <v>40.19</v>
      </c>
      <c r="G21" s="28">
        <v>906.59142857142876</v>
      </c>
      <c r="H21" s="28">
        <v>4.1428571428571426E-2</v>
      </c>
      <c r="I21" s="28">
        <v>0</v>
      </c>
      <c r="J21" s="28">
        <v>888.26857142857148</v>
      </c>
      <c r="K21" s="28" cm="1">
        <f t="array" ref="K21:L21">H21:I21</f>
        <v>4.1428571428571426E-2</v>
      </c>
      <c r="L21">
        <v>0</v>
      </c>
      <c r="M21" s="28">
        <f t="shared" si="0"/>
        <v>4.1428571428571426E-2</v>
      </c>
      <c r="N21" s="28"/>
      <c r="P21" s="28"/>
    </row>
    <row r="22" spans="1:16">
      <c r="A22" s="23" t="s">
        <v>118</v>
      </c>
      <c r="B22" s="28">
        <v>78.884285714285724</v>
      </c>
      <c r="C22" s="28">
        <v>5901.1785714285716</v>
      </c>
      <c r="D22" s="28">
        <v>110.54714285714284</v>
      </c>
      <c r="E22" s="28">
        <v>42.94857142857142</v>
      </c>
      <c r="F22" s="28">
        <v>48.41571428571428</v>
      </c>
      <c r="G22" s="28">
        <v>920.89142857142849</v>
      </c>
      <c r="H22" s="28">
        <v>4.1428571428571433E-2</v>
      </c>
      <c r="I22" s="28">
        <v>0</v>
      </c>
      <c r="J22" s="28">
        <v>841.8964285714286</v>
      </c>
      <c r="K22" s="28" cm="1">
        <f t="array" ref="K22:L22">H22:I22</f>
        <v>4.1428571428571433E-2</v>
      </c>
      <c r="L22">
        <v>0</v>
      </c>
      <c r="M22" s="28">
        <f t="shared" si="0"/>
        <v>4.1428571428571433E-2</v>
      </c>
      <c r="N22" s="28"/>
      <c r="P22" s="28"/>
    </row>
    <row r="23" spans="1:16">
      <c r="A23" s="39" t="s">
        <v>142</v>
      </c>
      <c r="B23" s="28">
        <v>76.872857142857143</v>
      </c>
      <c r="C23" s="28">
        <v>5864.8742857142861</v>
      </c>
      <c r="D23" s="28">
        <v>109.92857142857143</v>
      </c>
      <c r="E23" s="28">
        <v>42.875714285714288</v>
      </c>
      <c r="F23" s="28">
        <v>40.628571428571426</v>
      </c>
      <c r="G23" s="28">
        <v>917.43428571428569</v>
      </c>
      <c r="H23" s="28">
        <v>4.1428571428571426E-2</v>
      </c>
      <c r="I23" s="28">
        <v>0</v>
      </c>
      <c r="J23" s="28">
        <v>847.56000000000006</v>
      </c>
      <c r="K23" s="28" cm="1">
        <f t="array" ref="K23:L23">H23:I23</f>
        <v>4.1428571428571426E-2</v>
      </c>
      <c r="L23">
        <v>0</v>
      </c>
      <c r="M23" s="28">
        <f t="shared" si="0"/>
        <v>4.1428571428571426E-2</v>
      </c>
      <c r="N23" s="28"/>
      <c r="P23" s="28"/>
    </row>
    <row r="24" spans="1:16">
      <c r="A24" s="47">
        <v>0.16666666666666666</v>
      </c>
      <c r="B24" s="28">
        <v>76.872857142857143</v>
      </c>
      <c r="C24" s="28">
        <v>5864.8742857142861</v>
      </c>
      <c r="D24" s="28">
        <v>109.92857142857143</v>
      </c>
      <c r="E24" s="28">
        <v>42.875714285714288</v>
      </c>
      <c r="F24" s="28">
        <v>40.628571428571426</v>
      </c>
      <c r="G24" s="28">
        <v>917.43428571428569</v>
      </c>
      <c r="H24" s="28">
        <v>4.1428571428571426E-2</v>
      </c>
      <c r="I24" s="28">
        <v>0</v>
      </c>
      <c r="J24" s="28">
        <v>847.56000000000006</v>
      </c>
      <c r="K24" s="28" cm="1">
        <f t="array" ref="K24:L24">H24:I24</f>
        <v>4.1428571428571426E-2</v>
      </c>
      <c r="L24">
        <v>0</v>
      </c>
      <c r="M24" s="28">
        <f t="shared" si="0"/>
        <v>4.1428571428571426E-2</v>
      </c>
      <c r="N24" s="28"/>
      <c r="P24" s="28"/>
    </row>
    <row r="25" spans="1:16" ht="14" thickBot="1">
      <c r="A25" s="39" t="s">
        <v>143</v>
      </c>
      <c r="B25" s="28">
        <v>80.895714285714277</v>
      </c>
      <c r="C25" s="28">
        <v>5937.482857142857</v>
      </c>
      <c r="D25" s="28">
        <v>111.1657142857143</v>
      </c>
      <c r="E25" s="28">
        <v>43.021428571428579</v>
      </c>
      <c r="F25" s="28">
        <v>56.202857142857134</v>
      </c>
      <c r="G25" s="28">
        <v>924.3485714285714</v>
      </c>
      <c r="H25" s="28">
        <v>4.1428571428571426E-2</v>
      </c>
      <c r="I25" s="28">
        <v>0</v>
      </c>
      <c r="J25" s="28">
        <v>836.23285714285714</v>
      </c>
      <c r="K25" s="28" cm="1">
        <f t="array" ref="K25:L25">H25:I25</f>
        <v>4.1428571428571426E-2</v>
      </c>
      <c r="L25">
        <v>0</v>
      </c>
      <c r="M25" s="28">
        <f t="shared" si="0"/>
        <v>4.1428571428571426E-2</v>
      </c>
      <c r="N25" s="28"/>
      <c r="P25" s="28"/>
    </row>
    <row r="26" spans="1:16" ht="14" thickBot="1">
      <c r="A26" s="47">
        <v>0.1875</v>
      </c>
      <c r="B26" s="28">
        <v>80.895714285714277</v>
      </c>
      <c r="C26" s="28">
        <v>5937.482857142857</v>
      </c>
      <c r="D26" s="28">
        <v>111.1657142857143</v>
      </c>
      <c r="E26" s="28">
        <v>43.021428571428579</v>
      </c>
      <c r="F26" s="28">
        <v>56.202857142857134</v>
      </c>
      <c r="G26" s="28">
        <v>924.3485714285714</v>
      </c>
      <c r="H26" s="28">
        <v>4.1428571428571426E-2</v>
      </c>
      <c r="I26" s="28">
        <v>0</v>
      </c>
      <c r="J26" s="28">
        <v>836.23285714285714</v>
      </c>
      <c r="K26" s="41" cm="1">
        <f t="array" ref="K26:L26">H26:I26</f>
        <v>4.1428571428571426E-2</v>
      </c>
      <c r="L26" s="42">
        <v>0</v>
      </c>
      <c r="M26" s="44">
        <f t="shared" si="0"/>
        <v>4.1428571428571426E-2</v>
      </c>
      <c r="N26" s="41"/>
      <c r="O26" s="42"/>
      <c r="P26" s="43"/>
    </row>
    <row r="27" spans="1:16">
      <c r="A27" s="23" t="s">
        <v>119</v>
      </c>
      <c r="B27" s="28">
        <v>84.519285714285715</v>
      </c>
      <c r="C27" s="28">
        <v>6195.2257142857143</v>
      </c>
      <c r="D27" s="28">
        <v>132.08357142857145</v>
      </c>
      <c r="E27" s="28">
        <v>53.291428571428575</v>
      </c>
      <c r="F27" s="28">
        <v>95.877857142857138</v>
      </c>
      <c r="G27" s="28">
        <v>954.67571428571421</v>
      </c>
      <c r="H27" s="28">
        <v>4.1428571428571433E-2</v>
      </c>
      <c r="I27" s="28">
        <v>0</v>
      </c>
      <c r="J27" s="28">
        <v>767.4207142857141</v>
      </c>
      <c r="K27" s="28" cm="1">
        <f t="array" ref="K27:L27">H27:I27</f>
        <v>4.1428571428571433E-2</v>
      </c>
      <c r="L27">
        <v>0</v>
      </c>
      <c r="M27" s="28">
        <f t="shared" si="0"/>
        <v>4.1428571428571433E-2</v>
      </c>
      <c r="N27" s="28"/>
      <c r="P27" s="28"/>
    </row>
    <row r="28" spans="1:16">
      <c r="A28" s="39" t="s">
        <v>142</v>
      </c>
      <c r="B28" s="28">
        <v>81.535714285714292</v>
      </c>
      <c r="C28" s="28">
        <v>6040.1128571428571</v>
      </c>
      <c r="D28" s="28">
        <v>119.57142857142857</v>
      </c>
      <c r="E28" s="28">
        <v>42.89</v>
      </c>
      <c r="F28" s="28">
        <v>63.322857142857153</v>
      </c>
      <c r="G28" s="28">
        <v>963.5771428571428</v>
      </c>
      <c r="H28" s="28">
        <v>4.1428571428571426E-2</v>
      </c>
      <c r="I28" s="28">
        <v>0</v>
      </c>
      <c r="J28" s="28">
        <v>802.2071428571428</v>
      </c>
      <c r="K28" s="28" cm="1">
        <f t="array" ref="K28:L28">H28:I28</f>
        <v>4.1428571428571426E-2</v>
      </c>
      <c r="L28">
        <v>0</v>
      </c>
      <c r="M28" s="28">
        <f t="shared" si="0"/>
        <v>4.1428571428571426E-2</v>
      </c>
      <c r="N28" s="28"/>
      <c r="P28" s="28"/>
    </row>
    <row r="29" spans="1:16">
      <c r="A29" s="47">
        <v>0.20833333333333334</v>
      </c>
      <c r="B29" s="28">
        <v>81.535714285714292</v>
      </c>
      <c r="C29" s="28">
        <v>6040.1128571428571</v>
      </c>
      <c r="D29" s="28">
        <v>119.57142857142857</v>
      </c>
      <c r="E29" s="28">
        <v>42.89</v>
      </c>
      <c r="F29" s="28">
        <v>63.322857142857153</v>
      </c>
      <c r="G29" s="28">
        <v>963.5771428571428</v>
      </c>
      <c r="H29" s="28">
        <v>4.1428571428571426E-2</v>
      </c>
      <c r="I29" s="28">
        <v>0</v>
      </c>
      <c r="J29" s="28">
        <v>802.2071428571428</v>
      </c>
      <c r="K29" s="28" cm="1">
        <f t="array" ref="K29:L29">H29:I29</f>
        <v>4.1428571428571426E-2</v>
      </c>
      <c r="L29">
        <v>0</v>
      </c>
      <c r="M29" s="28">
        <f t="shared" si="0"/>
        <v>4.1428571428571426E-2</v>
      </c>
      <c r="N29" s="28"/>
      <c r="P29" s="28"/>
    </row>
    <row r="30" spans="1:16">
      <c r="A30" s="39" t="s">
        <v>143</v>
      </c>
      <c r="B30" s="28">
        <v>87.502857142857138</v>
      </c>
      <c r="C30" s="28">
        <v>6350.3385714285705</v>
      </c>
      <c r="D30" s="28">
        <v>144.59571428571431</v>
      </c>
      <c r="E30" s="28">
        <v>63.692857142857136</v>
      </c>
      <c r="F30" s="28">
        <v>128.43285714285716</v>
      </c>
      <c r="G30" s="28">
        <v>945.77428571428572</v>
      </c>
      <c r="H30" s="28">
        <v>4.1428571428571426E-2</v>
      </c>
      <c r="I30" s="28">
        <v>0</v>
      </c>
      <c r="J30" s="28">
        <v>732.63428571428562</v>
      </c>
      <c r="K30" s="28" cm="1">
        <f t="array" ref="K30:L30">H30:I30</f>
        <v>4.1428571428571426E-2</v>
      </c>
      <c r="L30">
        <v>0</v>
      </c>
      <c r="M30" s="28">
        <f t="shared" si="0"/>
        <v>4.1428571428571426E-2</v>
      </c>
      <c r="N30" s="28"/>
      <c r="P30" s="28"/>
    </row>
    <row r="31" spans="1:16">
      <c r="A31" s="47">
        <v>0.22916666666666666</v>
      </c>
      <c r="B31" s="28">
        <v>87.502857142857138</v>
      </c>
      <c r="C31" s="28">
        <v>6350.3385714285705</v>
      </c>
      <c r="D31" s="28">
        <v>144.59571428571431</v>
      </c>
      <c r="E31" s="28">
        <v>63.692857142857136</v>
      </c>
      <c r="F31" s="28">
        <v>128.43285714285716</v>
      </c>
      <c r="G31" s="28">
        <v>945.77428571428572</v>
      </c>
      <c r="H31" s="28">
        <v>4.1428571428571426E-2</v>
      </c>
      <c r="I31" s="28">
        <v>0</v>
      </c>
      <c r="J31" s="28">
        <v>732.63428571428562</v>
      </c>
      <c r="K31" s="28" cm="1">
        <f t="array" ref="K31:L31">H31:I31</f>
        <v>4.1428571428571426E-2</v>
      </c>
      <c r="L31">
        <v>0</v>
      </c>
      <c r="M31" s="28">
        <f t="shared" si="0"/>
        <v>4.1428571428571426E-2</v>
      </c>
      <c r="N31" s="28"/>
      <c r="P31" s="28"/>
    </row>
    <row r="32" spans="1:16">
      <c r="A32" s="23" t="s">
        <v>120</v>
      </c>
      <c r="B32" s="28">
        <v>108.04642857142858</v>
      </c>
      <c r="C32" s="28">
        <v>6792.3649999999989</v>
      </c>
      <c r="D32" s="28">
        <v>237.31571428571428</v>
      </c>
      <c r="E32" s="28">
        <v>122.61785714285713</v>
      </c>
      <c r="F32" s="28">
        <v>348.51071428571419</v>
      </c>
      <c r="G32" s="28">
        <v>959.09142857142865</v>
      </c>
      <c r="H32" s="28">
        <v>4.1428571428571433E-2</v>
      </c>
      <c r="I32" s="28">
        <v>5.5E-2</v>
      </c>
      <c r="J32" s="28">
        <v>575.68785714285707</v>
      </c>
      <c r="K32" s="28" cm="1">
        <f t="array" ref="K32:L32">H32:I32</f>
        <v>4.1428571428571433E-2</v>
      </c>
      <c r="L32">
        <v>5.5E-2</v>
      </c>
      <c r="M32" s="28">
        <f t="shared" si="0"/>
        <v>9.6428571428571433E-2</v>
      </c>
      <c r="N32" s="28"/>
      <c r="P32" s="28"/>
    </row>
    <row r="33" spans="1:16">
      <c r="A33" s="39" t="s">
        <v>142</v>
      </c>
      <c r="B33" s="28">
        <v>96.751428571428576</v>
      </c>
      <c r="C33" s="28">
        <v>6665.1685714285713</v>
      </c>
      <c r="D33" s="28">
        <v>217.92857142857142</v>
      </c>
      <c r="E33" s="28">
        <v>79.150000000000006</v>
      </c>
      <c r="F33" s="28">
        <v>275.05</v>
      </c>
      <c r="G33" s="28">
        <v>956.6728571428572</v>
      </c>
      <c r="H33" s="28">
        <v>4.1428571428571426E-2</v>
      </c>
      <c r="I33" s="28">
        <v>0</v>
      </c>
      <c r="J33" s="28">
        <v>583.86285714285714</v>
      </c>
      <c r="K33" s="28" cm="1">
        <f t="array" ref="K33:L33">H33:I33</f>
        <v>4.1428571428571426E-2</v>
      </c>
      <c r="L33">
        <v>0</v>
      </c>
      <c r="M33" s="28">
        <f t="shared" si="0"/>
        <v>4.1428571428571426E-2</v>
      </c>
      <c r="N33" s="28"/>
      <c r="P33" s="28"/>
    </row>
    <row r="34" spans="1:16">
      <c r="A34" s="47">
        <v>0.25</v>
      </c>
      <c r="B34" s="28">
        <v>96.751428571428576</v>
      </c>
      <c r="C34" s="28">
        <v>6665.1685714285713</v>
      </c>
      <c r="D34" s="28">
        <v>217.92857142857142</v>
      </c>
      <c r="E34" s="28">
        <v>79.150000000000006</v>
      </c>
      <c r="F34" s="28">
        <v>275.05</v>
      </c>
      <c r="G34" s="28">
        <v>956.6728571428572</v>
      </c>
      <c r="H34" s="28">
        <v>4.1428571428571426E-2</v>
      </c>
      <c r="I34" s="28">
        <v>0</v>
      </c>
      <c r="J34" s="28">
        <v>583.86285714285714</v>
      </c>
      <c r="K34" s="28" cm="1">
        <f t="array" ref="K34:L34">H34:I34</f>
        <v>4.1428571428571426E-2</v>
      </c>
      <c r="L34">
        <v>0</v>
      </c>
      <c r="M34" s="28">
        <f t="shared" si="0"/>
        <v>4.1428571428571426E-2</v>
      </c>
      <c r="N34" s="28"/>
      <c r="P34" s="28"/>
    </row>
    <row r="35" spans="1:16">
      <c r="A35" s="39" t="s">
        <v>143</v>
      </c>
      <c r="B35" s="28">
        <v>119.34142857142858</v>
      </c>
      <c r="C35" s="28">
        <v>6919.56142857143</v>
      </c>
      <c r="D35" s="28">
        <v>256.70285714285717</v>
      </c>
      <c r="E35" s="28">
        <v>166.08571428571426</v>
      </c>
      <c r="F35" s="28">
        <v>421.97142857142859</v>
      </c>
      <c r="G35" s="28">
        <v>961.51</v>
      </c>
      <c r="H35" s="28">
        <v>4.1428571428571426E-2</v>
      </c>
      <c r="I35" s="28">
        <v>0.11</v>
      </c>
      <c r="J35" s="28">
        <v>567.51285714285711</v>
      </c>
      <c r="K35" s="28" cm="1">
        <f t="array" ref="K35:L35">H35:I35</f>
        <v>4.1428571428571426E-2</v>
      </c>
      <c r="L35">
        <v>0.11</v>
      </c>
      <c r="M35" s="28">
        <f t="shared" si="0"/>
        <v>0.15142857142857141</v>
      </c>
      <c r="N35" s="28"/>
      <c r="P35" s="28"/>
    </row>
    <row r="36" spans="1:16">
      <c r="A36" s="47">
        <v>0.27083333333333331</v>
      </c>
      <c r="B36" s="28">
        <v>119.34142857142858</v>
      </c>
      <c r="C36" s="28">
        <v>6919.56142857143</v>
      </c>
      <c r="D36" s="28">
        <v>256.70285714285717</v>
      </c>
      <c r="E36" s="28">
        <v>166.08571428571426</v>
      </c>
      <c r="F36" s="28">
        <v>421.97142857142859</v>
      </c>
      <c r="G36" s="28">
        <v>961.51</v>
      </c>
      <c r="H36" s="28">
        <v>4.1428571428571426E-2</v>
      </c>
      <c r="I36" s="28">
        <v>0.11</v>
      </c>
      <c r="J36" s="28">
        <v>567.51285714285711</v>
      </c>
      <c r="K36" s="28" cm="1">
        <f t="array" ref="K36:L36">H36:I36</f>
        <v>4.1428571428571426E-2</v>
      </c>
      <c r="L36">
        <v>0.11</v>
      </c>
      <c r="M36" s="28">
        <f t="shared" si="0"/>
        <v>0.15142857142857141</v>
      </c>
      <c r="N36" s="28"/>
      <c r="P36" s="28"/>
    </row>
    <row r="37" spans="1:16">
      <c r="A37" s="23" t="s">
        <v>121</v>
      </c>
      <c r="B37" s="28">
        <v>152.11785714285716</v>
      </c>
      <c r="C37" s="28">
        <v>7066.4164285714296</v>
      </c>
      <c r="D37" s="28">
        <v>271.76785714285717</v>
      </c>
      <c r="E37" s="28">
        <v>319.85357142857146</v>
      </c>
      <c r="F37" s="28">
        <v>565.70214285714292</v>
      </c>
      <c r="G37" s="28">
        <v>960.17214285714272</v>
      </c>
      <c r="H37" s="28">
        <v>51.926428571428573</v>
      </c>
      <c r="I37" s="28">
        <v>45.116428571428571</v>
      </c>
      <c r="J37" s="28">
        <v>609.53928571428571</v>
      </c>
      <c r="K37" s="28" cm="1">
        <f t="array" ref="K37:L37">H37:I37</f>
        <v>51.926428571428573</v>
      </c>
      <c r="L37">
        <v>45.116428571428571</v>
      </c>
      <c r="M37" s="28">
        <f t="shared" si="0"/>
        <v>97.042857142857144</v>
      </c>
      <c r="N37" s="28"/>
      <c r="P37" s="28"/>
    </row>
    <row r="38" spans="1:16">
      <c r="A38" s="39" t="s">
        <v>142</v>
      </c>
      <c r="B38" s="28">
        <v>147.88428571428571</v>
      </c>
      <c r="C38" s="28">
        <v>7049.9985714285722</v>
      </c>
      <c r="D38" s="28">
        <v>268.81142857142856</v>
      </c>
      <c r="E38" s="28">
        <v>300.46714285714285</v>
      </c>
      <c r="F38" s="28">
        <v>527.47</v>
      </c>
      <c r="G38" s="28">
        <v>956.62857142857149</v>
      </c>
      <c r="H38" s="28">
        <v>3.9571428571428577</v>
      </c>
      <c r="I38" s="28">
        <v>7.0228571428571431</v>
      </c>
      <c r="J38" s="28">
        <v>550.06285714285707</v>
      </c>
      <c r="K38" s="28" cm="1">
        <f t="array" ref="K38:L38">H38:I38</f>
        <v>3.9571428571428577</v>
      </c>
      <c r="L38">
        <v>7.0228571428571431</v>
      </c>
      <c r="M38" s="28">
        <f t="shared" si="0"/>
        <v>10.98</v>
      </c>
      <c r="N38" s="28"/>
      <c r="P38" s="28"/>
    </row>
    <row r="39" spans="1:16" ht="14" thickBot="1">
      <c r="A39" s="47">
        <v>0.29166666666666669</v>
      </c>
      <c r="B39" s="28">
        <v>147.88428571428571</v>
      </c>
      <c r="C39" s="28">
        <v>7049.9985714285722</v>
      </c>
      <c r="D39" s="28">
        <v>268.81142857142856</v>
      </c>
      <c r="E39" s="28">
        <v>300.46714285714285</v>
      </c>
      <c r="F39" s="28">
        <v>527.47</v>
      </c>
      <c r="G39" s="28">
        <v>956.62857142857149</v>
      </c>
      <c r="H39" s="28">
        <v>3.9571428571428577</v>
      </c>
      <c r="I39" s="28">
        <v>7.0228571428571431</v>
      </c>
      <c r="J39" s="28">
        <v>550.06285714285707</v>
      </c>
      <c r="K39" s="28" cm="1">
        <f t="array" ref="K39:L39">H39:I39</f>
        <v>3.9571428571428577</v>
      </c>
      <c r="L39">
        <v>7.0228571428571431</v>
      </c>
      <c r="M39" s="28">
        <f t="shared" si="0"/>
        <v>10.98</v>
      </c>
      <c r="N39" s="28"/>
      <c r="P39" s="28"/>
    </row>
    <row r="40" spans="1:16" ht="14" thickBot="1">
      <c r="A40" s="39" t="s">
        <v>143</v>
      </c>
      <c r="B40" s="28">
        <v>156.35142857142858</v>
      </c>
      <c r="C40" s="28">
        <v>7082.8342857142861</v>
      </c>
      <c r="D40" s="28">
        <v>274.72428571428571</v>
      </c>
      <c r="E40" s="28">
        <v>339.23999999999995</v>
      </c>
      <c r="F40" s="28">
        <v>603.93428571428569</v>
      </c>
      <c r="G40" s="28">
        <v>963.71571428571428</v>
      </c>
      <c r="H40" s="28">
        <v>99.895714285714277</v>
      </c>
      <c r="I40" s="28">
        <v>83.210000000000008</v>
      </c>
      <c r="J40" s="28">
        <v>669.01571428571435</v>
      </c>
      <c r="K40" s="41" cm="1">
        <f t="array" ref="K40:L40">H40:I40</f>
        <v>99.895714285714277</v>
      </c>
      <c r="L40" s="42">
        <v>83.210000000000008</v>
      </c>
      <c r="M40" s="41">
        <f t="shared" si="0"/>
        <v>183.10571428571427</v>
      </c>
      <c r="N40" s="41"/>
      <c r="O40" s="42"/>
      <c r="P40" s="43"/>
    </row>
    <row r="41" spans="1:16">
      <c r="A41" s="47">
        <v>0.3125</v>
      </c>
      <c r="B41" s="28">
        <v>156.35142857142858</v>
      </c>
      <c r="C41" s="28">
        <v>7082.8342857142861</v>
      </c>
      <c r="D41" s="28">
        <v>274.72428571428571</v>
      </c>
      <c r="E41" s="28">
        <v>339.23999999999995</v>
      </c>
      <c r="F41" s="28">
        <v>603.93428571428569</v>
      </c>
      <c r="G41" s="28">
        <v>963.71571428571428</v>
      </c>
      <c r="H41" s="28">
        <v>99.895714285714277</v>
      </c>
      <c r="I41" s="28">
        <v>83.210000000000008</v>
      </c>
      <c r="J41" s="28">
        <v>669.01571428571435</v>
      </c>
      <c r="K41" s="28" cm="1">
        <f t="array" ref="K41:L41">H41:I41</f>
        <v>99.895714285714277</v>
      </c>
      <c r="L41">
        <v>83.210000000000008</v>
      </c>
      <c r="M41" s="28">
        <f t="shared" si="0"/>
        <v>183.10571428571427</v>
      </c>
      <c r="N41" s="28"/>
      <c r="P41" s="28"/>
    </row>
    <row r="42" spans="1:16">
      <c r="A42" s="23" t="s">
        <v>122</v>
      </c>
      <c r="B42" s="28">
        <v>119.87</v>
      </c>
      <c r="C42" s="28">
        <v>6768.8378571428557</v>
      </c>
      <c r="D42" s="28">
        <v>253.33214285714283</v>
      </c>
      <c r="E42" s="28">
        <v>305.24142857142851</v>
      </c>
      <c r="F42" s="28">
        <v>368.77714285714285</v>
      </c>
      <c r="G42" s="28">
        <v>925.59428571428555</v>
      </c>
      <c r="H42" s="28">
        <v>824.23000000000013</v>
      </c>
      <c r="I42" s="28">
        <v>535.55642857142857</v>
      </c>
      <c r="J42" s="28">
        <v>733.67142857142858</v>
      </c>
      <c r="K42" s="28" cm="1">
        <f t="array" ref="K42:L42">H42:I42</f>
        <v>824.23000000000013</v>
      </c>
      <c r="L42">
        <v>535.55642857142857</v>
      </c>
      <c r="M42" s="28">
        <f t="shared" si="0"/>
        <v>1359.7864285714286</v>
      </c>
      <c r="N42" s="28"/>
      <c r="P42" s="28"/>
    </row>
    <row r="43" spans="1:16">
      <c r="A43" s="39" t="s">
        <v>142</v>
      </c>
      <c r="B43" s="28">
        <v>141.87285714285713</v>
      </c>
      <c r="C43" s="28">
        <v>6948.4314285714281</v>
      </c>
      <c r="D43" s="28">
        <v>273.33428571428573</v>
      </c>
      <c r="E43" s="28">
        <v>343.97571428571428</v>
      </c>
      <c r="F43" s="28">
        <v>502.60142857142858</v>
      </c>
      <c r="G43" s="28">
        <v>957.16428571428571</v>
      </c>
      <c r="H43" s="28">
        <v>505.51285714285717</v>
      </c>
      <c r="I43" s="28">
        <v>335.68285714285713</v>
      </c>
      <c r="J43" s="28">
        <v>681.72285714285715</v>
      </c>
      <c r="K43" s="28" cm="1">
        <f t="array" ref="K43:L43">H43:I43</f>
        <v>505.51285714285717</v>
      </c>
      <c r="L43">
        <v>335.68285714285713</v>
      </c>
      <c r="M43" s="28">
        <f t="shared" si="0"/>
        <v>841.1957142857143</v>
      </c>
      <c r="N43" s="28"/>
      <c r="P43" s="28"/>
    </row>
    <row r="44" spans="1:16">
      <c r="A44" s="47">
        <v>0.33333333333333331</v>
      </c>
      <c r="B44" s="28">
        <v>141.87285714285713</v>
      </c>
      <c r="C44" s="28">
        <v>6948.4314285714281</v>
      </c>
      <c r="D44" s="28">
        <v>273.33428571428573</v>
      </c>
      <c r="E44" s="28">
        <v>343.97571428571428</v>
      </c>
      <c r="F44" s="28">
        <v>502.60142857142858</v>
      </c>
      <c r="G44" s="28">
        <v>957.16428571428571</v>
      </c>
      <c r="H44" s="28">
        <v>505.51285714285717</v>
      </c>
      <c r="I44" s="28">
        <v>335.68285714285713</v>
      </c>
      <c r="J44" s="28">
        <v>681.72285714285715</v>
      </c>
      <c r="K44" s="28" cm="1">
        <f t="array" ref="K44:L44">H44:I44</f>
        <v>505.51285714285717</v>
      </c>
      <c r="L44">
        <v>335.68285714285713</v>
      </c>
      <c r="M44" s="28">
        <f t="shared" si="0"/>
        <v>841.1957142857143</v>
      </c>
      <c r="N44" s="28"/>
      <c r="P44" s="28"/>
    </row>
    <row r="45" spans="1:16">
      <c r="A45" s="39" t="s">
        <v>143</v>
      </c>
      <c r="B45" s="28">
        <v>97.867142857142852</v>
      </c>
      <c r="C45" s="28">
        <v>6589.244285714286</v>
      </c>
      <c r="D45" s="28">
        <v>233.32999999999998</v>
      </c>
      <c r="E45" s="28">
        <v>266.50714285714287</v>
      </c>
      <c r="F45" s="28">
        <v>234.95285714285711</v>
      </c>
      <c r="G45" s="28">
        <v>894.02428571428572</v>
      </c>
      <c r="H45" s="28">
        <v>1142.9471428571428</v>
      </c>
      <c r="I45" s="28">
        <v>735.43000000000006</v>
      </c>
      <c r="J45" s="28">
        <v>785.62</v>
      </c>
      <c r="K45" s="28" cm="1">
        <f t="array" ref="K45:L45">H45:I45</f>
        <v>1142.9471428571428</v>
      </c>
      <c r="L45">
        <v>735.43000000000006</v>
      </c>
      <c r="M45" s="28">
        <f t="shared" si="0"/>
        <v>1878.3771428571429</v>
      </c>
      <c r="N45" s="28"/>
      <c r="P45" s="28"/>
    </row>
    <row r="46" spans="1:16">
      <c r="A46" s="47">
        <v>0.35416666666666669</v>
      </c>
      <c r="B46" s="28">
        <v>97.867142857142852</v>
      </c>
      <c r="C46" s="28">
        <v>6589.244285714286</v>
      </c>
      <c r="D46" s="28">
        <v>233.32999999999998</v>
      </c>
      <c r="E46" s="28">
        <v>266.50714285714287</v>
      </c>
      <c r="F46" s="28">
        <v>234.95285714285711</v>
      </c>
      <c r="G46" s="28">
        <v>894.02428571428572</v>
      </c>
      <c r="H46" s="28">
        <v>1142.9471428571428</v>
      </c>
      <c r="I46" s="28">
        <v>735.43000000000006</v>
      </c>
      <c r="J46" s="28">
        <v>785.62</v>
      </c>
      <c r="K46" s="28" cm="1">
        <f t="array" ref="K46:L46">H46:I46</f>
        <v>1142.9471428571428</v>
      </c>
      <c r="L46">
        <v>735.43000000000006</v>
      </c>
      <c r="M46" s="28">
        <f t="shared" si="0"/>
        <v>1878.3771428571429</v>
      </c>
      <c r="N46" s="28"/>
      <c r="P46" s="28"/>
    </row>
    <row r="47" spans="1:16">
      <c r="A47" s="23" t="s">
        <v>123</v>
      </c>
      <c r="B47" s="28">
        <v>83.460000000000008</v>
      </c>
      <c r="C47" s="28">
        <v>5963.0778571428573</v>
      </c>
      <c r="D47" s="28">
        <v>90.571428571428569</v>
      </c>
      <c r="E47" s="28">
        <v>121.97571428571429</v>
      </c>
      <c r="F47" s="28">
        <v>74.877142857142857</v>
      </c>
      <c r="G47" s="28">
        <v>773.11285714285714</v>
      </c>
      <c r="H47" s="28">
        <v>1852.9514285714288</v>
      </c>
      <c r="I47" s="28">
        <v>1452.2299999999998</v>
      </c>
      <c r="J47" s="28">
        <v>939.67000000000007</v>
      </c>
      <c r="K47" s="28" cm="1">
        <f t="array" ref="K47:L47">H47:I47</f>
        <v>1852.9514285714288</v>
      </c>
      <c r="L47">
        <v>1452.2299999999998</v>
      </c>
      <c r="M47" s="28">
        <f t="shared" si="0"/>
        <v>3305.1814285714286</v>
      </c>
      <c r="N47" s="28"/>
      <c r="P47" s="28"/>
    </row>
    <row r="48" spans="1:16">
      <c r="A48" s="39" t="s">
        <v>142</v>
      </c>
      <c r="B48" s="28">
        <v>81.771428571428586</v>
      </c>
      <c r="C48" s="28">
        <v>6171.7157142857131</v>
      </c>
      <c r="D48" s="28">
        <v>116.11999999999999</v>
      </c>
      <c r="E48" s="28">
        <v>161.54428571428571</v>
      </c>
      <c r="F48" s="28">
        <v>120.25142857142858</v>
      </c>
      <c r="G48" s="28">
        <v>799.35142857142853</v>
      </c>
      <c r="H48" s="28">
        <v>1737.3142857142859</v>
      </c>
      <c r="I48" s="28">
        <v>1211.3400000000001</v>
      </c>
      <c r="J48" s="28">
        <v>929.38571428571424</v>
      </c>
      <c r="K48" s="28" cm="1">
        <f t="array" ref="K48:L48">H48:I48</f>
        <v>1737.3142857142859</v>
      </c>
      <c r="L48">
        <v>1211.3400000000001</v>
      </c>
      <c r="M48" s="28">
        <f t="shared" si="0"/>
        <v>2948.6542857142858</v>
      </c>
      <c r="N48" s="28"/>
      <c r="P48" s="28"/>
    </row>
    <row r="49" spans="1:16">
      <c r="A49" s="47">
        <v>0.375</v>
      </c>
      <c r="B49" s="28">
        <v>81.771428571428586</v>
      </c>
      <c r="C49" s="28">
        <v>6171.7157142857131</v>
      </c>
      <c r="D49" s="28">
        <v>116.11999999999999</v>
      </c>
      <c r="E49" s="28">
        <v>161.54428571428571</v>
      </c>
      <c r="F49" s="28">
        <v>120.25142857142858</v>
      </c>
      <c r="G49" s="28">
        <v>799.35142857142853</v>
      </c>
      <c r="H49" s="28">
        <v>1737.3142857142859</v>
      </c>
      <c r="I49" s="28">
        <v>1211.3400000000001</v>
      </c>
      <c r="J49" s="28">
        <v>929.38571428571424</v>
      </c>
      <c r="K49" s="28" cm="1">
        <f t="array" ref="K49:L49">H49:I49</f>
        <v>1737.3142857142859</v>
      </c>
      <c r="L49">
        <v>1211.3400000000001</v>
      </c>
      <c r="M49" s="28">
        <f t="shared" si="0"/>
        <v>2948.6542857142858</v>
      </c>
      <c r="N49" s="28"/>
      <c r="P49" s="28"/>
    </row>
    <row r="50" spans="1:16">
      <c r="A50" s="39" t="s">
        <v>143</v>
      </c>
      <c r="B50" s="28">
        <v>85.148571428571429</v>
      </c>
      <c r="C50" s="28">
        <v>5754.4400000000005</v>
      </c>
      <c r="D50" s="28">
        <v>65.022857142857134</v>
      </c>
      <c r="E50" s="28">
        <v>82.407142857142858</v>
      </c>
      <c r="F50" s="28">
        <v>29.502857142857145</v>
      </c>
      <c r="G50" s="28">
        <v>746.87428571428575</v>
      </c>
      <c r="H50" s="28">
        <v>1968.5885714285716</v>
      </c>
      <c r="I50" s="28">
        <v>1693.1200000000001</v>
      </c>
      <c r="J50" s="28">
        <v>949.95428571428579</v>
      </c>
    </row>
    <row r="51" spans="1:16">
      <c r="A51" s="47">
        <v>0.39583333333333331</v>
      </c>
      <c r="B51" s="28">
        <v>85.148571428571429</v>
      </c>
      <c r="C51" s="28">
        <v>5754.4400000000005</v>
      </c>
      <c r="D51" s="28">
        <v>65.022857142857134</v>
      </c>
      <c r="E51" s="28">
        <v>82.407142857142858</v>
      </c>
      <c r="F51" s="28">
        <v>29.502857142857145</v>
      </c>
      <c r="G51" s="28">
        <v>746.87428571428575</v>
      </c>
      <c r="H51" s="28">
        <v>1968.5885714285716</v>
      </c>
      <c r="I51" s="28">
        <v>1693.1200000000001</v>
      </c>
      <c r="J51" s="28">
        <v>949.95428571428579</v>
      </c>
    </row>
    <row r="52" spans="1:16">
      <c r="A52" s="23" t="s">
        <v>124</v>
      </c>
      <c r="B52" s="28">
        <v>65.549285714285716</v>
      </c>
      <c r="C52" s="28">
        <v>5086.0621428571421</v>
      </c>
      <c r="D52" s="28">
        <v>64.155000000000001</v>
      </c>
      <c r="E52" s="28">
        <v>41.567142857142855</v>
      </c>
      <c r="F52" s="28">
        <v>6.1835714285714278</v>
      </c>
      <c r="G52" s="28">
        <v>698.65071428571434</v>
      </c>
      <c r="H52" s="28">
        <v>2137.7021428571429</v>
      </c>
      <c r="I52" s="28">
        <v>2285.2685714285717</v>
      </c>
      <c r="J52" s="28">
        <v>945.41071428571411</v>
      </c>
    </row>
    <row r="53" spans="1:16">
      <c r="A53" s="39" t="s">
        <v>142</v>
      </c>
      <c r="B53" s="28">
        <v>70.944285714285712</v>
      </c>
      <c r="C53" s="28">
        <v>5305.0871428571427</v>
      </c>
      <c r="D53" s="28">
        <v>64.238571428571433</v>
      </c>
      <c r="E53" s="28">
        <v>42.847142857142856</v>
      </c>
      <c r="F53" s="28">
        <v>12.367142857142856</v>
      </c>
      <c r="G53" s="28">
        <v>708.93428571428581</v>
      </c>
      <c r="H53" s="28">
        <v>2115.5128571428572</v>
      </c>
      <c r="I53" s="28">
        <v>2112.3457142857142</v>
      </c>
      <c r="J53" s="28">
        <v>930.41571428571422</v>
      </c>
    </row>
    <row r="54" spans="1:16">
      <c r="A54" s="47">
        <v>0.41666666666666669</v>
      </c>
      <c r="B54" s="28">
        <v>70.944285714285712</v>
      </c>
      <c r="C54" s="28">
        <v>5305.0871428571427</v>
      </c>
      <c r="D54" s="28">
        <v>64.238571428571433</v>
      </c>
      <c r="E54" s="28">
        <v>42.847142857142856</v>
      </c>
      <c r="F54" s="28">
        <v>12.367142857142856</v>
      </c>
      <c r="G54" s="28">
        <v>708.93428571428581</v>
      </c>
      <c r="H54" s="28">
        <v>2115.5128571428572</v>
      </c>
      <c r="I54" s="28">
        <v>2112.3457142857142</v>
      </c>
      <c r="J54" s="28">
        <v>930.41571428571422</v>
      </c>
    </row>
    <row r="55" spans="1:16">
      <c r="A55" s="39" t="s">
        <v>143</v>
      </c>
      <c r="B55" s="28">
        <v>60.154285714285713</v>
      </c>
      <c r="C55" s="28">
        <v>4867.0371428571434</v>
      </c>
      <c r="D55" s="28">
        <v>64.071428571428569</v>
      </c>
      <c r="E55" s="28">
        <v>40.287142857142854</v>
      </c>
      <c r="F55" s="28">
        <v>0</v>
      </c>
      <c r="G55" s="28">
        <v>688.36714285714299</v>
      </c>
      <c r="H55" s="28">
        <v>2159.8914285714286</v>
      </c>
      <c r="I55" s="28">
        <v>2458.1914285714288</v>
      </c>
      <c r="J55" s="28">
        <v>960.40571428571445</v>
      </c>
    </row>
    <row r="56" spans="1:16">
      <c r="A56" s="47">
        <v>0.4375</v>
      </c>
      <c r="B56" s="28">
        <v>60.154285714285713</v>
      </c>
      <c r="C56" s="28">
        <v>4867.0371428571434</v>
      </c>
      <c r="D56" s="28">
        <v>64.071428571428569</v>
      </c>
      <c r="E56" s="28">
        <v>40.287142857142854</v>
      </c>
      <c r="F56" s="28">
        <v>0</v>
      </c>
      <c r="G56" s="28">
        <v>688.36714285714299</v>
      </c>
      <c r="H56" s="28">
        <v>2159.8914285714286</v>
      </c>
      <c r="I56" s="28">
        <v>2458.1914285714288</v>
      </c>
      <c r="J56" s="28">
        <v>960.40571428571445</v>
      </c>
    </row>
    <row r="57" spans="1:16">
      <c r="A57" s="23" t="s">
        <v>125</v>
      </c>
      <c r="B57" s="28">
        <v>31.527142857142856</v>
      </c>
      <c r="C57" s="28">
        <v>4362.4742857142855</v>
      </c>
      <c r="D57" s="28">
        <v>51</v>
      </c>
      <c r="E57" s="28">
        <v>40.309285714285707</v>
      </c>
      <c r="F57" s="28">
        <v>0</v>
      </c>
      <c r="G57" s="28">
        <v>717.28499999999985</v>
      </c>
      <c r="H57" s="28">
        <v>2294.3807142857145</v>
      </c>
      <c r="I57" s="28">
        <v>2807.9257142857141</v>
      </c>
      <c r="J57" s="28">
        <v>930.16499999999996</v>
      </c>
    </row>
    <row r="58" spans="1:16">
      <c r="A58" s="39" t="s">
        <v>142</v>
      </c>
      <c r="B58" s="28">
        <v>31.034285714285716</v>
      </c>
      <c r="C58" s="28">
        <v>4485.2914285714278</v>
      </c>
      <c r="D58" s="28">
        <v>63.167142857142856</v>
      </c>
      <c r="E58" s="28">
        <v>40.444285714285719</v>
      </c>
      <c r="F58" s="28">
        <v>0</v>
      </c>
      <c r="G58" s="28">
        <v>705.04857142857134</v>
      </c>
      <c r="H58" s="28">
        <v>2262.764285714286</v>
      </c>
      <c r="I58" s="28">
        <v>2709.6085714285714</v>
      </c>
      <c r="J58" s="28">
        <v>926.70142857142855</v>
      </c>
    </row>
    <row r="59" spans="1:16">
      <c r="A59" s="47">
        <v>0.45833333333333331</v>
      </c>
      <c r="B59" s="28">
        <v>31.034285714285716</v>
      </c>
      <c r="C59" s="28">
        <v>4485.2914285714278</v>
      </c>
      <c r="D59" s="28">
        <v>63.167142857142856</v>
      </c>
      <c r="E59" s="28">
        <v>40.444285714285719</v>
      </c>
      <c r="F59" s="28">
        <v>0</v>
      </c>
      <c r="G59" s="28">
        <v>705.04857142857134</v>
      </c>
      <c r="H59" s="28">
        <v>2262.764285714286</v>
      </c>
      <c r="I59" s="28">
        <v>2709.6085714285714</v>
      </c>
      <c r="J59" s="28">
        <v>926.70142857142855</v>
      </c>
    </row>
    <row r="60" spans="1:16">
      <c r="A60" s="39" t="s">
        <v>143</v>
      </c>
      <c r="B60" s="28">
        <v>32.019999999999996</v>
      </c>
      <c r="C60" s="28">
        <v>4239.6571428571424</v>
      </c>
      <c r="D60" s="28">
        <v>38.832857142857144</v>
      </c>
      <c r="E60" s="28">
        <v>40.174285714285716</v>
      </c>
      <c r="F60" s="28">
        <v>0</v>
      </c>
      <c r="G60" s="28">
        <v>729.52142857142849</v>
      </c>
      <c r="H60" s="28">
        <v>2325.997142857143</v>
      </c>
      <c r="I60" s="28">
        <v>2906.2428571428568</v>
      </c>
      <c r="J60" s="28">
        <v>933.62857142857149</v>
      </c>
    </row>
    <row r="61" spans="1:16">
      <c r="A61" s="47">
        <v>0.47916666666666669</v>
      </c>
      <c r="B61" s="28">
        <v>32.019999999999996</v>
      </c>
      <c r="C61" s="28">
        <v>4239.6571428571424</v>
      </c>
      <c r="D61" s="28">
        <v>38.832857142857144</v>
      </c>
      <c r="E61" s="28">
        <v>40.174285714285716</v>
      </c>
      <c r="F61" s="28">
        <v>0</v>
      </c>
      <c r="G61" s="28">
        <v>729.52142857142849</v>
      </c>
      <c r="H61" s="28">
        <v>2325.997142857143</v>
      </c>
      <c r="I61" s="28">
        <v>2906.2428571428568</v>
      </c>
      <c r="J61" s="28">
        <v>933.62857142857149</v>
      </c>
    </row>
    <row r="62" spans="1:16">
      <c r="A62" s="23" t="s">
        <v>126</v>
      </c>
      <c r="B62" s="28">
        <v>24.19</v>
      </c>
      <c r="C62" s="28">
        <v>4052.6786666666671</v>
      </c>
      <c r="D62" s="28">
        <v>23.4</v>
      </c>
      <c r="E62" s="28">
        <v>39.742666666666672</v>
      </c>
      <c r="F62" s="28">
        <v>1.3693333333333333</v>
      </c>
      <c r="G62" s="28">
        <v>820.53866666666681</v>
      </c>
      <c r="H62" s="28">
        <v>2224.6853333333333</v>
      </c>
      <c r="I62" s="28">
        <v>2873.516666666666</v>
      </c>
      <c r="J62" s="28">
        <v>911.29466666666667</v>
      </c>
    </row>
    <row r="63" spans="1:16">
      <c r="A63" s="39" t="s">
        <v>142</v>
      </c>
      <c r="B63" s="28">
        <v>25.745714285714286</v>
      </c>
      <c r="C63" s="28">
        <v>4118.7757142857145</v>
      </c>
      <c r="D63" s="28">
        <v>21.69</v>
      </c>
      <c r="E63" s="28">
        <v>39.982857142857142</v>
      </c>
      <c r="F63" s="28">
        <v>0</v>
      </c>
      <c r="G63" s="28">
        <v>749.0200000000001</v>
      </c>
      <c r="H63" s="28">
        <v>2323.6357142857146</v>
      </c>
      <c r="I63" s="28">
        <v>3052.0642857142861</v>
      </c>
      <c r="J63" s="28">
        <v>902.43857142857155</v>
      </c>
    </row>
    <row r="64" spans="1:16">
      <c r="A64" s="47">
        <v>0.5</v>
      </c>
      <c r="B64" s="28">
        <v>25.745714285714286</v>
      </c>
      <c r="C64" s="28">
        <v>4118.7757142857145</v>
      </c>
      <c r="D64" s="28">
        <v>21.69</v>
      </c>
      <c r="E64" s="28">
        <v>39.982857142857142</v>
      </c>
      <c r="F64" s="28">
        <v>0</v>
      </c>
      <c r="G64" s="28">
        <v>749.0200000000001</v>
      </c>
      <c r="H64" s="28">
        <v>2323.6357142857146</v>
      </c>
      <c r="I64" s="28">
        <v>3052.0642857142861</v>
      </c>
      <c r="J64" s="28">
        <v>902.43857142857155</v>
      </c>
    </row>
    <row r="65" spans="1:10">
      <c r="A65" s="39" t="s">
        <v>143</v>
      </c>
      <c r="B65" s="28">
        <v>22.828750000000003</v>
      </c>
      <c r="C65" s="28">
        <v>3994.84375</v>
      </c>
      <c r="D65" s="28">
        <v>24.896249999999998</v>
      </c>
      <c r="E65" s="28">
        <v>39.532499999999999</v>
      </c>
      <c r="F65" s="28">
        <v>2.5674999999999999</v>
      </c>
      <c r="G65" s="28">
        <v>883.11749999999995</v>
      </c>
      <c r="H65" s="28">
        <v>2138.1037499999998</v>
      </c>
      <c r="I65" s="28">
        <v>2717.2874999999999</v>
      </c>
      <c r="J65" s="28">
        <v>919.04375000000005</v>
      </c>
    </row>
    <row r="66" spans="1:10">
      <c r="A66" s="47">
        <v>0.52083333333333337</v>
      </c>
      <c r="B66" s="28">
        <v>22.828750000000003</v>
      </c>
      <c r="C66" s="28">
        <v>3994.84375</v>
      </c>
      <c r="D66" s="28">
        <v>24.896249999999998</v>
      </c>
      <c r="E66" s="28">
        <v>39.532499999999999</v>
      </c>
      <c r="F66" s="28">
        <v>2.5674999999999999</v>
      </c>
      <c r="G66" s="28">
        <v>883.11749999999995</v>
      </c>
      <c r="H66" s="28">
        <v>2138.1037499999998</v>
      </c>
      <c r="I66" s="28">
        <v>2717.2874999999999</v>
      </c>
      <c r="J66" s="28">
        <v>919.04375000000005</v>
      </c>
    </row>
    <row r="67" spans="1:10">
      <c r="A67" s="23" t="s">
        <v>127</v>
      </c>
      <c r="B67" s="28">
        <v>9.838571428571429</v>
      </c>
      <c r="C67" s="28">
        <v>3771.8278571428568</v>
      </c>
      <c r="D67" s="28">
        <v>27.154999999999998</v>
      </c>
      <c r="E67" s="28">
        <v>38.46</v>
      </c>
      <c r="F67" s="28">
        <v>0</v>
      </c>
      <c r="G67" s="28">
        <v>1052.2</v>
      </c>
      <c r="H67" s="28">
        <v>2130.8685714285712</v>
      </c>
      <c r="I67" s="28">
        <v>2983.8578571428575</v>
      </c>
      <c r="J67" s="28">
        <v>865.44357142857132</v>
      </c>
    </row>
    <row r="68" spans="1:10">
      <c r="A68" s="39" t="s">
        <v>142</v>
      </c>
      <c r="B68" s="28">
        <v>5.3885714285714297</v>
      </c>
      <c r="C68" s="28">
        <v>3770.9900000000002</v>
      </c>
      <c r="D68" s="28">
        <v>27.167142857142856</v>
      </c>
      <c r="E68" s="28">
        <v>39.028571428571432</v>
      </c>
      <c r="F68" s="28">
        <v>0</v>
      </c>
      <c r="G68" s="28">
        <v>1051.06</v>
      </c>
      <c r="H68" s="28">
        <v>2140.6899999999996</v>
      </c>
      <c r="I68" s="28">
        <v>2960.0785714285712</v>
      </c>
      <c r="J68" s="28">
        <v>863.75857142857137</v>
      </c>
    </row>
    <row r="69" spans="1:10">
      <c r="A69" s="47">
        <v>0.54166666666666663</v>
      </c>
      <c r="B69" s="28">
        <v>5.3885714285714297</v>
      </c>
      <c r="C69" s="28">
        <v>3770.9900000000002</v>
      </c>
      <c r="D69" s="28">
        <v>27.167142857142856</v>
      </c>
      <c r="E69" s="28">
        <v>39.028571428571432</v>
      </c>
      <c r="F69" s="28">
        <v>0</v>
      </c>
      <c r="G69" s="28">
        <v>1051.06</v>
      </c>
      <c r="H69" s="28">
        <v>2140.6899999999996</v>
      </c>
      <c r="I69" s="28">
        <v>2960.0785714285712</v>
      </c>
      <c r="J69" s="28">
        <v>863.75857142857137</v>
      </c>
    </row>
    <row r="70" spans="1:10">
      <c r="A70" s="39" t="s">
        <v>143</v>
      </c>
      <c r="B70" s="28">
        <v>14.288571428571428</v>
      </c>
      <c r="C70" s="28">
        <v>3772.6657142857143</v>
      </c>
      <c r="D70" s="28">
        <v>27.142857142857142</v>
      </c>
      <c r="E70" s="28">
        <v>37.89142857142857</v>
      </c>
      <c r="F70" s="28">
        <v>0</v>
      </c>
      <c r="G70" s="28">
        <v>1053.3399999999999</v>
      </c>
      <c r="H70" s="28">
        <v>2121.0471428571432</v>
      </c>
      <c r="I70" s="28">
        <v>3007.6371428571429</v>
      </c>
      <c r="J70" s="28">
        <v>867.12857142857149</v>
      </c>
    </row>
    <row r="71" spans="1:10">
      <c r="A71" s="47">
        <v>0.5625</v>
      </c>
      <c r="B71" s="28">
        <v>14.288571428571428</v>
      </c>
      <c r="C71" s="28">
        <v>3772.6657142857143</v>
      </c>
      <c r="D71" s="28">
        <v>27.142857142857142</v>
      </c>
      <c r="E71" s="28">
        <v>37.89142857142857</v>
      </c>
      <c r="F71" s="28">
        <v>0</v>
      </c>
      <c r="G71" s="28">
        <v>1053.3399999999999</v>
      </c>
      <c r="H71" s="28">
        <v>2121.0471428571432</v>
      </c>
      <c r="I71" s="28">
        <v>3007.6371428571429</v>
      </c>
      <c r="J71" s="28">
        <v>867.12857142857149</v>
      </c>
    </row>
    <row r="72" spans="1:10">
      <c r="A72" s="23" t="s">
        <v>128</v>
      </c>
      <c r="B72" s="28">
        <v>12.443571428571429</v>
      </c>
      <c r="C72" s="28">
        <v>3855.1578571428568</v>
      </c>
      <c r="D72" s="28">
        <v>32.119285714285709</v>
      </c>
      <c r="E72" s="28">
        <v>37.757857142857134</v>
      </c>
      <c r="F72" s="28">
        <v>0</v>
      </c>
      <c r="G72" s="28">
        <v>1037.1300000000001</v>
      </c>
      <c r="H72" s="28">
        <v>2105.4271428571433</v>
      </c>
      <c r="I72" s="28">
        <v>2520.0085714285715</v>
      </c>
      <c r="J72" s="28">
        <v>886.58</v>
      </c>
    </row>
    <row r="73" spans="1:10">
      <c r="A73" s="39" t="s">
        <v>142</v>
      </c>
      <c r="B73" s="28">
        <v>4.0828571428571436</v>
      </c>
      <c r="C73" s="28">
        <v>3803.6571428571433</v>
      </c>
      <c r="D73" s="28">
        <v>27.524285714285714</v>
      </c>
      <c r="E73" s="28">
        <v>37.625714285714288</v>
      </c>
      <c r="F73" s="28">
        <v>0</v>
      </c>
      <c r="G73" s="28">
        <v>1029.6385714285716</v>
      </c>
      <c r="H73" s="28">
        <v>2105.4157142857143</v>
      </c>
      <c r="I73" s="28">
        <v>2719.9842857142858</v>
      </c>
      <c r="J73" s="28">
        <v>873.99714285714288</v>
      </c>
    </row>
    <row r="74" spans="1:10">
      <c r="A74" s="47">
        <v>0.58333333333333337</v>
      </c>
      <c r="B74" s="28">
        <v>4.0828571428571436</v>
      </c>
      <c r="C74" s="28">
        <v>3803.6571428571433</v>
      </c>
      <c r="D74" s="28">
        <v>27.524285714285714</v>
      </c>
      <c r="E74" s="28">
        <v>37.625714285714288</v>
      </c>
      <c r="F74" s="28">
        <v>0</v>
      </c>
      <c r="G74" s="28">
        <v>1029.6385714285716</v>
      </c>
      <c r="H74" s="28">
        <v>2105.4157142857143</v>
      </c>
      <c r="I74" s="28">
        <v>2719.9842857142858</v>
      </c>
      <c r="J74" s="28">
        <v>873.99714285714288</v>
      </c>
    </row>
    <row r="75" spans="1:10">
      <c r="A75" s="39" t="s">
        <v>143</v>
      </c>
      <c r="B75" s="28">
        <v>20.804285714285715</v>
      </c>
      <c r="C75" s="28">
        <v>3906.6585714285716</v>
      </c>
      <c r="D75" s="28">
        <v>36.714285714285715</v>
      </c>
      <c r="E75" s="28">
        <v>37.89</v>
      </c>
      <c r="F75" s="28">
        <v>0</v>
      </c>
      <c r="G75" s="28">
        <v>1044.6214285714284</v>
      </c>
      <c r="H75" s="28">
        <v>2105.4385714285713</v>
      </c>
      <c r="I75" s="28">
        <v>2320.0328571428572</v>
      </c>
      <c r="J75" s="28">
        <v>899.16285714285732</v>
      </c>
    </row>
    <row r="76" spans="1:10">
      <c r="A76" s="47">
        <v>0.60416666666666663</v>
      </c>
      <c r="B76" s="28">
        <v>20.804285714285715</v>
      </c>
      <c r="C76" s="28">
        <v>3906.6585714285716</v>
      </c>
      <c r="D76" s="28">
        <v>36.714285714285715</v>
      </c>
      <c r="E76" s="28">
        <v>37.89</v>
      </c>
      <c r="F76" s="28">
        <v>0</v>
      </c>
      <c r="G76" s="28">
        <v>1044.6214285714284</v>
      </c>
      <c r="H76" s="28">
        <v>2105.4385714285713</v>
      </c>
      <c r="I76" s="28">
        <v>2320.0328571428572</v>
      </c>
      <c r="J76" s="28">
        <v>899.16285714285732</v>
      </c>
    </row>
    <row r="77" spans="1:10">
      <c r="A77" s="23" t="s">
        <v>129</v>
      </c>
      <c r="B77" s="28">
        <v>29.439285714285717</v>
      </c>
      <c r="C77" s="28">
        <v>4507.7749999999996</v>
      </c>
      <c r="D77" s="28">
        <v>84.190000000000012</v>
      </c>
      <c r="E77" s="28">
        <v>38.170714285714283</v>
      </c>
      <c r="F77" s="28">
        <v>3.4950000000000001</v>
      </c>
      <c r="G77" s="28">
        <v>1065.5757142857144</v>
      </c>
      <c r="H77" s="28">
        <v>1897.8714285714286</v>
      </c>
      <c r="I77" s="28">
        <v>1638.4035714285712</v>
      </c>
      <c r="J77" s="28">
        <v>861.80714285714294</v>
      </c>
    </row>
    <row r="78" spans="1:10">
      <c r="A78" s="39" t="s">
        <v>142</v>
      </c>
      <c r="B78" s="28">
        <v>45.08428571428572</v>
      </c>
      <c r="C78" s="28">
        <v>4268.8357142857139</v>
      </c>
      <c r="D78" s="28">
        <v>57.308571428571433</v>
      </c>
      <c r="E78" s="28">
        <v>38</v>
      </c>
      <c r="F78" s="28">
        <v>0</v>
      </c>
      <c r="G78" s="28">
        <v>1066.8757142857144</v>
      </c>
      <c r="H78" s="28">
        <v>1984.7942857142857</v>
      </c>
      <c r="I78" s="28">
        <v>1876.1114285714284</v>
      </c>
      <c r="J78" s="28">
        <v>868.16285714285721</v>
      </c>
    </row>
    <row r="79" spans="1:10">
      <c r="A79" s="47">
        <v>0.625</v>
      </c>
      <c r="B79" s="28">
        <v>45.08428571428572</v>
      </c>
      <c r="C79" s="28">
        <v>4268.8357142857139</v>
      </c>
      <c r="D79" s="28">
        <v>57.308571428571433</v>
      </c>
      <c r="E79" s="28">
        <v>38</v>
      </c>
      <c r="F79" s="28">
        <v>0</v>
      </c>
      <c r="G79" s="28">
        <v>1066.8757142857144</v>
      </c>
      <c r="H79" s="28">
        <v>1984.7942857142857</v>
      </c>
      <c r="I79" s="28">
        <v>1876.1114285714284</v>
      </c>
      <c r="J79" s="28">
        <v>868.16285714285721</v>
      </c>
    </row>
    <row r="80" spans="1:10">
      <c r="A80" s="39" t="s">
        <v>143</v>
      </c>
      <c r="B80" s="28">
        <v>13.794285714285715</v>
      </c>
      <c r="C80" s="28">
        <v>4746.7142857142853</v>
      </c>
      <c r="D80" s="28">
        <v>111.07142857142858</v>
      </c>
      <c r="E80" s="28">
        <v>38.341428571428573</v>
      </c>
      <c r="F80" s="28">
        <v>6.99</v>
      </c>
      <c r="G80" s="28">
        <v>1064.275714285714</v>
      </c>
      <c r="H80" s="28">
        <v>1810.9485714285713</v>
      </c>
      <c r="I80" s="28">
        <v>1400.6957142857143</v>
      </c>
      <c r="J80" s="28">
        <v>855.45142857142855</v>
      </c>
    </row>
    <row r="81" spans="1:10">
      <c r="A81" s="47">
        <v>0.64583333333333337</v>
      </c>
      <c r="B81" s="28">
        <v>13.794285714285715</v>
      </c>
      <c r="C81" s="28">
        <v>4746.7142857142853</v>
      </c>
      <c r="D81" s="28">
        <v>111.07142857142858</v>
      </c>
      <c r="E81" s="28">
        <v>38.341428571428573</v>
      </c>
      <c r="F81" s="28">
        <v>6.99</v>
      </c>
      <c r="G81" s="28">
        <v>1064.275714285714</v>
      </c>
      <c r="H81" s="28">
        <v>1810.9485714285713</v>
      </c>
      <c r="I81" s="28">
        <v>1400.6957142857143</v>
      </c>
      <c r="J81" s="28">
        <v>855.45142857142855</v>
      </c>
    </row>
    <row r="82" spans="1:10">
      <c r="A82" s="23" t="s">
        <v>130</v>
      </c>
      <c r="B82" s="28">
        <v>80.249285714285719</v>
      </c>
      <c r="C82" s="28">
        <v>5839.97</v>
      </c>
      <c r="D82" s="28">
        <v>240.36999999999998</v>
      </c>
      <c r="E82" s="28">
        <v>113.08071428571429</v>
      </c>
      <c r="F82" s="28">
        <v>123.97071428571428</v>
      </c>
      <c r="G82" s="28">
        <v>1067.2542857142857</v>
      </c>
      <c r="H82" s="28">
        <v>1087.7971428571427</v>
      </c>
      <c r="I82" s="28">
        <v>685.77071428571435</v>
      </c>
      <c r="J82" s="28">
        <v>864.21428571428567</v>
      </c>
    </row>
    <row r="83" spans="1:10">
      <c r="A83" s="39" t="s">
        <v>142</v>
      </c>
      <c r="B83" s="28">
        <v>68.755714285714276</v>
      </c>
      <c r="C83" s="28">
        <v>5430.9342857142856</v>
      </c>
      <c r="D83" s="28">
        <v>196.95428571428573</v>
      </c>
      <c r="E83" s="28">
        <v>55.777142857142856</v>
      </c>
      <c r="F83" s="28">
        <v>54.434285714285707</v>
      </c>
      <c r="G83" s="28">
        <v>1071.6471428571429</v>
      </c>
      <c r="H83" s="28">
        <v>1407.9771428571428</v>
      </c>
      <c r="I83" s="28">
        <v>907.82285714285717</v>
      </c>
      <c r="J83" s="28">
        <v>856.69714285714292</v>
      </c>
    </row>
    <row r="84" spans="1:10">
      <c r="A84" s="47">
        <v>0.66666666666666663</v>
      </c>
      <c r="B84" s="28">
        <v>68.755714285714276</v>
      </c>
      <c r="C84" s="28">
        <v>5430.9342857142856</v>
      </c>
      <c r="D84" s="28">
        <v>196.95428571428573</v>
      </c>
      <c r="E84" s="28">
        <v>55.777142857142856</v>
      </c>
      <c r="F84" s="28">
        <v>54.434285714285707</v>
      </c>
      <c r="G84" s="28">
        <v>1071.6471428571429</v>
      </c>
      <c r="H84" s="28">
        <v>1407.9771428571428</v>
      </c>
      <c r="I84" s="28">
        <v>907.82285714285717</v>
      </c>
      <c r="J84" s="28">
        <v>856.69714285714292</v>
      </c>
    </row>
    <row r="85" spans="1:10">
      <c r="A85" s="39" t="s">
        <v>143</v>
      </c>
      <c r="B85" s="28">
        <v>91.742857142857147</v>
      </c>
      <c r="C85" s="28">
        <v>6249.0057142857158</v>
      </c>
      <c r="D85" s="28">
        <v>283.78571428571428</v>
      </c>
      <c r="E85" s="28">
        <v>170.38428571428571</v>
      </c>
      <c r="F85" s="28">
        <v>193.50714285714284</v>
      </c>
      <c r="G85" s="28">
        <v>1062.8614285714286</v>
      </c>
      <c r="H85" s="28">
        <v>767.61714285714277</v>
      </c>
      <c r="I85" s="28">
        <v>463.71857142857147</v>
      </c>
      <c r="J85" s="28">
        <v>871.73142857142852</v>
      </c>
    </row>
    <row r="86" spans="1:10">
      <c r="A86" s="47">
        <v>0.6875</v>
      </c>
      <c r="B86" s="28">
        <v>91.742857142857147</v>
      </c>
      <c r="C86" s="28">
        <v>6249.0057142857158</v>
      </c>
      <c r="D86" s="28">
        <v>283.78571428571428</v>
      </c>
      <c r="E86" s="28">
        <v>170.38428571428571</v>
      </c>
      <c r="F86" s="28">
        <v>193.50714285714284</v>
      </c>
      <c r="G86" s="28">
        <v>1062.8614285714286</v>
      </c>
      <c r="H86" s="28">
        <v>767.61714285714277</v>
      </c>
      <c r="I86" s="28">
        <v>463.71857142857147</v>
      </c>
      <c r="J86" s="28">
        <v>871.73142857142852</v>
      </c>
    </row>
    <row r="87" spans="1:10">
      <c r="A87" s="23" t="s">
        <v>131</v>
      </c>
      <c r="B87" s="28">
        <v>164.98642857142858</v>
      </c>
      <c r="C87" s="28">
        <v>6964.6914285714283</v>
      </c>
      <c r="D87" s="28">
        <v>325.36785714285713</v>
      </c>
      <c r="E87" s="28">
        <v>492.0942857142856</v>
      </c>
      <c r="F87" s="28">
        <v>710.84642857142865</v>
      </c>
      <c r="G87" s="28">
        <v>1030.1314285714286</v>
      </c>
      <c r="H87" s="28">
        <v>98.004285714285714</v>
      </c>
      <c r="I87" s="28">
        <v>76.453571428571422</v>
      </c>
      <c r="J87" s="28">
        <v>805.38571428571424</v>
      </c>
    </row>
    <row r="88" spans="1:10">
      <c r="A88" s="39" t="s">
        <v>142</v>
      </c>
      <c r="B88" s="28">
        <v>158.11142857142858</v>
      </c>
      <c r="C88" s="28">
        <v>6803.1328571428576</v>
      </c>
      <c r="D88" s="28">
        <v>331.11714285714282</v>
      </c>
      <c r="E88" s="28">
        <v>364.45142857142855</v>
      </c>
      <c r="F88" s="28">
        <v>592.0100000000001</v>
      </c>
      <c r="G88" s="28">
        <v>1040.3771428571429</v>
      </c>
      <c r="H88" s="28">
        <v>187.67142857142858</v>
      </c>
      <c r="I88" s="28">
        <v>137.05142857142854</v>
      </c>
      <c r="J88" s="28">
        <v>816.97428571428566</v>
      </c>
    </row>
    <row r="89" spans="1:10">
      <c r="A89" s="47">
        <v>0.70833333333333337</v>
      </c>
      <c r="B89" s="28">
        <v>158.11142857142858</v>
      </c>
      <c r="C89" s="28">
        <v>6803.1328571428576</v>
      </c>
      <c r="D89" s="28">
        <v>331.11714285714282</v>
      </c>
      <c r="E89" s="28">
        <v>364.45142857142855</v>
      </c>
      <c r="F89" s="28">
        <v>592.0100000000001</v>
      </c>
      <c r="G89" s="28">
        <v>1040.3771428571429</v>
      </c>
      <c r="H89" s="28">
        <v>187.67142857142858</v>
      </c>
      <c r="I89" s="28">
        <v>137.05142857142854</v>
      </c>
      <c r="J89" s="28">
        <v>816.97428571428566</v>
      </c>
    </row>
    <row r="90" spans="1:10">
      <c r="A90" s="39" t="s">
        <v>143</v>
      </c>
      <c r="B90" s="28">
        <v>171.86142857142858</v>
      </c>
      <c r="C90" s="28">
        <v>7126.2499999999991</v>
      </c>
      <c r="D90" s="28">
        <v>319.61857142857144</v>
      </c>
      <c r="E90" s="28">
        <v>619.737142857143</v>
      </c>
      <c r="F90" s="28">
        <v>829.68285714285707</v>
      </c>
      <c r="G90" s="28">
        <v>1019.8857142857144</v>
      </c>
      <c r="H90" s="28">
        <v>8.3371428571428563</v>
      </c>
      <c r="I90" s="28">
        <v>15.855714285714285</v>
      </c>
      <c r="J90" s="28">
        <v>793.79714285714283</v>
      </c>
    </row>
    <row r="91" spans="1:10">
      <c r="A91" s="47">
        <v>0.72916666666666663</v>
      </c>
      <c r="B91" s="28">
        <v>171.86142857142858</v>
      </c>
      <c r="C91" s="28">
        <v>7126.2499999999991</v>
      </c>
      <c r="D91" s="28">
        <v>319.61857142857144</v>
      </c>
      <c r="E91" s="28">
        <v>619.737142857143</v>
      </c>
      <c r="F91" s="28">
        <v>829.68285714285707</v>
      </c>
      <c r="G91" s="28">
        <v>1019.8857142857144</v>
      </c>
      <c r="H91" s="28">
        <v>8.3371428571428563</v>
      </c>
      <c r="I91" s="28">
        <v>15.855714285714285</v>
      </c>
      <c r="J91" s="28">
        <v>793.79714285714283</v>
      </c>
    </row>
    <row r="92" spans="1:10">
      <c r="A92" s="23" t="s">
        <v>132</v>
      </c>
      <c r="B92" s="28">
        <v>211.16357142857143</v>
      </c>
      <c r="C92" s="28">
        <v>7283.0885714285705</v>
      </c>
      <c r="D92" s="28">
        <v>330.11285714285714</v>
      </c>
      <c r="E92" s="28">
        <v>705.34071428571428</v>
      </c>
      <c r="F92" s="28">
        <v>946.65428571428561</v>
      </c>
      <c r="G92" s="28">
        <v>1065.5550000000001</v>
      </c>
      <c r="H92" s="28">
        <v>4.1428571428571433E-2</v>
      </c>
      <c r="I92" s="28">
        <v>9.5714285714285724E-2</v>
      </c>
      <c r="J92" s="28">
        <v>856.36428571428564</v>
      </c>
    </row>
    <row r="93" spans="1:10">
      <c r="A93" s="39" t="s">
        <v>142</v>
      </c>
      <c r="B93" s="28">
        <v>230.89000000000001</v>
      </c>
      <c r="C93" s="28">
        <v>7270.93</v>
      </c>
      <c r="D93" s="28">
        <v>326.17</v>
      </c>
      <c r="E93" s="28">
        <v>702.53285714285721</v>
      </c>
      <c r="F93" s="28">
        <v>931.09285714285704</v>
      </c>
      <c r="G93" s="28">
        <v>1052.2328571428573</v>
      </c>
      <c r="H93" s="28">
        <v>4.1428571428571426E-2</v>
      </c>
      <c r="I93" s="28">
        <v>0.19142857142857145</v>
      </c>
      <c r="J93" s="28">
        <v>847.47857142857151</v>
      </c>
    </row>
    <row r="94" spans="1:10">
      <c r="A94" s="47">
        <v>0.75</v>
      </c>
      <c r="B94" s="28">
        <v>230.89000000000001</v>
      </c>
      <c r="C94" s="28">
        <v>7270.93</v>
      </c>
      <c r="D94" s="28">
        <v>326.17</v>
      </c>
      <c r="E94" s="28">
        <v>702.53285714285721</v>
      </c>
      <c r="F94" s="28">
        <v>931.09285714285704</v>
      </c>
      <c r="G94" s="28">
        <v>1052.2328571428573</v>
      </c>
      <c r="H94" s="28">
        <v>4.1428571428571426E-2</v>
      </c>
      <c r="I94" s="28">
        <v>0.19142857142857145</v>
      </c>
      <c r="J94" s="28">
        <v>847.47857142857151</v>
      </c>
    </row>
    <row r="95" spans="1:10">
      <c r="A95" s="39" t="s">
        <v>143</v>
      </c>
      <c r="B95" s="28">
        <v>191.43714285714285</v>
      </c>
      <c r="C95" s="28">
        <v>7295.2471428571425</v>
      </c>
      <c r="D95" s="28">
        <v>334.05571428571426</v>
      </c>
      <c r="E95" s="28">
        <v>708.14857142857147</v>
      </c>
      <c r="F95" s="28">
        <v>962.21571428571417</v>
      </c>
      <c r="G95" s="28">
        <v>1078.8771428571429</v>
      </c>
      <c r="H95" s="28">
        <v>4.1428571428571426E-2</v>
      </c>
      <c r="I95" s="28">
        <v>0</v>
      </c>
      <c r="J95" s="28">
        <v>865.25</v>
      </c>
    </row>
    <row r="96" spans="1:10">
      <c r="A96" s="47">
        <v>0.77083333333333337</v>
      </c>
      <c r="B96" s="28">
        <v>191.43714285714285</v>
      </c>
      <c r="C96" s="28">
        <v>7295.2471428571425</v>
      </c>
      <c r="D96" s="28">
        <v>334.05571428571426</v>
      </c>
      <c r="E96" s="28">
        <v>708.14857142857147</v>
      </c>
      <c r="F96" s="28">
        <v>962.21571428571417</v>
      </c>
      <c r="G96" s="28">
        <v>1078.8771428571429</v>
      </c>
      <c r="H96" s="28">
        <v>4.1428571428571426E-2</v>
      </c>
      <c r="I96" s="28">
        <v>0</v>
      </c>
      <c r="J96" s="28">
        <v>865.25</v>
      </c>
    </row>
    <row r="97" spans="1:10">
      <c r="A97" s="23" t="s">
        <v>133</v>
      </c>
      <c r="B97" s="28">
        <v>181.83785714285719</v>
      </c>
      <c r="C97" s="28">
        <v>7308.5764285714295</v>
      </c>
      <c r="D97" s="28">
        <v>331.56428571428569</v>
      </c>
      <c r="E97" s="28">
        <v>710.48285714285714</v>
      </c>
      <c r="F97" s="28">
        <v>923.49428571428575</v>
      </c>
      <c r="G97" s="28">
        <v>1125.5142857142857</v>
      </c>
      <c r="H97" s="28">
        <v>4.1428571428571433E-2</v>
      </c>
      <c r="I97" s="28">
        <v>0</v>
      </c>
      <c r="J97" s="28">
        <v>897.8471428571429</v>
      </c>
    </row>
    <row r="98" spans="1:10">
      <c r="A98" s="39" t="s">
        <v>142</v>
      </c>
      <c r="B98" s="28">
        <v>188.42285714285714</v>
      </c>
      <c r="C98" s="28">
        <v>7308.5199999999995</v>
      </c>
      <c r="D98" s="28">
        <v>331.48714285714283</v>
      </c>
      <c r="E98" s="28">
        <v>717.54428571428582</v>
      </c>
      <c r="F98" s="28">
        <v>939.43571428571443</v>
      </c>
      <c r="G98" s="28">
        <v>1115.7785714285715</v>
      </c>
      <c r="H98" s="28">
        <v>4.1428571428571426E-2</v>
      </c>
      <c r="I98" s="28">
        <v>0</v>
      </c>
      <c r="J98" s="28">
        <v>885.6728571428572</v>
      </c>
    </row>
    <row r="99" spans="1:10">
      <c r="A99" s="47">
        <v>0.79166666666666663</v>
      </c>
      <c r="B99" s="28">
        <v>188.42285714285714</v>
      </c>
      <c r="C99" s="28">
        <v>7308.5199999999995</v>
      </c>
      <c r="D99" s="28">
        <v>331.48714285714283</v>
      </c>
      <c r="E99" s="28">
        <v>717.54428571428582</v>
      </c>
      <c r="F99" s="28">
        <v>939.43571428571443</v>
      </c>
      <c r="G99" s="28">
        <v>1115.7785714285715</v>
      </c>
      <c r="H99" s="28">
        <v>4.1428571428571426E-2</v>
      </c>
      <c r="I99" s="28">
        <v>0</v>
      </c>
      <c r="J99" s="28">
        <v>885.6728571428572</v>
      </c>
    </row>
    <row r="100" spans="1:10">
      <c r="A100" s="39" t="s">
        <v>143</v>
      </c>
      <c r="B100" s="28">
        <v>175.25285714285715</v>
      </c>
      <c r="C100" s="28">
        <v>7308.6328571428558</v>
      </c>
      <c r="D100" s="28">
        <v>331.64142857142855</v>
      </c>
      <c r="E100" s="28">
        <v>703.42142857142869</v>
      </c>
      <c r="F100" s="28">
        <v>907.55285714285708</v>
      </c>
      <c r="G100" s="28">
        <v>1135.2499999999998</v>
      </c>
      <c r="H100" s="28">
        <v>4.1428571428571426E-2</v>
      </c>
      <c r="I100" s="28">
        <v>0</v>
      </c>
      <c r="J100" s="28">
        <v>910.0214285714286</v>
      </c>
    </row>
    <row r="101" spans="1:10">
      <c r="A101" s="47">
        <v>0.8125</v>
      </c>
      <c r="B101" s="28">
        <v>175.25285714285715</v>
      </c>
      <c r="C101" s="28">
        <v>7308.6328571428558</v>
      </c>
      <c r="D101" s="28">
        <v>331.64142857142855</v>
      </c>
      <c r="E101" s="28">
        <v>703.42142857142869</v>
      </c>
      <c r="F101" s="28">
        <v>907.55285714285708</v>
      </c>
      <c r="G101" s="28">
        <v>1135.2499999999998</v>
      </c>
      <c r="H101" s="28">
        <v>4.1428571428571426E-2</v>
      </c>
      <c r="I101" s="28">
        <v>0</v>
      </c>
      <c r="J101" s="28">
        <v>910.0214285714286</v>
      </c>
    </row>
    <row r="102" spans="1:10">
      <c r="A102" s="23" t="s">
        <v>134</v>
      </c>
      <c r="B102" s="28">
        <v>138.36285714285714</v>
      </c>
      <c r="C102" s="28">
        <v>7310.5971428571429</v>
      </c>
      <c r="D102" s="28">
        <v>332.60142857142858</v>
      </c>
      <c r="E102" s="28">
        <v>637.08142857142855</v>
      </c>
      <c r="F102" s="28">
        <v>805.55285714285696</v>
      </c>
      <c r="G102" s="28">
        <v>1099.8278571428571</v>
      </c>
      <c r="H102" s="28">
        <v>4.1428571428571433E-2</v>
      </c>
      <c r="I102" s="28">
        <v>0</v>
      </c>
      <c r="J102" s="28">
        <v>950.56499999999994</v>
      </c>
    </row>
    <row r="103" spans="1:10">
      <c r="A103" s="39" t="s">
        <v>142</v>
      </c>
      <c r="B103" s="28">
        <v>141.87285714285716</v>
      </c>
      <c r="C103" s="28">
        <v>7306.6328571428558</v>
      </c>
      <c r="D103" s="28">
        <v>333.24571428571431</v>
      </c>
      <c r="E103" s="28">
        <v>676.6728571428572</v>
      </c>
      <c r="F103" s="28">
        <v>852.43714285714282</v>
      </c>
      <c r="G103" s="28">
        <v>1111.2785714285715</v>
      </c>
      <c r="H103" s="28">
        <v>4.1428571428571426E-2</v>
      </c>
      <c r="I103" s="28">
        <v>0</v>
      </c>
      <c r="J103" s="28">
        <v>929.13714285714286</v>
      </c>
    </row>
    <row r="104" spans="1:10">
      <c r="A104" s="47">
        <v>0.83333333333333337</v>
      </c>
      <c r="B104" s="28">
        <v>141.87285714285716</v>
      </c>
      <c r="C104" s="28">
        <v>7306.6328571428558</v>
      </c>
      <c r="D104" s="28">
        <v>333.24571428571431</v>
      </c>
      <c r="E104" s="28">
        <v>676.6728571428572</v>
      </c>
      <c r="F104" s="28">
        <v>852.43714285714282</v>
      </c>
      <c r="G104" s="28">
        <v>1111.2785714285715</v>
      </c>
      <c r="H104" s="28">
        <v>4.1428571428571426E-2</v>
      </c>
      <c r="I104" s="28">
        <v>0</v>
      </c>
      <c r="J104" s="28">
        <v>929.13714285714286</v>
      </c>
    </row>
    <row r="105" spans="1:10">
      <c r="A105" s="39" t="s">
        <v>143</v>
      </c>
      <c r="B105" s="28">
        <v>134.85285714285715</v>
      </c>
      <c r="C105" s="28">
        <v>7314.5614285714282</v>
      </c>
      <c r="D105" s="28">
        <v>331.95714285714286</v>
      </c>
      <c r="E105" s="28">
        <v>597.49</v>
      </c>
      <c r="F105" s="28">
        <v>758.66857142857157</v>
      </c>
      <c r="G105" s="28">
        <v>1088.3771428571429</v>
      </c>
      <c r="H105" s="28">
        <v>4.1428571428571426E-2</v>
      </c>
      <c r="I105" s="28">
        <v>0</v>
      </c>
      <c r="J105" s="28">
        <v>971.99285714285725</v>
      </c>
    </row>
    <row r="106" spans="1:10">
      <c r="A106" s="47">
        <v>0.85416666666666663</v>
      </c>
      <c r="B106" s="28">
        <v>134.85285714285715</v>
      </c>
      <c r="C106" s="28">
        <v>7314.5614285714282</v>
      </c>
      <c r="D106" s="28">
        <v>331.95714285714286</v>
      </c>
      <c r="E106" s="28">
        <v>597.49</v>
      </c>
      <c r="F106" s="28">
        <v>758.66857142857157</v>
      </c>
      <c r="G106" s="28">
        <v>1088.3771428571429</v>
      </c>
      <c r="H106" s="28">
        <v>4.1428571428571426E-2</v>
      </c>
      <c r="I106" s="28">
        <v>0</v>
      </c>
      <c r="J106" s="28">
        <v>971.99285714285725</v>
      </c>
    </row>
    <row r="107" spans="1:10">
      <c r="A107" s="23" t="s">
        <v>135</v>
      </c>
      <c r="B107" s="28">
        <v>130.89571428571429</v>
      </c>
      <c r="C107" s="28">
        <v>7321.8764285714278</v>
      </c>
      <c r="D107" s="28">
        <v>321.57142857142856</v>
      </c>
      <c r="E107" s="28">
        <v>387.79785714285714</v>
      </c>
      <c r="F107" s="28">
        <v>579.26928571428573</v>
      </c>
      <c r="G107" s="28">
        <v>1053.8150000000001</v>
      </c>
      <c r="H107" s="28">
        <v>4.1428571428571433E-2</v>
      </c>
      <c r="I107" s="28">
        <v>0</v>
      </c>
      <c r="J107" s="28">
        <v>1031.1514285714286</v>
      </c>
    </row>
    <row r="108" spans="1:10">
      <c r="A108" s="39" t="s">
        <v>142</v>
      </c>
      <c r="B108" s="28">
        <v>140.27714285714288</v>
      </c>
      <c r="C108" s="28">
        <v>7319.9199999999983</v>
      </c>
      <c r="D108" s="28">
        <v>321.88</v>
      </c>
      <c r="E108" s="28">
        <v>463.69428571428574</v>
      </c>
      <c r="F108" s="28">
        <v>636.4457142857143</v>
      </c>
      <c r="G108" s="28">
        <v>1064.2242857142858</v>
      </c>
      <c r="H108" s="28">
        <v>4.1428571428571426E-2</v>
      </c>
      <c r="I108" s="28">
        <v>0</v>
      </c>
      <c r="J108" s="28">
        <v>1035.2414285714287</v>
      </c>
    </row>
    <row r="109" spans="1:10">
      <c r="A109" s="47">
        <v>0.875</v>
      </c>
      <c r="B109" s="28">
        <v>140.27714285714288</v>
      </c>
      <c r="C109" s="28">
        <v>7319.9199999999983</v>
      </c>
      <c r="D109" s="28">
        <v>321.88</v>
      </c>
      <c r="E109" s="28">
        <v>463.69428571428574</v>
      </c>
      <c r="F109" s="28">
        <v>636.4457142857143</v>
      </c>
      <c r="G109" s="28">
        <v>1064.2242857142858</v>
      </c>
      <c r="H109" s="28">
        <v>4.1428571428571426E-2</v>
      </c>
      <c r="I109" s="28">
        <v>0</v>
      </c>
      <c r="J109" s="28">
        <v>1035.2414285714287</v>
      </c>
    </row>
    <row r="110" spans="1:10">
      <c r="A110" s="39" t="s">
        <v>143</v>
      </c>
      <c r="B110" s="28">
        <v>121.51428571428572</v>
      </c>
      <c r="C110" s="28">
        <v>7323.8328571428574</v>
      </c>
      <c r="D110" s="28">
        <v>321.26285714285717</v>
      </c>
      <c r="E110" s="28">
        <v>311.90142857142854</v>
      </c>
      <c r="F110" s="28">
        <v>522.09285714285716</v>
      </c>
      <c r="G110" s="28">
        <v>1043.4057142857143</v>
      </c>
      <c r="H110" s="28">
        <v>4.1428571428571426E-2</v>
      </c>
      <c r="I110" s="28">
        <v>0</v>
      </c>
      <c r="J110" s="28">
        <v>1027.0614285714285</v>
      </c>
    </row>
    <row r="111" spans="1:10">
      <c r="A111" s="47">
        <v>0.89583333333333337</v>
      </c>
      <c r="B111" s="28">
        <v>121.51428571428572</v>
      </c>
      <c r="C111" s="28">
        <v>7323.8328571428574</v>
      </c>
      <c r="D111" s="28">
        <v>321.26285714285717</v>
      </c>
      <c r="E111" s="28">
        <v>311.90142857142854</v>
      </c>
      <c r="F111" s="28">
        <v>522.09285714285716</v>
      </c>
      <c r="G111" s="28">
        <v>1043.4057142857143</v>
      </c>
      <c r="H111" s="28">
        <v>4.1428571428571426E-2</v>
      </c>
      <c r="I111" s="28">
        <v>0</v>
      </c>
      <c r="J111" s="28">
        <v>1027.0614285714285</v>
      </c>
    </row>
    <row r="112" spans="1:10">
      <c r="A112" s="23" t="s">
        <v>136</v>
      </c>
      <c r="B112" s="28">
        <v>114.2042857142857</v>
      </c>
      <c r="C112" s="28">
        <v>7250.5642857142866</v>
      </c>
      <c r="D112" s="28">
        <v>319.73785714285714</v>
      </c>
      <c r="E112" s="28">
        <v>164.83785714285713</v>
      </c>
      <c r="F112" s="28">
        <v>341.75357142857143</v>
      </c>
      <c r="G112" s="28">
        <v>1015.9635714285714</v>
      </c>
      <c r="H112" s="28">
        <v>4.1428571428571433E-2</v>
      </c>
      <c r="I112" s="28">
        <v>0</v>
      </c>
      <c r="J112" s="28">
        <v>964.19785714285706</v>
      </c>
    </row>
    <row r="113" spans="1:10">
      <c r="A113" s="39" t="s">
        <v>142</v>
      </c>
      <c r="B113" s="28">
        <v>104.76285714285713</v>
      </c>
      <c r="C113" s="28">
        <v>7255.7428571428563</v>
      </c>
      <c r="D113" s="28">
        <v>316.69</v>
      </c>
      <c r="E113" s="28">
        <v>225.32428571428571</v>
      </c>
      <c r="F113" s="28">
        <v>348.18571428571425</v>
      </c>
      <c r="G113" s="28">
        <v>1027.3957142857146</v>
      </c>
      <c r="H113" s="28">
        <v>4.1428571428571426E-2</v>
      </c>
      <c r="I113" s="28">
        <v>0</v>
      </c>
      <c r="J113" s="28">
        <v>1002.1728571428572</v>
      </c>
    </row>
    <row r="114" spans="1:10">
      <c r="A114" s="47">
        <v>0.91666666666666663</v>
      </c>
      <c r="B114" s="28">
        <v>104.76285714285713</v>
      </c>
      <c r="C114" s="28">
        <v>7255.7428571428563</v>
      </c>
      <c r="D114" s="28">
        <v>316.69</v>
      </c>
      <c r="E114" s="28">
        <v>225.32428571428571</v>
      </c>
      <c r="F114" s="28">
        <v>348.18571428571425</v>
      </c>
      <c r="G114" s="28">
        <v>1027.3957142857146</v>
      </c>
      <c r="H114" s="28">
        <v>4.1428571428571426E-2</v>
      </c>
      <c r="I114" s="28">
        <v>0</v>
      </c>
      <c r="J114" s="28">
        <v>1002.1728571428572</v>
      </c>
    </row>
    <row r="115" spans="1:10">
      <c r="A115" s="39" t="s">
        <v>143</v>
      </c>
      <c r="B115" s="28">
        <v>123.64571428571428</v>
      </c>
      <c r="C115" s="28">
        <v>7245.3857142857141</v>
      </c>
      <c r="D115" s="28">
        <v>322.78571428571428</v>
      </c>
      <c r="E115" s="28">
        <v>104.35142857142857</v>
      </c>
      <c r="F115" s="28">
        <v>335.3214285714285</v>
      </c>
      <c r="G115" s="28">
        <v>1004.5314285714286</v>
      </c>
      <c r="H115" s="28">
        <v>4.1428571428571426E-2</v>
      </c>
      <c r="I115" s="28">
        <v>0</v>
      </c>
      <c r="J115" s="28">
        <v>926.22285714285715</v>
      </c>
    </row>
    <row r="116" spans="1:10">
      <c r="A116" s="47">
        <v>0.9375</v>
      </c>
      <c r="B116" s="28">
        <v>123.64571428571428</v>
      </c>
      <c r="C116" s="28">
        <v>7245.3857142857141</v>
      </c>
      <c r="D116" s="28">
        <v>322.78571428571428</v>
      </c>
      <c r="E116" s="28">
        <v>104.35142857142857</v>
      </c>
      <c r="F116" s="28">
        <v>335.3214285714285</v>
      </c>
      <c r="G116" s="28">
        <v>1004.5314285714286</v>
      </c>
      <c r="H116" s="28">
        <v>4.1428571428571426E-2</v>
      </c>
      <c r="I116" s="28">
        <v>0</v>
      </c>
      <c r="J116" s="28">
        <v>926.22285714285715</v>
      </c>
    </row>
    <row r="117" spans="1:10">
      <c r="A117" s="23" t="s">
        <v>137</v>
      </c>
      <c r="B117" s="28">
        <v>100.79999999999998</v>
      </c>
      <c r="C117" s="28">
        <v>7120.4171428571435</v>
      </c>
      <c r="D117" s="28">
        <v>293.21500000000003</v>
      </c>
      <c r="E117" s="28">
        <v>45.417142857142849</v>
      </c>
      <c r="F117" s="28">
        <v>221.38714285714289</v>
      </c>
      <c r="G117" s="28">
        <v>992.18999999999994</v>
      </c>
      <c r="H117" s="28">
        <v>4.1428571428571433E-2</v>
      </c>
      <c r="I117" s="28">
        <v>0</v>
      </c>
      <c r="J117" s="28">
        <v>894.7221428571429</v>
      </c>
    </row>
    <row r="118" spans="1:10">
      <c r="A118" s="39" t="s">
        <v>142</v>
      </c>
      <c r="B118" s="28">
        <v>108.54571428571428</v>
      </c>
      <c r="C118" s="28">
        <v>7168.9085714285711</v>
      </c>
      <c r="D118" s="28">
        <v>315.02428571428572</v>
      </c>
      <c r="E118" s="28">
        <v>47.408571428571427</v>
      </c>
      <c r="F118" s="28">
        <v>265.94285714285718</v>
      </c>
      <c r="G118" s="28">
        <v>1004.7814285714285</v>
      </c>
      <c r="H118" s="28">
        <v>4.1428571428571426E-2</v>
      </c>
      <c r="I118" s="28">
        <v>0</v>
      </c>
      <c r="J118" s="28">
        <v>898.84428571428566</v>
      </c>
    </row>
    <row r="119" spans="1:10">
      <c r="A119" s="47">
        <v>0.95833333333333337</v>
      </c>
      <c r="B119" s="28">
        <v>108.54571428571428</v>
      </c>
      <c r="C119" s="28">
        <v>7168.9085714285711</v>
      </c>
      <c r="D119" s="28">
        <v>315.02428571428572</v>
      </c>
      <c r="E119" s="28">
        <v>47.408571428571427</v>
      </c>
      <c r="F119" s="28">
        <v>265.94285714285718</v>
      </c>
      <c r="G119" s="28">
        <v>1004.7814285714285</v>
      </c>
      <c r="H119" s="28">
        <v>4.1428571428571426E-2</v>
      </c>
      <c r="I119" s="28">
        <v>0</v>
      </c>
      <c r="J119" s="28">
        <v>898.84428571428566</v>
      </c>
    </row>
    <row r="120" spans="1:10">
      <c r="A120" s="39" t="s">
        <v>143</v>
      </c>
      <c r="B120" s="28">
        <v>93.054285714285712</v>
      </c>
      <c r="C120" s="28">
        <v>7071.9257142857141</v>
      </c>
      <c r="D120" s="28">
        <v>271.40571428571428</v>
      </c>
      <c r="E120" s="28">
        <v>43.425714285714285</v>
      </c>
      <c r="F120" s="28">
        <v>176.83142857142857</v>
      </c>
      <c r="G120" s="28">
        <v>979.5985714285714</v>
      </c>
      <c r="H120" s="28">
        <v>4.1428571428571426E-2</v>
      </c>
      <c r="I120" s="28">
        <v>0</v>
      </c>
      <c r="J120" s="28">
        <v>890.6</v>
      </c>
    </row>
    <row r="121" spans="1:10">
      <c r="A121" s="47">
        <v>0.97916666666666663</v>
      </c>
      <c r="B121" s="28">
        <v>93.054285714285712</v>
      </c>
      <c r="C121" s="28">
        <v>7071.9257142857141</v>
      </c>
      <c r="D121" s="28">
        <v>271.40571428571428</v>
      </c>
      <c r="E121" s="28">
        <v>43.425714285714285</v>
      </c>
      <c r="F121" s="28">
        <v>176.83142857142857</v>
      </c>
      <c r="G121" s="28">
        <v>979.5985714285714</v>
      </c>
      <c r="H121" s="28">
        <v>4.1428571428571426E-2</v>
      </c>
      <c r="I121" s="28">
        <v>0</v>
      </c>
      <c r="J121" s="28">
        <v>890.6</v>
      </c>
    </row>
    <row r="122" spans="1:10">
      <c r="A122" s="23" t="s">
        <v>25</v>
      </c>
      <c r="B122" s="28">
        <v>93.114540059347149</v>
      </c>
      <c r="C122" s="28">
        <v>6085.5879525222581</v>
      </c>
      <c r="D122" s="28">
        <v>181.70887240356086</v>
      </c>
      <c r="E122" s="28">
        <v>192.49922848664687</v>
      </c>
      <c r="F122" s="28">
        <v>273.083175074184</v>
      </c>
      <c r="G122" s="28">
        <v>963.58359050445063</v>
      </c>
      <c r="H122" s="28">
        <v>700.63516320474605</v>
      </c>
      <c r="I122" s="28">
        <v>752.32385756676558</v>
      </c>
      <c r="J122" s="28">
        <v>851.13249258160329</v>
      </c>
    </row>
  </sheetData>
  <conditionalFormatting sqref="E1 E123:E1048576">
    <cfRule type="top10" dxfId="7" priority="1" bottom="1" rank="1"/>
    <cfRule type="top10" dxfId="6" priority="2" rank="1"/>
  </conditionalFormatting>
  <conditionalFormatting sqref="M2:M49">
    <cfRule type="top10" dxfId="5" priority="5" rank="1"/>
  </conditionalFormatting>
  <conditionalFormatting sqref="P2:P49">
    <cfRule type="top10" dxfId="4" priority="3" bottom="1" rank="1"/>
    <cfRule type="top10" dxfId="3" priority="4" rank="1"/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2DC9-1F43-574E-8258-0A6C29A64B50}">
  <dimension ref="A1:D50"/>
  <sheetViews>
    <sheetView zoomScale="103" workbookViewId="0">
      <selection activeCell="J36" sqref="J36"/>
    </sheetView>
  </sheetViews>
  <sheetFormatPr baseColWidth="10" defaultRowHeight="13"/>
  <cols>
    <col min="1" max="1" width="15.796875" bestFit="1" customWidth="1"/>
    <col min="2" max="2" width="6.59765625" bestFit="1" customWidth="1"/>
    <col min="3" max="3" width="21" bestFit="1" customWidth="1"/>
    <col min="4" max="4" width="16.796875" bestFit="1" customWidth="1"/>
    <col min="5" max="5" width="14.796875" bestFit="1" customWidth="1"/>
  </cols>
  <sheetData>
    <row r="1" spans="1:4">
      <c r="A1" s="7" t="s">
        <v>88</v>
      </c>
      <c r="B1" t="s">
        <v>98</v>
      </c>
      <c r="C1" t="s">
        <v>141</v>
      </c>
      <c r="D1" t="s">
        <v>150</v>
      </c>
    </row>
    <row r="2" spans="1:4">
      <c r="A2" s="49">
        <v>0</v>
      </c>
      <c r="B2" s="28">
        <v>86.982857142857142</v>
      </c>
      <c r="C2" s="28">
        <v>1.4371428571428573</v>
      </c>
      <c r="D2" s="28">
        <v>-30.112857142857141</v>
      </c>
    </row>
    <row r="3" spans="1:4">
      <c r="A3" s="49">
        <v>2.0833333333333332E-2</v>
      </c>
      <c r="B3" s="28">
        <v>81.675714285714292</v>
      </c>
      <c r="C3" s="28">
        <v>1.5385714285714285</v>
      </c>
      <c r="D3" s="28">
        <v>-23.669999999999998</v>
      </c>
    </row>
    <row r="4" spans="1:4">
      <c r="A4" s="49">
        <v>4.1666666666666664E-2</v>
      </c>
      <c r="B4" s="28">
        <v>81.991428571428557</v>
      </c>
      <c r="C4" s="28">
        <v>0.86285714285714277</v>
      </c>
      <c r="D4" s="28">
        <v>-21.107142857142858</v>
      </c>
    </row>
    <row r="5" spans="1:4">
      <c r="A5" s="49">
        <v>6.25E-2</v>
      </c>
      <c r="B5" s="28">
        <v>80.155714285714268</v>
      </c>
      <c r="C5" s="28">
        <v>1.4757142857142858</v>
      </c>
      <c r="D5" s="28">
        <v>-29.945714285714285</v>
      </c>
    </row>
    <row r="6" spans="1:4">
      <c r="A6" s="49">
        <v>8.3333333333333329E-2</v>
      </c>
      <c r="B6" s="28">
        <v>74.835714285714289</v>
      </c>
      <c r="C6" s="28">
        <v>1.4714285714285713</v>
      </c>
      <c r="D6" s="28">
        <v>-46.91571428571428</v>
      </c>
    </row>
    <row r="7" spans="1:4">
      <c r="A7" s="49">
        <v>0.10416666666666667</v>
      </c>
      <c r="B7" s="28">
        <v>76.22571428571429</v>
      </c>
      <c r="C7" s="28">
        <v>1.9000000000000001</v>
      </c>
      <c r="D7" s="28">
        <v>-68.071428571428569</v>
      </c>
    </row>
    <row r="8" spans="1:4">
      <c r="A8" s="49">
        <v>0.125</v>
      </c>
      <c r="B8" s="28">
        <v>75.285714285714292</v>
      </c>
      <c r="C8" s="28">
        <v>2.0357142857142856</v>
      </c>
      <c r="D8" s="28">
        <v>-62.910000000000004</v>
      </c>
    </row>
    <row r="9" spans="1:4">
      <c r="A9" s="49">
        <v>0.14583333333333334</v>
      </c>
      <c r="B9" s="28">
        <v>77.419999999999987</v>
      </c>
      <c r="C9" s="28">
        <v>0.55142857142857138</v>
      </c>
      <c r="D9" s="28">
        <v>-63.244285714285716</v>
      </c>
    </row>
    <row r="10" spans="1:4">
      <c r="A10" s="49">
        <v>0.16666666666666666</v>
      </c>
      <c r="B10" s="28">
        <v>76.872857142857143</v>
      </c>
      <c r="C10" s="28">
        <v>2.1285714285714286</v>
      </c>
      <c r="D10" s="28">
        <v>-84.501428571428576</v>
      </c>
    </row>
    <row r="11" spans="1:4">
      <c r="A11" s="49">
        <v>0.1875</v>
      </c>
      <c r="B11" s="28">
        <v>80.895714285714277</v>
      </c>
      <c r="C11" s="28">
        <v>1.3357142857142856</v>
      </c>
      <c r="D11" s="28">
        <v>-95.381428571428572</v>
      </c>
    </row>
    <row r="12" spans="1:4">
      <c r="A12" s="49">
        <v>0.20833333333333334</v>
      </c>
      <c r="B12" s="28">
        <v>81.535714285714292</v>
      </c>
      <c r="C12" s="28">
        <v>2.8142857142857145</v>
      </c>
      <c r="D12" s="28">
        <v>-57.081428571428567</v>
      </c>
    </row>
    <row r="13" spans="1:4">
      <c r="A13" s="49">
        <v>0.22916666666666666</v>
      </c>
      <c r="B13" s="28">
        <v>87.502857142857138</v>
      </c>
      <c r="C13" s="28">
        <v>2.391428571428571</v>
      </c>
      <c r="D13" s="28">
        <v>-44.934285714285714</v>
      </c>
    </row>
    <row r="14" spans="1:4">
      <c r="A14" s="49">
        <v>0.25</v>
      </c>
      <c r="B14" s="28">
        <v>96.751428571428576</v>
      </c>
      <c r="C14" s="28">
        <v>19.048571428571428</v>
      </c>
      <c r="D14" s="28">
        <v>-25.112857142857145</v>
      </c>
    </row>
    <row r="15" spans="1:4">
      <c r="A15" s="49">
        <v>0.27083333333333331</v>
      </c>
      <c r="B15" s="28">
        <v>119.34142857142858</v>
      </c>
      <c r="C15" s="28">
        <v>62.745714285714278</v>
      </c>
      <c r="D15" s="28">
        <v>-13.407142857142857</v>
      </c>
    </row>
    <row r="16" spans="1:4">
      <c r="A16" s="49">
        <v>0.29166666666666669</v>
      </c>
      <c r="B16" s="28">
        <v>147.88428571428571</v>
      </c>
      <c r="C16" s="28">
        <v>133.11857142857144</v>
      </c>
      <c r="D16" s="28">
        <v>-5.3285714285714283</v>
      </c>
    </row>
    <row r="17" spans="1:4">
      <c r="A17" s="49">
        <v>0.3125</v>
      </c>
      <c r="B17" s="28">
        <v>156.35142857142858</v>
      </c>
      <c r="C17" s="28">
        <v>118.00428571428571</v>
      </c>
      <c r="D17" s="28">
        <v>-8.6757142857142853</v>
      </c>
    </row>
    <row r="18" spans="1:4">
      <c r="A18" s="49">
        <v>0.33333333333333331</v>
      </c>
      <c r="B18" s="28">
        <v>141.87285714285713</v>
      </c>
      <c r="C18" s="28">
        <v>102.51571428571428</v>
      </c>
      <c r="D18" s="28">
        <v>-7.03</v>
      </c>
    </row>
    <row r="19" spans="1:4">
      <c r="A19" s="49">
        <v>0.35416666666666669</v>
      </c>
      <c r="B19" s="28">
        <v>97.867142857142852</v>
      </c>
      <c r="C19" s="28">
        <v>58.120000000000005</v>
      </c>
      <c r="D19" s="28">
        <v>-15.52142857142857</v>
      </c>
    </row>
    <row r="20" spans="1:4">
      <c r="A20" s="49">
        <v>0.375</v>
      </c>
      <c r="B20" s="28">
        <v>81.771428571428586</v>
      </c>
      <c r="C20" s="28">
        <v>51.348571428571418</v>
      </c>
      <c r="D20" s="28">
        <v>-16.332857142857144</v>
      </c>
    </row>
    <row r="21" spans="1:4">
      <c r="A21" s="49">
        <v>0.39583333333333331</v>
      </c>
      <c r="B21" s="28">
        <v>85.148571428571429</v>
      </c>
      <c r="C21" s="28">
        <v>43.76</v>
      </c>
      <c r="D21" s="28">
        <v>-9.9785714285714295</v>
      </c>
    </row>
    <row r="22" spans="1:4">
      <c r="A22" s="49">
        <v>0.41666666666666669</v>
      </c>
      <c r="B22" s="28">
        <v>70.944285714285712</v>
      </c>
      <c r="C22" s="28">
        <v>12.511428571428572</v>
      </c>
      <c r="D22" s="28">
        <v>-76.899999999999991</v>
      </c>
    </row>
    <row r="23" spans="1:4">
      <c r="A23" s="49">
        <v>0.4375</v>
      </c>
      <c r="B23" s="28">
        <v>60.154285714285713</v>
      </c>
      <c r="C23" s="28">
        <v>3.3614285714285717</v>
      </c>
      <c r="D23" s="28">
        <v>-90.644285714285715</v>
      </c>
    </row>
    <row r="24" spans="1:4">
      <c r="A24" s="49">
        <v>0.45833333333333331</v>
      </c>
      <c r="B24" s="28">
        <v>31.034285714285716</v>
      </c>
      <c r="C24" s="28">
        <v>51.410000000000004</v>
      </c>
      <c r="D24" s="28">
        <v>-114.0457142857143</v>
      </c>
    </row>
    <row r="25" spans="1:4">
      <c r="A25" s="49">
        <v>0.47916666666666669</v>
      </c>
      <c r="B25" s="28">
        <v>32.019999999999996</v>
      </c>
      <c r="C25" s="28">
        <v>63.518571428571427</v>
      </c>
      <c r="D25" s="28">
        <v>-198.81571428571428</v>
      </c>
    </row>
    <row r="26" spans="1:4">
      <c r="A26" s="49">
        <v>0.5</v>
      </c>
      <c r="B26" s="28">
        <v>25.745714285714286</v>
      </c>
      <c r="C26" s="28">
        <v>70.570000000000007</v>
      </c>
      <c r="D26" s="28">
        <v>-213.18857142857141</v>
      </c>
    </row>
    <row r="27" spans="1:4">
      <c r="A27" s="49">
        <v>0.52083333333333337</v>
      </c>
      <c r="B27" s="28">
        <v>22.828750000000003</v>
      </c>
      <c r="C27" s="28">
        <v>59.071250000000006</v>
      </c>
      <c r="D27" s="28">
        <v>-241.02499999999998</v>
      </c>
    </row>
    <row r="28" spans="1:4">
      <c r="A28" s="49">
        <v>0.54166666666666663</v>
      </c>
      <c r="B28" s="28">
        <v>5.3885714285714297</v>
      </c>
      <c r="C28" s="28">
        <v>22.642857142857142</v>
      </c>
      <c r="D28" s="28">
        <v>-294.35857142857139</v>
      </c>
    </row>
    <row r="29" spans="1:4">
      <c r="A29" s="49">
        <v>0.5625</v>
      </c>
      <c r="B29" s="28">
        <v>14.288571428571428</v>
      </c>
      <c r="C29" s="28">
        <v>3.6442857142857141</v>
      </c>
      <c r="D29" s="28">
        <v>-265.25428571428574</v>
      </c>
    </row>
    <row r="30" spans="1:4">
      <c r="A30" s="49">
        <v>0.58333333333333337</v>
      </c>
      <c r="B30" s="28">
        <v>4.0828571428571436</v>
      </c>
      <c r="C30" s="28">
        <v>21.934285714285714</v>
      </c>
      <c r="D30" s="28">
        <v>-128.2957142857143</v>
      </c>
    </row>
    <row r="31" spans="1:4">
      <c r="A31" s="49">
        <v>0.60416666666666663</v>
      </c>
      <c r="B31" s="28">
        <v>20.804285714285715</v>
      </c>
      <c r="C31" s="28">
        <v>65.797142857142859</v>
      </c>
      <c r="D31" s="28">
        <v>-98.58142857142856</v>
      </c>
    </row>
    <row r="32" spans="1:4">
      <c r="A32" s="49">
        <v>0.625</v>
      </c>
      <c r="B32" s="28">
        <v>45.08428571428572</v>
      </c>
      <c r="C32" s="28">
        <v>57.092857142857149</v>
      </c>
      <c r="D32" s="28">
        <v>-130.13428571428571</v>
      </c>
    </row>
    <row r="33" spans="1:4">
      <c r="A33" s="49">
        <v>0.64583333333333337</v>
      </c>
      <c r="B33" s="28">
        <v>13.794285714285715</v>
      </c>
      <c r="C33" s="28">
        <v>96.152857142857144</v>
      </c>
      <c r="D33" s="28">
        <v>-101.21142857142857</v>
      </c>
    </row>
    <row r="34" spans="1:4">
      <c r="A34" s="49">
        <v>0.66666666666666663</v>
      </c>
      <c r="B34" s="28">
        <v>68.755714285714276</v>
      </c>
      <c r="C34" s="28">
        <v>22.740000000000002</v>
      </c>
      <c r="D34" s="28">
        <v>-117.47285714285714</v>
      </c>
    </row>
    <row r="35" spans="1:4">
      <c r="A35" s="49">
        <v>0.6875</v>
      </c>
      <c r="B35" s="28">
        <v>91.742857142857147</v>
      </c>
      <c r="C35" s="28">
        <v>96.311428571428564</v>
      </c>
      <c r="D35" s="28">
        <v>-122.77714285714286</v>
      </c>
    </row>
    <row r="36" spans="1:4">
      <c r="A36" s="49">
        <v>0.70833333333333337</v>
      </c>
      <c r="B36" s="28">
        <v>158.11142857142858</v>
      </c>
      <c r="C36" s="28">
        <v>190.45000000000002</v>
      </c>
      <c r="D36" s="28">
        <v>-67.11571428571429</v>
      </c>
    </row>
    <row r="37" spans="1:4">
      <c r="A37" s="49">
        <v>0.72916666666666663</v>
      </c>
      <c r="B37" s="28">
        <v>171.86142857142858</v>
      </c>
      <c r="C37" s="28">
        <v>240.09714285714284</v>
      </c>
      <c r="D37" s="28">
        <v>-29.97</v>
      </c>
    </row>
    <row r="38" spans="1:4">
      <c r="A38" s="49">
        <v>0.75</v>
      </c>
      <c r="B38" s="28">
        <v>230.89000000000001</v>
      </c>
      <c r="C38" s="28">
        <v>257.58857142857141</v>
      </c>
      <c r="D38" s="28">
        <v>-3.8742857142857146</v>
      </c>
    </row>
    <row r="39" spans="1:4">
      <c r="A39" s="49">
        <v>0.77083333333333337</v>
      </c>
      <c r="B39" s="28">
        <v>191.43714285714285</v>
      </c>
      <c r="C39" s="28">
        <v>256.76857142857142</v>
      </c>
      <c r="D39" s="28">
        <v>-3.2342857142857144</v>
      </c>
    </row>
    <row r="40" spans="1:4">
      <c r="A40" s="49">
        <v>0.79166666666666663</v>
      </c>
      <c r="B40" s="28">
        <v>188.42285714285714</v>
      </c>
      <c r="C40" s="28">
        <v>175.87285714285716</v>
      </c>
      <c r="D40" s="28">
        <v>-3.9600000000000004</v>
      </c>
    </row>
    <row r="41" spans="1:4">
      <c r="A41" s="49">
        <v>0.8125</v>
      </c>
      <c r="B41" s="28">
        <v>175.25285714285715</v>
      </c>
      <c r="C41" s="28">
        <v>72.155714285714296</v>
      </c>
      <c r="D41" s="28">
        <v>-6.217142857142858</v>
      </c>
    </row>
    <row r="42" spans="1:4">
      <c r="A42" s="49">
        <v>0.83333333333333337</v>
      </c>
      <c r="B42" s="28">
        <v>141.87285714285716</v>
      </c>
      <c r="C42" s="28">
        <v>30.77</v>
      </c>
      <c r="D42" s="28">
        <v>-6.7771428571428567</v>
      </c>
    </row>
    <row r="43" spans="1:4">
      <c r="A43" s="49">
        <v>0.85416666666666663</v>
      </c>
      <c r="B43" s="28">
        <v>134.85285714285715</v>
      </c>
      <c r="C43" s="28">
        <v>18.284285714285716</v>
      </c>
      <c r="D43" s="28">
        <v>-4.1571428571428566</v>
      </c>
    </row>
    <row r="44" spans="1:4">
      <c r="A44" s="49">
        <v>0.875</v>
      </c>
      <c r="B44" s="28">
        <v>140.27714285714288</v>
      </c>
      <c r="C44" s="28">
        <v>15.777142857142858</v>
      </c>
      <c r="D44" s="28">
        <v>-6.8971428571428577</v>
      </c>
    </row>
    <row r="45" spans="1:4">
      <c r="A45" s="49">
        <v>0.89583333333333337</v>
      </c>
      <c r="B45" s="28">
        <v>121.51428571428572</v>
      </c>
      <c r="C45" s="28">
        <v>5.0814285714285718</v>
      </c>
      <c r="D45" s="28">
        <v>-9.2085714285714282</v>
      </c>
    </row>
    <row r="46" spans="1:4">
      <c r="A46" s="49">
        <v>0.91666666666666663</v>
      </c>
      <c r="B46" s="28">
        <v>104.76285714285713</v>
      </c>
      <c r="C46" s="28">
        <v>2.9214285714285717</v>
      </c>
      <c r="D46" s="28">
        <v>-22.451428571428576</v>
      </c>
    </row>
    <row r="47" spans="1:4">
      <c r="A47" s="49">
        <v>0.9375</v>
      </c>
      <c r="B47" s="28">
        <v>123.64571428571428</v>
      </c>
      <c r="C47" s="28">
        <v>18.277142857142859</v>
      </c>
      <c r="D47" s="28">
        <v>-29.374285714285712</v>
      </c>
    </row>
    <row r="48" spans="1:4">
      <c r="A48" s="49">
        <v>0.95833333333333337</v>
      </c>
      <c r="B48" s="28">
        <v>108.54571428571428</v>
      </c>
      <c r="C48" s="28">
        <v>4.7128571428571435</v>
      </c>
      <c r="D48" s="28">
        <v>-18.581428571428571</v>
      </c>
    </row>
    <row r="49" spans="1:4">
      <c r="A49" s="49">
        <v>0.97916666666666663</v>
      </c>
      <c r="B49" s="28">
        <v>93.054285714285712</v>
      </c>
      <c r="C49" s="28">
        <v>1.412857142857143</v>
      </c>
      <c r="D49" s="28">
        <v>-27.931428571428572</v>
      </c>
    </row>
    <row r="50" spans="1:4">
      <c r="A50" s="49" t="s">
        <v>25</v>
      </c>
      <c r="B50" s="28">
        <v>93.114540059347149</v>
      </c>
      <c r="C50" s="28">
        <v>53.049851632047499</v>
      </c>
      <c r="D50" s="28">
        <v>-66.388872403560825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EB84-0ADC-794A-B4AF-B1E57B8AB083}">
  <dimension ref="A1:D50"/>
  <sheetViews>
    <sheetView topLeftCell="A12" zoomScale="115" workbookViewId="0">
      <selection activeCell="D30" sqref="D30"/>
    </sheetView>
  </sheetViews>
  <sheetFormatPr baseColWidth="10" defaultRowHeight="13"/>
  <cols>
    <col min="1" max="1" width="15.796875" bestFit="1" customWidth="1"/>
    <col min="2" max="2" width="24.59765625" bestFit="1" customWidth="1"/>
    <col min="3" max="3" width="25.59765625" bestFit="1" customWidth="1"/>
    <col min="4" max="4" width="29.59765625" bestFit="1" customWidth="1"/>
  </cols>
  <sheetData>
    <row r="1" spans="1:4">
      <c r="A1" s="7" t="s">
        <v>88</v>
      </c>
      <c r="B1" t="s">
        <v>148</v>
      </c>
      <c r="C1" t="s">
        <v>149</v>
      </c>
      <c r="D1" t="s">
        <v>98</v>
      </c>
    </row>
    <row r="2" spans="1:4">
      <c r="A2" s="50">
        <v>0</v>
      </c>
      <c r="B2" s="28">
        <v>166.92285714285714</v>
      </c>
      <c r="C2" s="28">
        <v>0</v>
      </c>
      <c r="D2" s="28">
        <v>86.982857142857142</v>
      </c>
    </row>
    <row r="3" spans="1:4">
      <c r="A3" s="50">
        <v>2.0833333333333332E-2</v>
      </c>
      <c r="B3" s="28">
        <v>178.14000000000001</v>
      </c>
      <c r="C3" s="28">
        <v>-9.6228571428571428</v>
      </c>
      <c r="D3" s="28">
        <v>81.675714285714292</v>
      </c>
    </row>
    <row r="4" spans="1:4">
      <c r="A4" s="50">
        <v>4.1666666666666664E-2</v>
      </c>
      <c r="B4" s="28">
        <v>146.72285714285712</v>
      </c>
      <c r="C4" s="28">
        <v>-11.542857142857143</v>
      </c>
      <c r="D4" s="28">
        <v>81.991428571428557</v>
      </c>
    </row>
    <row r="5" spans="1:4">
      <c r="A5" s="50">
        <v>6.25E-2</v>
      </c>
      <c r="B5" s="28">
        <v>105.04857142857144</v>
      </c>
      <c r="C5" s="28">
        <v>-30.824285714285718</v>
      </c>
      <c r="D5" s="28">
        <v>80.155714285714268</v>
      </c>
    </row>
    <row r="6" spans="1:4">
      <c r="A6" s="50">
        <v>8.3333333333333329E-2</v>
      </c>
      <c r="B6" s="28">
        <v>69.271428571428572</v>
      </c>
      <c r="C6" s="28">
        <v>-34.611428571428569</v>
      </c>
      <c r="D6" s="28">
        <v>74.835714285714289</v>
      </c>
    </row>
    <row r="7" spans="1:4">
      <c r="A7" s="50">
        <v>0.10416666666666667</v>
      </c>
      <c r="B7" s="28">
        <v>62.928571428571431</v>
      </c>
      <c r="C7" s="28">
        <v>-34.588571428571427</v>
      </c>
      <c r="D7" s="28">
        <v>76.22571428571429</v>
      </c>
    </row>
    <row r="8" spans="1:4">
      <c r="A8" s="50">
        <v>0.125</v>
      </c>
      <c r="B8" s="28">
        <v>45.31</v>
      </c>
      <c r="C8" s="28">
        <v>-34.581428571428567</v>
      </c>
      <c r="D8" s="28">
        <v>75.285714285714292</v>
      </c>
    </row>
    <row r="9" spans="1:4">
      <c r="A9" s="50">
        <v>0.14583333333333334</v>
      </c>
      <c r="B9" s="28">
        <v>40.19</v>
      </c>
      <c r="C9" s="28">
        <v>-34.585714285714282</v>
      </c>
      <c r="D9" s="28">
        <v>77.419999999999987</v>
      </c>
    </row>
    <row r="10" spans="1:4">
      <c r="A10" s="50">
        <v>0.16666666666666666</v>
      </c>
      <c r="B10" s="28">
        <v>40.628571428571426</v>
      </c>
      <c r="C10" s="28">
        <v>-34.571428571428569</v>
      </c>
      <c r="D10" s="28">
        <v>76.872857142857143</v>
      </c>
    </row>
    <row r="11" spans="1:4">
      <c r="A11" s="50">
        <v>0.1875</v>
      </c>
      <c r="B11" s="28">
        <v>56.202857142857134</v>
      </c>
      <c r="C11" s="28">
        <v>-32.654285714285713</v>
      </c>
      <c r="D11" s="28">
        <v>80.895714285714277</v>
      </c>
    </row>
    <row r="12" spans="1:4">
      <c r="A12" s="50">
        <v>0.20833333333333334</v>
      </c>
      <c r="B12" s="28">
        <v>63.322857142857153</v>
      </c>
      <c r="C12" s="28">
        <v>-19.202857142857145</v>
      </c>
      <c r="D12" s="28">
        <v>81.535714285714292</v>
      </c>
    </row>
    <row r="13" spans="1:4">
      <c r="A13" s="50">
        <v>0.22916666666666666</v>
      </c>
      <c r="B13" s="28">
        <v>128.43285714285716</v>
      </c>
      <c r="C13" s="28">
        <v>0</v>
      </c>
      <c r="D13" s="28">
        <v>87.502857142857138</v>
      </c>
    </row>
    <row r="14" spans="1:4">
      <c r="A14" s="50">
        <v>0.25</v>
      </c>
      <c r="B14" s="28">
        <v>275.05</v>
      </c>
      <c r="C14" s="28">
        <v>-9.620000000000001</v>
      </c>
      <c r="D14" s="28">
        <v>96.751428571428576</v>
      </c>
    </row>
    <row r="15" spans="1:4">
      <c r="A15" s="50">
        <v>0.27083333333333331</v>
      </c>
      <c r="B15" s="28">
        <v>421.97142857142859</v>
      </c>
      <c r="C15" s="28">
        <v>-11.547142857142857</v>
      </c>
      <c r="D15" s="28">
        <v>119.34142857142858</v>
      </c>
    </row>
    <row r="16" spans="1:4">
      <c r="A16" s="50">
        <v>0.29166666666666669</v>
      </c>
      <c r="B16" s="28">
        <v>527.47</v>
      </c>
      <c r="C16" s="28">
        <v>-11.551428571428572</v>
      </c>
      <c r="D16" s="28">
        <v>147.88428571428571</v>
      </c>
    </row>
    <row r="17" spans="1:4">
      <c r="A17" s="50">
        <v>0.3125</v>
      </c>
      <c r="B17" s="28">
        <v>603.93428571428569</v>
      </c>
      <c r="C17" s="28">
        <v>-11.542857142857143</v>
      </c>
      <c r="D17" s="28">
        <v>156.35142857142858</v>
      </c>
    </row>
    <row r="18" spans="1:4">
      <c r="A18" s="50">
        <v>0.33333333333333331</v>
      </c>
      <c r="B18" s="28">
        <v>502.60142857142858</v>
      </c>
      <c r="C18" s="28">
        <v>-11.527142857142858</v>
      </c>
      <c r="D18" s="28">
        <v>141.87285714285713</v>
      </c>
    </row>
    <row r="19" spans="1:4">
      <c r="A19" s="50">
        <v>0.35416666666666669</v>
      </c>
      <c r="B19" s="28">
        <v>234.95285714285711</v>
      </c>
      <c r="C19" s="28">
        <v>-13.804285714285713</v>
      </c>
      <c r="D19" s="28">
        <v>97.867142857142852</v>
      </c>
    </row>
    <row r="20" spans="1:4">
      <c r="A20" s="50">
        <v>0.375</v>
      </c>
      <c r="B20" s="28">
        <v>120.25142857142858</v>
      </c>
      <c r="C20" s="28">
        <v>-42.458571428571432</v>
      </c>
      <c r="D20" s="28">
        <v>81.771428571428586</v>
      </c>
    </row>
    <row r="21" spans="1:4">
      <c r="A21" s="50">
        <v>0.39583333333333331</v>
      </c>
      <c r="B21" s="28">
        <v>29.502857142857145</v>
      </c>
      <c r="C21" s="28">
        <v>-52.688571428571429</v>
      </c>
      <c r="D21" s="28">
        <v>85.148571428571429</v>
      </c>
    </row>
    <row r="22" spans="1:4">
      <c r="A22" s="50">
        <v>0.41666666666666669</v>
      </c>
      <c r="B22" s="28">
        <v>12.367142857142856</v>
      </c>
      <c r="C22" s="28">
        <v>-81.107142857142861</v>
      </c>
      <c r="D22" s="28">
        <v>70.944285714285712</v>
      </c>
    </row>
    <row r="23" spans="1:4">
      <c r="A23" s="50">
        <v>0.4375</v>
      </c>
      <c r="B23" s="28">
        <v>0</v>
      </c>
      <c r="C23" s="28">
        <v>-135.27000000000001</v>
      </c>
      <c r="D23" s="28">
        <v>60.154285714285713</v>
      </c>
    </row>
    <row r="24" spans="1:4">
      <c r="A24" s="50">
        <v>0.45833333333333331</v>
      </c>
      <c r="B24" s="28">
        <v>0</v>
      </c>
      <c r="C24" s="28">
        <v>-201.88714285714283</v>
      </c>
      <c r="D24" s="28">
        <v>31.034285714285716</v>
      </c>
    </row>
    <row r="25" spans="1:4">
      <c r="A25" s="50">
        <v>0.47916666666666669</v>
      </c>
      <c r="B25" s="28">
        <v>0</v>
      </c>
      <c r="C25" s="28">
        <v>-277.64714285714291</v>
      </c>
      <c r="D25" s="28">
        <v>32.019999999999996</v>
      </c>
    </row>
    <row r="26" spans="1:4">
      <c r="A26" s="50">
        <v>0.5</v>
      </c>
      <c r="B26" s="28">
        <v>0</v>
      </c>
      <c r="C26" s="28">
        <v>-321.02857142857141</v>
      </c>
      <c r="D26" s="28">
        <v>25.745714285714286</v>
      </c>
    </row>
    <row r="27" spans="1:4">
      <c r="A27" s="50">
        <v>0.52083333333333337</v>
      </c>
      <c r="B27" s="28">
        <v>2.5674999999999999</v>
      </c>
      <c r="C27" s="28">
        <v>-385.22749999999996</v>
      </c>
      <c r="D27" s="28">
        <v>22.828750000000003</v>
      </c>
    </row>
    <row r="28" spans="1:4">
      <c r="A28" s="50">
        <v>0.54166666666666663</v>
      </c>
      <c r="B28" s="28">
        <v>0</v>
      </c>
      <c r="C28" s="28">
        <v>-464.23571428571421</v>
      </c>
      <c r="D28" s="28">
        <v>5.3885714285714297</v>
      </c>
    </row>
    <row r="29" spans="1:4">
      <c r="A29" s="50">
        <v>0.5625</v>
      </c>
      <c r="B29" s="28">
        <v>0</v>
      </c>
      <c r="C29" s="28">
        <v>-466.41285714285715</v>
      </c>
      <c r="D29" s="28">
        <v>14.288571428571428</v>
      </c>
    </row>
    <row r="30" spans="1:4">
      <c r="A30" s="50">
        <v>0.58333333333333337</v>
      </c>
      <c r="B30" s="28">
        <v>0</v>
      </c>
      <c r="C30" s="28">
        <v>-463.99142857142857</v>
      </c>
      <c r="D30" s="28">
        <v>4.0828571428571436</v>
      </c>
    </row>
    <row r="31" spans="1:4">
      <c r="A31" s="50">
        <v>0.60416666666666663</v>
      </c>
      <c r="B31" s="28">
        <v>0</v>
      </c>
      <c r="C31" s="28">
        <v>-454.43285714285719</v>
      </c>
      <c r="D31" s="28">
        <v>20.804285714285715</v>
      </c>
    </row>
    <row r="32" spans="1:4">
      <c r="A32" s="50">
        <v>0.625</v>
      </c>
      <c r="B32" s="28">
        <v>0</v>
      </c>
      <c r="C32" s="28">
        <v>-415.40999999999997</v>
      </c>
      <c r="D32" s="28">
        <v>45.08428571428572</v>
      </c>
    </row>
    <row r="33" spans="1:4">
      <c r="A33" s="50">
        <v>0.64583333333333337</v>
      </c>
      <c r="B33" s="28">
        <v>6.99</v>
      </c>
      <c r="C33" s="28">
        <v>-301.39857142857142</v>
      </c>
      <c r="D33" s="28">
        <v>13.794285714285715</v>
      </c>
    </row>
    <row r="34" spans="1:4">
      <c r="A34" s="50">
        <v>0.66666666666666663</v>
      </c>
      <c r="B34" s="28">
        <v>54.434285714285707</v>
      </c>
      <c r="C34" s="28">
        <v>-182.23857142857142</v>
      </c>
      <c r="D34" s="28">
        <v>68.755714285714276</v>
      </c>
    </row>
    <row r="35" spans="1:4">
      <c r="A35" s="50">
        <v>0.6875</v>
      </c>
      <c r="B35" s="28">
        <v>193.50714285714284</v>
      </c>
      <c r="C35" s="28">
        <v>-50.668571428571433</v>
      </c>
      <c r="D35" s="28">
        <v>91.742857142857147</v>
      </c>
    </row>
    <row r="36" spans="1:4">
      <c r="A36" s="50">
        <v>0.70833333333333337</v>
      </c>
      <c r="B36" s="28">
        <v>592.0100000000001</v>
      </c>
      <c r="C36" s="28">
        <v>0</v>
      </c>
      <c r="D36" s="28">
        <v>158.11142857142858</v>
      </c>
    </row>
    <row r="37" spans="1:4">
      <c r="A37" s="50">
        <v>0.72916666666666663</v>
      </c>
      <c r="B37" s="28">
        <v>829.68285714285707</v>
      </c>
      <c r="C37" s="28">
        <v>0</v>
      </c>
      <c r="D37" s="28">
        <v>171.86142857142858</v>
      </c>
    </row>
    <row r="38" spans="1:4">
      <c r="A38" s="50">
        <v>0.75</v>
      </c>
      <c r="B38" s="28">
        <v>931.09285714285704</v>
      </c>
      <c r="C38" s="28">
        <v>0</v>
      </c>
      <c r="D38" s="28">
        <v>230.89000000000001</v>
      </c>
    </row>
    <row r="39" spans="1:4">
      <c r="A39" s="50">
        <v>0.77083333333333337</v>
      </c>
      <c r="B39" s="28">
        <v>962.21571428571417</v>
      </c>
      <c r="C39" s="28">
        <v>0</v>
      </c>
      <c r="D39" s="28">
        <v>191.43714285714285</v>
      </c>
    </row>
    <row r="40" spans="1:4">
      <c r="A40" s="50">
        <v>0.79166666666666663</v>
      </c>
      <c r="B40" s="28">
        <v>939.43571428571443</v>
      </c>
      <c r="C40" s="28">
        <v>0</v>
      </c>
      <c r="D40" s="28">
        <v>188.42285714285714</v>
      </c>
    </row>
    <row r="41" spans="1:4">
      <c r="A41" s="50">
        <v>0.8125</v>
      </c>
      <c r="B41" s="28">
        <v>907.55285714285708</v>
      </c>
      <c r="C41" s="28">
        <v>0</v>
      </c>
      <c r="D41" s="28">
        <v>175.25285714285715</v>
      </c>
    </row>
    <row r="42" spans="1:4">
      <c r="A42" s="50">
        <v>0.83333333333333337</v>
      </c>
      <c r="B42" s="28">
        <v>852.43714285714282</v>
      </c>
      <c r="C42" s="28">
        <v>0</v>
      </c>
      <c r="D42" s="28">
        <v>141.87285714285716</v>
      </c>
    </row>
    <row r="43" spans="1:4">
      <c r="A43" s="50">
        <v>0.85416666666666663</v>
      </c>
      <c r="B43" s="28">
        <v>758.66857142857157</v>
      </c>
      <c r="C43" s="28">
        <v>0</v>
      </c>
      <c r="D43" s="28">
        <v>134.85285714285715</v>
      </c>
    </row>
    <row r="44" spans="1:4">
      <c r="A44" s="50">
        <v>0.875</v>
      </c>
      <c r="B44" s="28">
        <v>636.4457142857143</v>
      </c>
      <c r="C44" s="28">
        <v>0</v>
      </c>
      <c r="D44" s="28">
        <v>140.27714285714288</v>
      </c>
    </row>
    <row r="45" spans="1:4">
      <c r="A45" s="50">
        <v>0.89583333333333337</v>
      </c>
      <c r="B45" s="28">
        <v>522.09285714285716</v>
      </c>
      <c r="C45" s="28">
        <v>0</v>
      </c>
      <c r="D45" s="28">
        <v>121.51428571428572</v>
      </c>
    </row>
    <row r="46" spans="1:4">
      <c r="A46" s="50">
        <v>0.91666666666666663</v>
      </c>
      <c r="B46" s="28">
        <v>348.18571428571425</v>
      </c>
      <c r="C46" s="28">
        <v>0</v>
      </c>
      <c r="D46" s="28">
        <v>104.76285714285713</v>
      </c>
    </row>
    <row r="47" spans="1:4">
      <c r="A47" s="50">
        <v>0.9375</v>
      </c>
      <c r="B47" s="28">
        <v>335.3214285714285</v>
      </c>
      <c r="C47" s="28">
        <v>0</v>
      </c>
      <c r="D47" s="28">
        <v>123.64571428571428</v>
      </c>
    </row>
    <row r="48" spans="1:4">
      <c r="A48" s="50">
        <v>0.95833333333333337</v>
      </c>
      <c r="B48" s="28">
        <v>265.94285714285718</v>
      </c>
      <c r="C48" s="28">
        <v>0</v>
      </c>
      <c r="D48" s="28">
        <v>108.54571428571428</v>
      </c>
    </row>
    <row r="49" spans="1:4">
      <c r="A49" s="50">
        <v>0.97916666666666663</v>
      </c>
      <c r="B49" s="28">
        <v>176.83142857142857</v>
      </c>
      <c r="C49" s="28">
        <v>0</v>
      </c>
      <c r="D49" s="28">
        <v>93.054285714285712</v>
      </c>
    </row>
    <row r="50" spans="1:4">
      <c r="A50" s="50" t="s">
        <v>25</v>
      </c>
      <c r="B50" s="28">
        <v>273.083175074184</v>
      </c>
      <c r="C50" s="28">
        <v>-97.574480712166192</v>
      </c>
      <c r="D50" s="28">
        <v>93.114540059347149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0B3E-0D2D-9B4A-9AD4-124BCCE02DC0}">
  <dimension ref="A1:D50"/>
  <sheetViews>
    <sheetView workbookViewId="0">
      <selection activeCell="F4" sqref="F4"/>
    </sheetView>
  </sheetViews>
  <sheetFormatPr baseColWidth="10" defaultRowHeight="13"/>
  <cols>
    <col min="1" max="1" width="15.796875" bestFit="1" customWidth="1"/>
    <col min="2" max="2" width="29.59765625" bestFit="1" customWidth="1"/>
    <col min="3" max="3" width="46.59765625" bestFit="1" customWidth="1"/>
    <col min="4" max="4" width="48" bestFit="1" customWidth="1"/>
    <col min="5" max="5" width="36.796875" bestFit="1" customWidth="1"/>
    <col min="6" max="6" width="14.796875" bestFit="1" customWidth="1"/>
  </cols>
  <sheetData>
    <row r="1" spans="1:4">
      <c r="A1" s="7" t="s">
        <v>88</v>
      </c>
      <c r="B1" t="s">
        <v>26</v>
      </c>
      <c r="C1" t="s">
        <v>146</v>
      </c>
      <c r="D1" t="s">
        <v>147</v>
      </c>
    </row>
    <row r="2" spans="1:4">
      <c r="A2" s="45">
        <v>0</v>
      </c>
      <c r="B2" s="28">
        <v>86.982857142857142</v>
      </c>
      <c r="C2" s="28">
        <v>166.92285714285714</v>
      </c>
      <c r="D2" s="28">
        <v>-28.675714285714289</v>
      </c>
    </row>
    <row r="3" spans="1:4">
      <c r="A3" s="45">
        <v>2.0833333333333332E-2</v>
      </c>
      <c r="B3" s="28">
        <v>81.675714285714292</v>
      </c>
      <c r="C3" s="28">
        <v>168.51714285714283</v>
      </c>
      <c r="D3" s="28">
        <v>-22.131428571428575</v>
      </c>
    </row>
    <row r="4" spans="1:4">
      <c r="A4" s="45">
        <v>4.1666666666666664E-2</v>
      </c>
      <c r="B4" s="28">
        <v>81.991428571428557</v>
      </c>
      <c r="C4" s="28">
        <v>135.18</v>
      </c>
      <c r="D4" s="28">
        <v>-20.244285714285716</v>
      </c>
    </row>
    <row r="5" spans="1:4">
      <c r="A5" s="45">
        <v>6.25E-2</v>
      </c>
      <c r="B5" s="28">
        <v>80.155714285714268</v>
      </c>
      <c r="C5" s="28">
        <v>74.224285714285699</v>
      </c>
      <c r="D5" s="28">
        <v>-28.47</v>
      </c>
    </row>
    <row r="6" spans="1:4">
      <c r="A6" s="45">
        <v>8.3333333333333329E-2</v>
      </c>
      <c r="B6" s="28">
        <v>74.835714285714289</v>
      </c>
      <c r="C6" s="28">
        <v>34.659999999999989</v>
      </c>
      <c r="D6" s="28">
        <v>-45.444285714285719</v>
      </c>
    </row>
    <row r="7" spans="1:4">
      <c r="A7" s="45">
        <v>0.10416666666666667</v>
      </c>
      <c r="B7" s="28">
        <v>76.22571428571429</v>
      </c>
      <c r="C7" s="28">
        <v>28.340000000000007</v>
      </c>
      <c r="D7" s="28">
        <v>-66.171428571428564</v>
      </c>
    </row>
    <row r="8" spans="1:4">
      <c r="A8" s="45">
        <v>0.125</v>
      </c>
      <c r="B8" s="28">
        <v>75.285714285714292</v>
      </c>
      <c r="C8" s="28">
        <v>10.728571428571433</v>
      </c>
      <c r="D8" s="28">
        <v>-60.874285714285712</v>
      </c>
    </row>
    <row r="9" spans="1:4">
      <c r="A9" s="45">
        <v>0.14583333333333334</v>
      </c>
      <c r="B9" s="28">
        <v>77.419999999999987</v>
      </c>
      <c r="C9" s="28">
        <v>5.6042857142857132</v>
      </c>
      <c r="D9" s="28">
        <v>-62.692857142857157</v>
      </c>
    </row>
    <row r="10" spans="1:4">
      <c r="A10" s="45">
        <v>0.16666666666666666</v>
      </c>
      <c r="B10" s="28">
        <v>76.872857142857143</v>
      </c>
      <c r="C10" s="28">
        <v>6.0571428571428543</v>
      </c>
      <c r="D10" s="28">
        <v>-82.372857142857143</v>
      </c>
    </row>
    <row r="11" spans="1:4">
      <c r="A11" s="45">
        <v>0.1875</v>
      </c>
      <c r="B11" s="28">
        <v>80.895714285714277</v>
      </c>
      <c r="C11" s="28">
        <v>23.548571428571424</v>
      </c>
      <c r="D11" s="28">
        <v>-94.045714285714297</v>
      </c>
    </row>
    <row r="12" spans="1:4">
      <c r="A12" s="45">
        <v>0.20833333333333334</v>
      </c>
      <c r="B12" s="28">
        <v>81.535714285714292</v>
      </c>
      <c r="C12" s="28">
        <v>44.120000000000005</v>
      </c>
      <c r="D12" s="28">
        <v>-54.267142857142858</v>
      </c>
    </row>
    <row r="13" spans="1:4">
      <c r="A13" s="45">
        <v>0.22916666666666666</v>
      </c>
      <c r="B13" s="28">
        <v>87.502857142857138</v>
      </c>
      <c r="C13" s="28">
        <v>128.43285714285716</v>
      </c>
      <c r="D13" s="28">
        <v>-42.542857142857144</v>
      </c>
    </row>
    <row r="14" spans="1:4">
      <c r="A14" s="45">
        <v>0.25</v>
      </c>
      <c r="B14" s="28">
        <v>96.751428571428576</v>
      </c>
      <c r="C14" s="28">
        <v>265.43</v>
      </c>
      <c r="D14" s="28">
        <v>-6.0642857142857149</v>
      </c>
    </row>
    <row r="15" spans="1:4">
      <c r="A15" s="45">
        <v>0.27083333333333331</v>
      </c>
      <c r="B15" s="28">
        <v>119.34142857142858</v>
      </c>
      <c r="C15" s="28">
        <v>410.42428571428576</v>
      </c>
      <c r="D15" s="28">
        <v>49.33857142857142</v>
      </c>
    </row>
    <row r="16" spans="1:4">
      <c r="A16" s="45">
        <v>0.29166666666666669</v>
      </c>
      <c r="B16" s="28">
        <v>147.88428571428571</v>
      </c>
      <c r="C16" s="28">
        <v>515.91857142857145</v>
      </c>
      <c r="D16" s="28">
        <v>127.79</v>
      </c>
    </row>
    <row r="17" spans="1:4">
      <c r="A17" s="45">
        <v>0.3125</v>
      </c>
      <c r="B17" s="28">
        <v>156.35142857142858</v>
      </c>
      <c r="C17" s="28">
        <v>592.39142857142849</v>
      </c>
      <c r="D17" s="28">
        <v>109.32857142857142</v>
      </c>
    </row>
    <row r="18" spans="1:4">
      <c r="A18" s="45">
        <v>0.33333333333333331</v>
      </c>
      <c r="B18" s="28">
        <v>141.87285714285713</v>
      </c>
      <c r="C18" s="28">
        <v>491.07428571428574</v>
      </c>
      <c r="D18" s="28">
        <v>95.48571428571428</v>
      </c>
    </row>
    <row r="19" spans="1:4">
      <c r="A19" s="45">
        <v>0.35416666666666669</v>
      </c>
      <c r="B19" s="28">
        <v>97.867142857142852</v>
      </c>
      <c r="C19" s="28">
        <v>221.14857142857139</v>
      </c>
      <c r="D19" s="28">
        <v>42.598571428571425</v>
      </c>
    </row>
    <row r="20" spans="1:4">
      <c r="A20" s="45">
        <v>0.375</v>
      </c>
      <c r="B20" s="28">
        <v>81.771428571428586</v>
      </c>
      <c r="C20" s="28">
        <v>77.79285714285713</v>
      </c>
      <c r="D20" s="28">
        <v>35.015714285714289</v>
      </c>
    </row>
    <row r="21" spans="1:4">
      <c r="A21" s="45">
        <v>0.39583333333333331</v>
      </c>
      <c r="B21" s="28">
        <v>85.148571428571429</v>
      </c>
      <c r="C21" s="28">
        <v>-23.185714285714283</v>
      </c>
      <c r="D21" s="28">
        <v>33.78142857142857</v>
      </c>
    </row>
    <row r="22" spans="1:4">
      <c r="A22" s="45">
        <v>0.41666666666666669</v>
      </c>
      <c r="B22" s="28">
        <v>70.944285714285712</v>
      </c>
      <c r="C22" s="28">
        <v>-68.739999999999995</v>
      </c>
      <c r="D22" s="28">
        <v>-64.388571428571439</v>
      </c>
    </row>
    <row r="23" spans="1:4">
      <c r="A23" s="45">
        <v>0.4375</v>
      </c>
      <c r="B23" s="28">
        <v>60.154285714285713</v>
      </c>
      <c r="C23" s="28">
        <v>-135.27000000000001</v>
      </c>
      <c r="D23" s="28">
        <v>-87.282857142857125</v>
      </c>
    </row>
    <row r="24" spans="1:4">
      <c r="A24" s="45">
        <v>0.45833333333333331</v>
      </c>
      <c r="B24" s="28">
        <v>31.034285714285716</v>
      </c>
      <c r="C24" s="28">
        <v>-201.88714285714283</v>
      </c>
      <c r="D24" s="28">
        <v>-62.635714285714293</v>
      </c>
    </row>
    <row r="25" spans="1:4">
      <c r="A25" s="45">
        <v>0.47916666666666669</v>
      </c>
      <c r="B25" s="28">
        <v>32.019999999999996</v>
      </c>
      <c r="C25" s="28">
        <v>-277.64714285714291</v>
      </c>
      <c r="D25" s="28">
        <v>-135.29714285714286</v>
      </c>
    </row>
    <row r="26" spans="1:4">
      <c r="A26" s="45">
        <v>0.5</v>
      </c>
      <c r="B26" s="28">
        <v>25.745714285714286</v>
      </c>
      <c r="C26" s="28">
        <v>-321.02857142857141</v>
      </c>
      <c r="D26" s="28">
        <v>-142.61857142857141</v>
      </c>
    </row>
    <row r="27" spans="1:4">
      <c r="A27" s="45">
        <v>0.52083333333333337</v>
      </c>
      <c r="B27" s="28">
        <v>22.828750000000003</v>
      </c>
      <c r="C27" s="28">
        <v>-382.65999999999997</v>
      </c>
      <c r="D27" s="28">
        <v>-181.95374999999999</v>
      </c>
    </row>
    <row r="28" spans="1:4">
      <c r="A28" s="45">
        <v>0.54166666666666663</v>
      </c>
      <c r="B28" s="28">
        <v>5.3885714285714297</v>
      </c>
      <c r="C28" s="28">
        <v>-464.23571428571421</v>
      </c>
      <c r="D28" s="28">
        <v>-271.71571428571423</v>
      </c>
    </row>
    <row r="29" spans="1:4">
      <c r="A29" s="45">
        <v>0.5625</v>
      </c>
      <c r="B29" s="28">
        <v>14.288571428571428</v>
      </c>
      <c r="C29" s="28">
        <v>-466.41285714285715</v>
      </c>
      <c r="D29" s="28">
        <v>-261.60999999999996</v>
      </c>
    </row>
    <row r="30" spans="1:4">
      <c r="A30" s="45">
        <v>0.58333333333333337</v>
      </c>
      <c r="B30" s="28">
        <v>4.0828571428571436</v>
      </c>
      <c r="C30" s="28">
        <v>-463.99142857142857</v>
      </c>
      <c r="D30" s="28">
        <v>-106.36142857142856</v>
      </c>
    </row>
    <row r="31" spans="1:4">
      <c r="A31" s="45">
        <v>0.60416666666666663</v>
      </c>
      <c r="B31" s="28">
        <v>20.804285714285715</v>
      </c>
      <c r="C31" s="28">
        <v>-454.43285714285719</v>
      </c>
      <c r="D31" s="28">
        <v>-32.784285714285708</v>
      </c>
    </row>
    <row r="32" spans="1:4">
      <c r="A32" s="45">
        <v>0.625</v>
      </c>
      <c r="B32" s="28">
        <v>45.08428571428572</v>
      </c>
      <c r="C32" s="28">
        <v>-415.40999999999997</v>
      </c>
      <c r="D32" s="28">
        <v>-73.041428571428582</v>
      </c>
    </row>
    <row r="33" spans="1:4">
      <c r="A33" s="45">
        <v>0.64583333333333337</v>
      </c>
      <c r="B33" s="28">
        <v>13.794285714285715</v>
      </c>
      <c r="C33" s="28">
        <v>-294.40857142857141</v>
      </c>
      <c r="D33" s="28">
        <v>-5.0585714285714287</v>
      </c>
    </row>
    <row r="34" spans="1:4">
      <c r="A34" s="45">
        <v>0.66666666666666663</v>
      </c>
      <c r="B34" s="28">
        <v>68.755714285714276</v>
      </c>
      <c r="C34" s="28">
        <v>-127.80428571428568</v>
      </c>
      <c r="D34" s="28">
        <v>-94.732857142857128</v>
      </c>
    </row>
    <row r="35" spans="1:4">
      <c r="A35" s="45">
        <v>0.6875</v>
      </c>
      <c r="B35" s="28">
        <v>91.742857142857147</v>
      </c>
      <c r="C35" s="28">
        <v>142.83857142857141</v>
      </c>
      <c r="D35" s="28">
        <v>-26.465714285714284</v>
      </c>
    </row>
    <row r="36" spans="1:4">
      <c r="A36" s="45">
        <v>0.70833333333333337</v>
      </c>
      <c r="B36" s="28">
        <v>158.11142857142858</v>
      </c>
      <c r="C36" s="28">
        <v>592.0100000000001</v>
      </c>
      <c r="D36" s="28">
        <v>123.33428571428571</v>
      </c>
    </row>
    <row r="37" spans="1:4">
      <c r="A37" s="45">
        <v>0.72916666666666663</v>
      </c>
      <c r="B37" s="28">
        <v>171.86142857142858</v>
      </c>
      <c r="C37" s="28">
        <v>829.68285714285707</v>
      </c>
      <c r="D37" s="28">
        <v>210.12714285714287</v>
      </c>
    </row>
    <row r="38" spans="1:4">
      <c r="A38" s="45">
        <v>0.75</v>
      </c>
      <c r="B38" s="28">
        <v>230.89000000000001</v>
      </c>
      <c r="C38" s="28">
        <v>931.09285714285704</v>
      </c>
      <c r="D38" s="28">
        <v>253.71428571428572</v>
      </c>
    </row>
    <row r="39" spans="1:4">
      <c r="A39" s="45">
        <v>0.77083333333333337</v>
      </c>
      <c r="B39" s="28">
        <v>191.43714285714285</v>
      </c>
      <c r="C39" s="28">
        <v>962.21571428571417</v>
      </c>
      <c r="D39" s="28">
        <v>253.53428571428574</v>
      </c>
    </row>
    <row r="40" spans="1:4">
      <c r="A40" s="45">
        <v>0.79166666666666663</v>
      </c>
      <c r="B40" s="28">
        <v>188.42285714285714</v>
      </c>
      <c r="C40" s="28">
        <v>939.43571428571443</v>
      </c>
      <c r="D40" s="28">
        <v>171.91285714285715</v>
      </c>
    </row>
    <row r="41" spans="1:4">
      <c r="A41" s="45">
        <v>0.8125</v>
      </c>
      <c r="B41" s="28">
        <v>175.25285714285715</v>
      </c>
      <c r="C41" s="28">
        <v>907.55285714285708</v>
      </c>
      <c r="D41" s="28">
        <v>65.938571428571422</v>
      </c>
    </row>
    <row r="42" spans="1:4">
      <c r="A42" s="45">
        <v>0.83333333333333337</v>
      </c>
      <c r="B42" s="28">
        <v>141.87285714285716</v>
      </c>
      <c r="C42" s="28">
        <v>852.43714285714282</v>
      </c>
      <c r="D42" s="28">
        <v>23.99285714285714</v>
      </c>
    </row>
    <row r="43" spans="1:4">
      <c r="A43" s="45">
        <v>0.85416666666666663</v>
      </c>
      <c r="B43" s="28">
        <v>134.85285714285715</v>
      </c>
      <c r="C43" s="28">
        <v>758.66857142857157</v>
      </c>
      <c r="D43" s="28">
        <v>14.127142857142855</v>
      </c>
    </row>
    <row r="44" spans="1:4">
      <c r="A44" s="45">
        <v>0.875</v>
      </c>
      <c r="B44" s="28">
        <v>140.27714285714288</v>
      </c>
      <c r="C44" s="28">
        <v>636.4457142857143</v>
      </c>
      <c r="D44" s="28">
        <v>8.879999999999999</v>
      </c>
    </row>
    <row r="45" spans="1:4">
      <c r="A45" s="45">
        <v>0.89583333333333337</v>
      </c>
      <c r="B45" s="28">
        <v>121.51428571428572</v>
      </c>
      <c r="C45" s="28">
        <v>522.09285714285716</v>
      </c>
      <c r="D45" s="28">
        <v>-4.1271428571428563</v>
      </c>
    </row>
    <row r="46" spans="1:4">
      <c r="A46" s="45">
        <v>0.91666666666666663</v>
      </c>
      <c r="B46" s="28">
        <v>104.76285714285713</v>
      </c>
      <c r="C46" s="28">
        <v>348.18571428571425</v>
      </c>
      <c r="D46" s="28">
        <v>-19.53</v>
      </c>
    </row>
    <row r="47" spans="1:4">
      <c r="A47" s="45">
        <v>0.9375</v>
      </c>
      <c r="B47" s="28">
        <v>123.64571428571428</v>
      </c>
      <c r="C47" s="28">
        <v>335.3214285714285</v>
      </c>
      <c r="D47" s="28">
        <v>-11.097142857142861</v>
      </c>
    </row>
    <row r="48" spans="1:4">
      <c r="A48" s="45">
        <v>0.95833333333333337</v>
      </c>
      <c r="B48" s="28">
        <v>108.54571428571428</v>
      </c>
      <c r="C48" s="28">
        <v>265.94285714285718</v>
      </c>
      <c r="D48" s="28">
        <v>-13.86857142857143</v>
      </c>
    </row>
    <row r="49" spans="1:4">
      <c r="A49" s="45">
        <v>0.97916666666666663</v>
      </c>
      <c r="B49" s="28">
        <v>93.054285714285712</v>
      </c>
      <c r="C49" s="28">
        <v>176.83142857142857</v>
      </c>
      <c r="D49" s="28">
        <v>-26.518571428571427</v>
      </c>
    </row>
    <row r="50" spans="1:4">
      <c r="A50" s="45" t="s">
        <v>25</v>
      </c>
      <c r="B50" s="28">
        <v>93.114540059347149</v>
      </c>
      <c r="C50" s="28">
        <v>175.50869436201796</v>
      </c>
      <c r="D50" s="28">
        <v>-13.339020771513324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0ecd14-48aa-49f8-9781-5a636758cca4" xsi:nil="true"/>
    <lcf76f155ced4ddcb4097134ff3c332f xmlns="0396ba24-55fe-40a9-a1d0-f164df2ffa1b">
      <Terms xmlns="http://schemas.microsoft.com/office/infopath/2007/PartnerControls"/>
    </lcf76f155ced4ddcb4097134ff3c332f>
    <Tobeprovided xmlns="0396ba24-55fe-40a9-a1d0-f164df2ffa1b">false</Tobeprovided>
    <Details xmlns="0396ba24-55fe-40a9-a1d0-f164df2ffa1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BA77292FBA141AFF94574C07E72DC" ma:contentTypeVersion="21" ma:contentTypeDescription="Create a new document." ma:contentTypeScope="" ma:versionID="3803b132190127eaa8e010655bda4f69">
  <xsd:schema xmlns:xsd="http://www.w3.org/2001/XMLSchema" xmlns:xs="http://www.w3.org/2001/XMLSchema" xmlns:p="http://schemas.microsoft.com/office/2006/metadata/properties" xmlns:ns1="http://schemas.microsoft.com/sharepoint/v3" xmlns:ns2="0396ba24-55fe-40a9-a1d0-f164df2ffa1b" xmlns:ns3="1c0ecd14-48aa-49f8-9781-5a636758cca4" targetNamespace="http://schemas.microsoft.com/office/2006/metadata/properties" ma:root="true" ma:fieldsID="fdd37d34034f6448e35853f6eab6168e" ns1:_="" ns2:_="" ns3:_="">
    <xsd:import namespace="http://schemas.microsoft.com/sharepoint/v3"/>
    <xsd:import namespace="0396ba24-55fe-40a9-a1d0-f164df2ffa1b"/>
    <xsd:import namespace="1c0ecd14-48aa-49f8-9781-5a636758cc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obeprovided"/>
                <xsd:element ref="ns2:Detail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6ba24-55fe-40a9-a1d0-f164df2ff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444c108-d34f-4c01-85d9-27842d7407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beprovided" ma:index="23" ma:displayName="To be provided" ma:default="0" ma:format="Dropdown" ma:internalName="Tobeprovided">
      <xsd:simpleType>
        <xsd:restriction base="dms:Boolean"/>
      </xsd:simpleType>
    </xsd:element>
    <xsd:element name="Details" ma:index="24" nillable="true" ma:displayName="Details" ma:description="Description about folder" ma:format="Dropdown" ma:internalName="Detail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cd14-48aa-49f8-9781-5a636758cc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c63417-de8a-42f9-9874-506036dcb3da}" ma:internalName="TaxCatchAll" ma:showField="CatchAllData" ma:web="1c0ecd14-48aa-49f8-9781-5a636758cc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0DFC72-1A56-4D93-BDD8-F8C16D7D2579}">
  <ds:schemaRefs>
    <ds:schemaRef ds:uri="http://schemas.microsoft.com/office/2006/metadata/properties"/>
    <ds:schemaRef ds:uri="http://schemas.microsoft.com/office/infopath/2007/PartnerControls"/>
    <ds:schemaRef ds:uri="1c0ecd14-48aa-49f8-9781-5a636758cca4"/>
    <ds:schemaRef ds:uri="0396ba24-55fe-40a9-a1d0-f164df2ffa1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FB1E13B-303C-4090-9AD9-EFC01B150A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96ba24-55fe-40a9-a1d0-f164df2ffa1b"/>
    <ds:schemaRef ds:uri="1c0ecd14-48aa-49f8-9781-5a636758cc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D201F-8A95-4888-BFB5-948E9CE426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Contents</vt:lpstr>
      <vt:lpstr>Data exploration</vt:lpstr>
      <vt:lpstr>General Price Trends</vt:lpstr>
      <vt:lpstr>Generation Mix - Ren and FF</vt:lpstr>
      <vt:lpstr>Dispatchable Renewable</vt:lpstr>
      <vt:lpstr>Wind</vt:lpstr>
      <vt:lpstr>Aggregated Price</vt:lpstr>
      <vt:lpstr>Aggregated gen mix</vt:lpstr>
      <vt:lpstr>Aggregated Batteries</vt:lpstr>
      <vt:lpstr>Aggregated Hydro</vt:lpstr>
      <vt:lpstr>Sheet2</vt:lpstr>
      <vt:lpstr>'Dispatchable Renewable'!Battery_Charging_MW</vt:lpstr>
      <vt:lpstr>'General Price Trends'!Battery_Charging_MW</vt:lpstr>
      <vt:lpstr>'Generation Mix - Ren and FF'!Battery_Charging_MW</vt:lpstr>
      <vt:lpstr>Battery_Charging_MW</vt:lpstr>
      <vt:lpstr>'Dispatchable Renewable'!BatteryChargingMW</vt:lpstr>
      <vt:lpstr>Wind!BatteryChargingMW</vt:lpstr>
      <vt:lpstr>BatteryChargingMW</vt:lpstr>
      <vt:lpstr>Wind!bC</vt:lpstr>
      <vt:lpstr>bC</vt:lpstr>
      <vt:lpstr>'Dispatchable Renewable'!date</vt:lpstr>
      <vt:lpstr>'General Price Trends'!date</vt:lpstr>
      <vt:lpstr>'Generation Mix - Ren and FF'!date</vt:lpstr>
      <vt:lpstr>Wind!date</vt:lpstr>
      <vt:lpstr>date</vt:lpstr>
      <vt:lpstr>'Dispatchable Renewable'!Table4</vt:lpstr>
      <vt:lpstr>'General Price Trends'!Table4</vt:lpstr>
      <vt:lpstr>'Generation Mix - Ren and FF'!Table4</vt:lpstr>
      <vt:lpstr>Wind!Table4</vt:lpstr>
      <vt:lpstr>Table4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Gosewinckel</dc:creator>
  <cp:keywords/>
  <dc:description/>
  <cp:lastModifiedBy>Keiren Brandt-Sawdy</cp:lastModifiedBy>
  <cp:revision/>
  <dcterms:created xsi:type="dcterms:W3CDTF">2019-06-07T02:34:59Z</dcterms:created>
  <dcterms:modified xsi:type="dcterms:W3CDTF">2026-07-16T07:04:08Z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0x01010033CBA77292FBA141AFF94574C07E72DC</vt:lpwstr>
  </property>
  <property fmtid="{D5CDD505-2E9C-101B-9397-08002B2CF9AE}" pid="3" name="MediaServiceImageTags">
    <vt:lpwstr/>
  </property>
</Properties>
</file>